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Registros" sheetId="2" state="visible" r:id="rId4"/>
    <sheet name="Scout_Core" sheetId="3" state="visible" r:id="rId5"/>
    <sheet name="Perfil_Ligas" sheetId="4" state="visible" r:id="rId6"/>
    <sheet name="Bitacora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<sst xmlns="http://schemas.openxmlformats.org/spreadsheetml/2006/main" count="201" uniqueCount="182">
  <si>
    <t xml:space="preserve">GAMBITO / GOAL HUNTER — Registro de apuestas</t>
  </si>
  <si>
    <t xml:space="preserve">Código de color</t>
  </si>
  <si>
    <t xml:space="preserve">Texto AZUL = tú lo escribes a mano.</t>
  </si>
  <si>
    <t xml:space="preserve">Texto NEGRO = se calcula solo con fórmula. No lo edites directamente.</t>
  </si>
  <si>
    <t xml:space="preserve">mercado vs. mercado_detalle — no son lo mismo</t>
  </si>
  <si>
    <t xml:space="preserve">mercado = la apuesta que colocas: Over 0.5 / Over 1 / Over 2.5 / Over 3 (todos leídos como goles restantes desde el minuto de entrada, no goles totales del partido), Ganador del partido, Empata o gana, Tarjeta roja (se usa cuando el catalizador de la entrada es una expulsión — asumimos que abre el partido a un gol más), u Otro.</t>
  </si>
  <si>
    <t xml:space="preserve">mercado_detalle = el contexto táctico de la tabla de situaciones (en qué momento y con qué señal entraste), no la apuesta en sí. Si sientes que se solapa con 'estrategia' o con 'mercado', dímelo y lo simplificamos — quedó así por una duda tuya sin resolver del todo.</t>
  </si>
  <si>
    <t xml:space="preserve">Columnas calculadas automáticamente</t>
  </si>
  <si>
    <t xml:space="preserve">prob_estimada, edge, ev — motor Poisson sobre el xG proyectado desde el minuto de entrada. Se calculan para Over 0.5 / Over 1 / Over 2.5 / Over 3 / Tarjeta roja. Para 'Ganador del partido', 'Empata o gana' y 'Otro' quedan en blanco: esos mercados necesitan una matriz de resultado (local/empate/visitante) que en Sheets es frágil de mantener — calcúlalas aparte o pide que se agregue.</t>
  </si>
  <si>
    <t xml:space="preserve">pl — según el valor de 'resultado': Ganada = stake*(cuota-1); Perdida = -stake; Push/Anulada = 0.</t>
  </si>
  <si>
    <t xml:space="preserve">clv — solo se calcula si llenas cuota_cierre (normalmente solo cuando pierdes el pronóstico).</t>
  </si>
  <si>
    <t xml:space="preserve">pct_00_1 / pct_00_2 — se calculan solas a partir de 'partidos_revisados' y 'partidos_00' que tú cuentas a mano.</t>
  </si>
  <si>
    <t xml:space="preserve">De dónde sale cada dato manual</t>
  </si>
  <si>
    <t xml:space="preserve">partidos_revisados_1/2 y partidos_00_1/2 — cuenta de los últimos 10-15 partidos del equipo en Sofascore (pestaña Partidos/H2H), FBref.com (match log) o Flashscore (historial). Anota cuántos revisaste y cuántos de esos terminaron 0-0.</t>
  </si>
  <si>
    <t xml:space="preserve">cuota_cierre — la cuota que muestra la casa de apuestas en el momento en que se confirma el resultado. Solo suele existir cuando pierdes, porque si ganas el mercado desaparece con tu acierto.</t>
  </si>
  <si>
    <t xml:space="preserve">Escenario de entrada — prefiltro obligatorio</t>
  </si>
  <si>
    <t xml:space="preserve">Antes de cualquier otro dato, Goal Hunter exige elegir uno de 6 escenarios predefinidos (o 'Otro'). Al elegirlo, el Patrón táctico se autoselecciona solo (editable después a mano). Reemplaza a la columna 'mercado_detalle' que existía antes — esa columna ya no se usa.</t>
  </si>
  <si>
    <t xml:space="preserve">Metacognición e Índice de Calidad de Decisión (ICD)</t>
  </si>
  <si>
    <t xml:space="preserve">Solo en Goal Hunter. Al entrar, puedes marcar si sentiste el impulso de romper una regla y qué sesgo(s) — 11 opciones (Confirmación, Exceso de confianza, FOMO, Aversión a la pérdida, Persecución de pérdidas, Ilusión de control, Impaciencia, Necesidad de acción, Anclaje, Disponibilidad, Escalada del compromiso). Al cerrar, respondes 4 preguntas de reflexión que no dependen de si ganaste: ¿seguí mi sistema?, ¿rompí alguna regla?, ¿repetiría esta apuesta sabiendo solo lo de antes?, ¿qué sesgo dominó?, y una frase de aprendizaje.</t>
  </si>
  <si>
    <t xml:space="preserve">icd_calidad (0-4) se calcula solo: +1 por cada señal saludable (seguí el sistema / no rompí regla / repetiría / sin sesgo dominante). Es independiente del resultado — puedes perder con ICD 4 (proceso correcto, mala suerte) o ganar con ICD 0 (proceso malo, buena suerte). El objetivo es que el ICD promedio suba con el tiempo, no solo el winrate.</t>
  </si>
  <si>
    <t xml:space="preserve">Reglas activas (resumen)</t>
  </si>
  <si>
    <t xml:space="preserve">Stake fijo diario (tú lo defines, no lo calcula esta hoja). Stop-loss: 2 pérdidas acumuladas si el bankroll del día está por debajo del inicio; 3 si vas en tablas o ganando. Cuota mínima 1.35. Líneas +0.5/+1 asiático. Máximo 8 entradas entre semana, 16 sábado y domingo. Máximo 1 partido abierto entre semana, 2 en fin de semana.</t>
  </si>
  <si>
    <t xml:space="preserve">Pestaña Bitácora — escalado de banca</t>
  </si>
  <si>
    <t xml:space="preserve">Empieza en cero: la fila 2 es el Día 1 (mañana). Bank roll inicial = $8 (semilla manual), Día = 1 (semilla manual). Todo lo demás se calcula solo, día tras día, mientras registres tus partidos en el HTML.</t>
  </si>
  <si>
    <t xml:space="preserve">IMPORTANTE — formato de fecha: la columna 'fecha' de Registros y de Bitácora están formateadas como TEXTO PLANO a propósito, no como fecha de calendario. Escribe siempre AAAA-MM-DD (ej. 2026-08-02), igual en ambas pestañas. Si Sheets la convierte sola a un formato de fecha visual, la comparación que hace la fórmula de Bitácora deja de encontrar coincidencias y 'BR final real' no se mueve del bankroll inicial, aunque Registros sí se esté llenando.</t>
  </si>
  <si>
    <t xml:space="preserve">stake = Bank roll inicial / 8 — sin reserva ni residuo: las 8 unidades diarias reparten el 100% del bankroll del día. La división se deja exacta (sin redondear) para que 8 × stake = bankroll; la app muestra el stake con 2 decimales.</t>
  </si>
  <si>
    <t xml:space="preserve">BR final planificado = Bank roll inicial + stake.</t>
  </si>
  <si>
    <t xml:space="preserve">BR final real = Bank roll inicial + suma de 'pl' de todas las apuestas de esa fecha en Registros. Por eso la fecha que pongas aquí debe coincidir con la fecha de esas apuestas en Registros.</t>
  </si>
  <si>
    <t xml:space="preserve">Reserva = control de residuo (Bank roll inicial − 8 × stake). Debe mostrar siempre 0.00; si aparece otro valor, alguien editó la fórmula de stake. Se conserva la columna con este nombre porque el Apps Script ubica las columnas por su encabezado.</t>
  </si>
  <si>
    <t xml:space="preserve">Dif = BR final real − BR final planificado. Color automático: verde si igualaste o superaste el plan del día; amarillo si no llegaste a la meta pero aun así cerraste por encima del bankroll con el que empezó el día; rojo si cerraste por debajo — pérdida neta del día.</t>
  </si>
  <si>
    <t xml:space="preserve">Bank roll inicial del dia siguiente = el MENOR entre 'BR final real' y 'BR final planificado' del dia anterior (desde el Dia indicado en Bitacora!P2). Si cierras sobre el plan, Gambito conserva solo +1 stake y el excedente sale hacia la Linea 2; si cierras por debajo, hereda el BR real tal cual. Gambito nunca recibe dinero de la Linea 2.</t>
  </si>
  <si>
    <t xml:space="preserve">Pestaña Scout_Core — segunda lectura, 100% estadística</t>
  </si>
  <si>
    <t xml:space="preserve">Motor prematch independiente de Goal Hunter (que ya no calcula nada, solo tu checklist). Replica el sistema Gambito v3.0: λ base (xG forma 70% / temporada 30%) → ajuste por momentum → ajuste por contexto (suspensiones, motivación, sede neutral, suerte xG) → matriz Poisson con corrección Dixon-Coles (ρ = -0.13 por defecto) → probabilidades de 1X2, Over/Under 2.5 y BTTS → edge/EV contra tus cuotas → veto por movimiento de línea → veto por divergencia con xGscore → stake sugerido (Kelly 25%, tope 3% del bankroll, piso $0.50).</t>
  </si>
  <si>
    <t xml:space="preserve">Se llena 100% desde el HTML — esta pestaña es solo el destino de esos datos. No hace falta que la edites a mano salvo para revisar o corregir un registro puntual.</t>
  </si>
  <si>
    <t xml:space="preserve">mercado_recomendado / edge / ev / semaforo reflejan el mejor candidato de la tabla completa que viste en el HTML al momento de guardar, no todos los mercados evaluados — si quieres el detalle mercado por mercado, lo tienes en pantalla al calcular, aquí solo se guarda la selección.</t>
  </si>
  <si>
    <t xml:space="preserve">Columnas notas_* (alineación, sentimiento, H2H, motivación, clima)</t>
  </si>
  <si>
    <t xml:space="preserve">Texto libre, generado copiando/pegando desde Grok con los prompts que trae el HTML. NUNCA pesan en el cálculo — no entran a λ, edge, EV ni Kelly. Son observación cualitativa pura, para tu propio criterio final.</t>
  </si>
  <si>
    <t xml:space="preserve">Pestaña Perfil_Ligas</t>
  </si>
  <si>
    <t xml:space="preserve">Una fila por LIGA, no por partido — se llena una sola vez y se actualiza cuando algo estructural cambie, no antes de cada análisis. La usan tanto Goal Hunter como Scout Core: al escribir la liga en cualquiera de los dos, el HTML la busca sola por nombre y te muestra el resumen_clave.</t>
  </si>
  <si>
    <t xml:space="preserve">Nota: puedo extender el Apps Script (cuando subas este libro y lo conectes a tu Web App) para que la app HTML también lea y escriba esta pestaña — hoy la conexión vive solo dentro de este mismo archivo, entre pestañas.</t>
  </si>
  <si>
    <t xml:space="preserve">Linea 2 (all-in) — independiente de Gambito</t>
  </si>
  <si>
    <t xml:space="preserve">Excedente L2 (col J) = lo que el BR final real supero al BR final planificado ese dia (automatico). Es provisional hasta que cierras el dia.</t>
  </si>
  <si>
    <t xml:space="preserve">Saldo L2 cierre (col K, celda amarilla) = UNICA celda que escribes: el total de la Linea 2 al terminar el dia, incluyendo el excedente de ese dia y el resultado de tus all-in. No se registran las operaciones, solo este total.</t>
  </si>
  <si>
    <t xml:space="preserve">Resultado L2 dia (col L) = K − Saldo L2 vigente del dia anterior − Excedente L2. Es lo que ganaron o perdieron tus all-in ese dia (automatico).</t>
  </si>
  <si>
    <t xml:space="preserve">Saldo L2 vigente (col M) = ultimo K registrado (se arrastra hacia abajo). Con 15 o mas, la app lo divide en 3 apuestas iguales.</t>
  </si>
  <si>
    <t xml:space="preserve">Chequeo (col N) = mensajes de error por fila. Si hay uno, la fila se pinta de rojo. Q2 cuenta registros con P/L cuya fecha no existe en Bitacora (no suman al bankroll); R2 cuenta filas con error.</t>
  </si>
  <si>
    <t xml:space="preserve">Bitacora!P2 = numero de 'Dia' desde el que rige la regla de Linea 2. Si ya tienes dias jugados con la regla anterior, pon aqui el Dia de hoy; los dias previos conservan su arrastre original.</t>
  </si>
  <si>
    <t xml:space="preserve">Zona horaria: en Google Sheets ve a Archivo &gt; Configuracion &gt; Zona horaria y elige America/Guayaquil; asi 'dia pasado' coincide con tu dia real.</t>
  </si>
  <si>
    <t xml:space="preserve">id</t>
  </si>
  <si>
    <t xml:space="preserve">estado</t>
  </si>
  <si>
    <t xml:space="preserve">fecha</t>
  </si>
  <si>
    <t xml:space="preserve">minuto_entrada</t>
  </si>
  <si>
    <t xml:space="preserve">score_entrada</t>
  </si>
  <si>
    <t xml:space="preserve">partido</t>
  </si>
  <si>
    <t xml:space="preserve">liga</t>
  </si>
  <si>
    <t xml:space="preserve">favorito</t>
  </si>
  <si>
    <t xml:space="preserve">cuota_prepartido</t>
  </si>
  <si>
    <t xml:space="preserve">posicion_tabla1</t>
  </si>
  <si>
    <t xml:space="preserve">posicion_tabla2</t>
  </si>
  <si>
    <t xml:space="preserve">partidos_revisados_1</t>
  </si>
  <si>
    <t xml:space="preserve">partidos_00_1</t>
  </si>
  <si>
    <t xml:space="preserve">pct_00_1</t>
  </si>
  <si>
    <t xml:space="preserve">partidos_revisados_2</t>
  </si>
  <si>
    <t xml:space="preserve">partidos_00_2</t>
  </si>
  <si>
    <t xml:space="preserve">pct_00_2</t>
  </si>
  <si>
    <t xml:space="preserve">lluvia</t>
  </si>
  <si>
    <t xml:space="preserve">corners1</t>
  </si>
  <si>
    <t xml:space="preserve">tiros1</t>
  </si>
  <si>
    <t xml:space="preserve">posesion1</t>
  </si>
  <si>
    <t xml:space="preserve">xg1</t>
  </si>
  <si>
    <t xml:space="preserve">corners2</t>
  </si>
  <si>
    <t xml:space="preserve">tiros2</t>
  </si>
  <si>
    <t xml:space="preserve">posesion2</t>
  </si>
  <si>
    <t xml:space="preserve">xg2</t>
  </si>
  <si>
    <t xml:space="preserve">confianza</t>
  </si>
  <si>
    <t xml:space="preserve">mercado</t>
  </si>
  <si>
    <t xml:space="preserve">escenario_entrada</t>
  </si>
  <si>
    <t xml:space="preserve">patron_tipo</t>
  </si>
  <si>
    <t xml:space="preserve">cuota</t>
  </si>
  <si>
    <t xml:space="preserve">stake</t>
  </si>
  <si>
    <t xml:space="preserve">prob_estimada</t>
  </si>
  <si>
    <t xml:space="preserve">edge</t>
  </si>
  <si>
    <t xml:space="preserve">ev</t>
  </si>
  <si>
    <t xml:space="preserve">estrategia</t>
  </si>
  <si>
    <t xml:space="preserve">minuto_gol</t>
  </si>
  <si>
    <t xml:space="preserve">score_final</t>
  </si>
  <si>
    <t xml:space="preserve">resultado</t>
  </si>
  <si>
    <t xml:space="preserve">cuota_cierre</t>
  </si>
  <si>
    <t xml:space="preserve">clv</t>
  </si>
  <si>
    <t xml:space="preserve">pl</t>
  </si>
  <si>
    <t xml:space="preserve">observacion</t>
  </si>
  <si>
    <t xml:space="preserve">fecha_cierre</t>
  </si>
  <si>
    <t xml:space="preserve">check_sofascore</t>
  </si>
  <si>
    <t xml:space="preserve">check_flashscore</t>
  </si>
  <si>
    <t xml:space="preserve">check_overlyzer</t>
  </si>
  <si>
    <t xml:space="preserve">check_tarjeta_roja_previa</t>
  </si>
  <si>
    <t xml:space="preserve">check_alineacion_ok</t>
  </si>
  <si>
    <t xml:space="preserve">dia_semana</t>
  </si>
  <si>
    <t xml:space="preserve">nomarco_1</t>
  </si>
  <si>
    <t xml:space="preserve">pct_nomarco_1</t>
  </si>
  <si>
    <t xml:space="preserve">nomarco_2</t>
  </si>
  <si>
    <t xml:space="preserve">pct_nomarco_2</t>
  </si>
  <si>
    <t xml:space="preserve">impulso_hubo</t>
  </si>
  <si>
    <t xml:space="preserve">impulso_pensamiento</t>
  </si>
  <si>
    <t xml:space="preserve">impulso_sesgos</t>
  </si>
  <si>
    <t xml:space="preserve">reflexion_seguiste_sistema</t>
  </si>
  <si>
    <t xml:space="preserve">reflexion_rompiste_regla</t>
  </si>
  <si>
    <t xml:space="preserve">reflexion_cual_regla</t>
  </si>
  <si>
    <t xml:space="preserve">reflexion_repetiria</t>
  </si>
  <si>
    <t xml:space="preserve">reflexion_sesgos</t>
  </si>
  <si>
    <t xml:space="preserve">reflexion_aprendizaje</t>
  </si>
  <si>
    <t xml:space="preserve">icd_calidad</t>
  </si>
  <si>
    <t xml:space="preserve">minuto_inicio_analisis</t>
  </si>
  <si>
    <t xml:space="preserve">minuto_fin_analisis</t>
  </si>
  <si>
    <t xml:space="preserve">evento_durante_analisis</t>
  </si>
  <si>
    <t xml:space="preserve">evento_detalle</t>
  </si>
  <si>
    <t xml:space="preserve">notas_alineacion_gh</t>
  </si>
  <si>
    <t xml:space="preserve">notas_motivacion_gh</t>
  </si>
  <si>
    <t xml:space="preserve">forma_l_anot</t>
  </si>
  <si>
    <t xml:space="preserve">forma_l_rec</t>
  </si>
  <si>
    <t xml:space="preserve">temp_l_anot</t>
  </si>
  <si>
    <t xml:space="preserve">temp_l_rec</t>
  </si>
  <si>
    <t xml:space="preserve">forma_v_anot</t>
  </si>
  <si>
    <t xml:space="preserve">forma_v_rec</t>
  </si>
  <si>
    <t xml:space="preserve">temp_v_anot</t>
  </si>
  <si>
    <t xml:space="preserve">temp_v_rec</t>
  </si>
  <si>
    <t xml:space="preserve">pts_l</t>
  </si>
  <si>
    <t xml:space="preserve">pts_v</t>
  </si>
  <si>
    <t xml:space="preserve">susp_l</t>
  </si>
  <si>
    <t xml:space="preserve">susp_v</t>
  </si>
  <si>
    <t xml:space="preserve">motivacion</t>
  </si>
  <si>
    <t xml:space="preserve">sede_neutral</t>
  </si>
  <si>
    <t xml:space="preserve">suerte_l</t>
  </si>
  <si>
    <t xml:space="preserve">suerte_v</t>
  </si>
  <si>
    <t xml:space="preserve">cuota_local</t>
  </si>
  <si>
    <t xml:space="preserve">cuota_empate</t>
  </si>
  <si>
    <t xml:space="preserve">cuota_visitante</t>
  </si>
  <si>
    <t xml:space="preserve">cuota_over25</t>
  </si>
  <si>
    <t xml:space="preserve">cuota_under25</t>
  </si>
  <si>
    <t xml:space="preserve">cuota_btts_si</t>
  </si>
  <si>
    <t xml:space="preserve">cuota_btts_no</t>
  </si>
  <si>
    <t xml:space="preserve">apertura_local</t>
  </si>
  <si>
    <t xml:space="preserve">apertura_visitante</t>
  </si>
  <si>
    <t xml:space="preserve">xgs_local</t>
  </si>
  <si>
    <t xml:space="preserve">xgs_empate</t>
  </si>
  <si>
    <t xml:space="preserve">xgs_visitante</t>
  </si>
  <si>
    <t xml:space="preserve">rho_usado</t>
  </si>
  <si>
    <t xml:space="preserve">lambda_local</t>
  </si>
  <si>
    <t xml:space="preserve">lambda_visitante</t>
  </si>
  <si>
    <t xml:space="preserve">adjustments_log</t>
  </si>
  <si>
    <t xml:space="preserve">mercado_recomendado</t>
  </si>
  <si>
    <t xml:space="preserve">probabilidad_modelo</t>
  </si>
  <si>
    <t xml:space="preserve">cuota_tomada</t>
  </si>
  <si>
    <t xml:space="preserve">veto</t>
  </si>
  <si>
    <t xml:space="preserve">divergencia_pp</t>
  </si>
  <si>
    <t xml:space="preserve">stake_kelly</t>
  </si>
  <si>
    <t xml:space="preserve">semaforo</t>
  </si>
  <si>
    <t xml:space="preserve">notas_alineacion_local</t>
  </si>
  <si>
    <t xml:space="preserve">notas_alineacion_visitante</t>
  </si>
  <si>
    <t xml:space="preserve">notas_sentimiento_local</t>
  </si>
  <si>
    <t xml:space="preserve">notas_sentimiento_visitante</t>
  </si>
  <si>
    <t xml:space="preserve">notas_h2h</t>
  </si>
  <si>
    <t xml:space="preserve">notas_motivacion_contextual</t>
  </si>
  <si>
    <t xml:space="preserve">notas_clima</t>
  </si>
  <si>
    <t xml:space="preserve">fecha_actualizacion</t>
  </si>
  <si>
    <t xml:space="preserve">informe_completo</t>
  </si>
  <si>
    <t xml:space="preserve">resumen_clave</t>
  </si>
  <si>
    <t xml:space="preserve">Bank roll inicial</t>
  </si>
  <si>
    <t xml:space="preserve">BR final planificado</t>
  </si>
  <si>
    <t xml:space="preserve">BR final real</t>
  </si>
  <si>
    <t xml:space="preserve">Reserva</t>
  </si>
  <si>
    <t xml:space="preserve">Dif</t>
  </si>
  <si>
    <t xml:space="preserve">Dia</t>
  </si>
  <si>
    <t xml:space="preserve">Meta</t>
  </si>
  <si>
    <t xml:space="preserve">Excedente L2</t>
  </si>
  <si>
    <t xml:space="preserve">Saldo L2 cierre</t>
  </si>
  <si>
    <t xml:space="preserve">Resultado L2 dia</t>
  </si>
  <si>
    <t xml:space="preserve">Saldo L2 vigente</t>
  </si>
  <si>
    <t xml:space="preserve">Chequeo</t>
  </si>
  <si>
    <t xml:space="preserve">Dia desde el que rige L2</t>
  </si>
  <si>
    <t xml:space="preserve">Registros con P/L sin dia</t>
  </si>
  <si>
    <t xml:space="preserve">Filas con error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</si>
</sst>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"/>
    <numFmt numFmtId="167" formatCode="0.0"/>
    <numFmt numFmtId="168" formatCode="\$#,##0.00"/>
    <numFmt numFmtId="169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826"/>
        <bgColor rgb="FF000000"/>
      </patternFill>
    </fill>
    <fill>
      <patternFill patternType="solid">
        <fgColor rgb="FFFFF2CC"/>
        <bgColor rgb="FFFFEB9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826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21.75" hidden="false" customHeight="true" outlineLevel="0" collapsed="false">
      <c r="A1" s="2" t="s">
        <v>0</v>
      </c>
    </row>
    <row r="2" customFormat="false" ht="7.5" hidden="false" customHeight="true" outlineLevel="0" collapsed="false">
      <c r="A2" s="3"/>
    </row>
    <row r="3" customFormat="false" ht="21.75" hidden="false" customHeight="true" outlineLevel="0" collapsed="false">
      <c r="A3" s="4" t="s">
        <v>1</v>
      </c>
    </row>
    <row r="4" customFormat="false" ht="21.75" hidden="false" customHeight="true" outlineLevel="0" collapsed="false">
      <c r="A4" s="3" t="s">
        <v>2</v>
      </c>
    </row>
    <row r="5" customFormat="false" ht="21.75" hidden="false" customHeight="true" outlineLevel="0" collapsed="false">
      <c r="A5" s="3" t="s">
        <v>3</v>
      </c>
    </row>
    <row r="6" customFormat="false" ht="7.5" hidden="false" customHeight="true" outlineLevel="0" collapsed="false">
      <c r="A6" s="3"/>
    </row>
    <row r="7" customFormat="false" ht="21.75" hidden="false" customHeight="true" outlineLevel="0" collapsed="false">
      <c r="A7" s="4" t="s">
        <v>4</v>
      </c>
    </row>
    <row r="8" customFormat="false" ht="33.75" hidden="false" customHeight="true" outlineLevel="0" collapsed="false">
      <c r="A8" s="3" t="s">
        <v>5</v>
      </c>
    </row>
    <row r="9" customFormat="false" ht="33.75" hidden="false" customHeight="true" outlineLevel="0" collapsed="false">
      <c r="A9" s="3" t="s">
        <v>6</v>
      </c>
    </row>
    <row r="10" customFormat="false" ht="7.5" hidden="false" customHeight="true" outlineLevel="0" collapsed="false">
      <c r="A10" s="3"/>
    </row>
    <row r="11" customFormat="false" ht="21.75" hidden="false" customHeight="true" outlineLevel="0" collapsed="false">
      <c r="A11" s="4" t="s">
        <v>7</v>
      </c>
    </row>
    <row r="12" customFormat="false" ht="33.75" hidden="false" customHeight="true" outlineLevel="0" collapsed="false">
      <c r="A12" s="3" t="s">
        <v>8</v>
      </c>
    </row>
    <row r="13" customFormat="false" ht="33.75" hidden="false" customHeight="true" outlineLevel="0" collapsed="false">
      <c r="A13" s="3" t="s">
        <v>9</v>
      </c>
    </row>
    <row r="14" customFormat="false" ht="33.75" hidden="false" customHeight="true" outlineLevel="0" collapsed="false">
      <c r="A14" s="3" t="s">
        <v>10</v>
      </c>
    </row>
    <row r="15" customFormat="false" ht="33.75" hidden="false" customHeight="true" outlineLevel="0" collapsed="false">
      <c r="A15" s="3" t="s">
        <v>11</v>
      </c>
    </row>
    <row r="16" customFormat="false" ht="7.5" hidden="false" customHeight="true" outlineLevel="0" collapsed="false">
      <c r="A16" s="3"/>
    </row>
    <row r="17" customFormat="false" ht="21.75" hidden="false" customHeight="true" outlineLevel="0" collapsed="false">
      <c r="A17" s="4" t="s">
        <v>12</v>
      </c>
    </row>
    <row r="18" customFormat="false" ht="33.75" hidden="false" customHeight="true" outlineLevel="0" collapsed="false">
      <c r="A18" s="3" t="s">
        <v>13</v>
      </c>
    </row>
    <row r="19" customFormat="false" ht="33.75" hidden="false" customHeight="true" outlineLevel="0" collapsed="false">
      <c r="A19" s="3" t="s">
        <v>14</v>
      </c>
    </row>
    <row r="20" customFormat="false" ht="7.5" hidden="false" customHeight="true" outlineLevel="0" collapsed="false">
      <c r="A20" s="3"/>
    </row>
    <row r="21" customFormat="false" ht="21.75" hidden="false" customHeight="true" outlineLevel="0" collapsed="false">
      <c r="A21" s="4" t="s">
        <v>15</v>
      </c>
    </row>
    <row r="22" customFormat="false" ht="33.75" hidden="false" customHeight="true" outlineLevel="0" collapsed="false">
      <c r="A22" s="3" t="s">
        <v>16</v>
      </c>
    </row>
    <row r="23" customFormat="false" ht="7.5" hidden="false" customHeight="true" outlineLevel="0" collapsed="false">
      <c r="A23" s="3"/>
    </row>
    <row r="24" customFormat="false" ht="21.75" hidden="false" customHeight="true" outlineLevel="0" collapsed="false">
      <c r="A24" s="4" t="s">
        <v>17</v>
      </c>
    </row>
    <row r="25" customFormat="false" ht="33.75" hidden="false" customHeight="true" outlineLevel="0" collapsed="false">
      <c r="A25" s="3" t="s">
        <v>18</v>
      </c>
    </row>
    <row r="26" customFormat="false" ht="33.75" hidden="false" customHeight="true" outlineLevel="0" collapsed="false">
      <c r="A26" s="3" t="s">
        <v>19</v>
      </c>
    </row>
    <row r="27" customFormat="false" ht="7.5" hidden="false" customHeight="true" outlineLevel="0" collapsed="false">
      <c r="A27" s="3"/>
    </row>
    <row r="28" customFormat="false" ht="21.75" hidden="false" customHeight="true" outlineLevel="0" collapsed="false">
      <c r="A28" s="4" t="s">
        <v>20</v>
      </c>
    </row>
    <row r="29" customFormat="false" ht="33.75" hidden="false" customHeight="true" outlineLevel="0" collapsed="false">
      <c r="A29" s="3" t="s">
        <v>21</v>
      </c>
    </row>
    <row r="30" customFormat="false" ht="7.5" hidden="false" customHeight="true" outlineLevel="0" collapsed="false">
      <c r="A30" s="3"/>
    </row>
    <row r="31" customFormat="false" ht="21.75" hidden="false" customHeight="true" outlineLevel="0" collapsed="false">
      <c r="A31" s="4" t="s">
        <v>22</v>
      </c>
    </row>
    <row r="32" customFormat="false" ht="33.75" hidden="false" customHeight="true" outlineLevel="0" collapsed="false">
      <c r="A32" s="3" t="s">
        <v>23</v>
      </c>
    </row>
    <row r="33" customFormat="false" ht="33.75" hidden="false" customHeight="true" outlineLevel="0" collapsed="false">
      <c r="A33" s="3" t="s">
        <v>24</v>
      </c>
    </row>
    <row r="34" customFormat="false" ht="33.75" hidden="false" customHeight="true" outlineLevel="0" collapsed="false">
      <c r="A34" s="3" t="s">
        <v>25</v>
      </c>
    </row>
    <row r="35" customFormat="false" ht="21.75" hidden="false" customHeight="true" outlineLevel="0" collapsed="false">
      <c r="A35" s="3" t="s">
        <v>26</v>
      </c>
    </row>
    <row r="36" customFormat="false" ht="33.75" hidden="false" customHeight="true" outlineLevel="0" collapsed="false">
      <c r="A36" s="3" t="s">
        <v>27</v>
      </c>
    </row>
    <row r="37" customFormat="false" ht="21.75" hidden="false" customHeight="true" outlineLevel="0" collapsed="false">
      <c r="A37" s="3" t="s">
        <v>28</v>
      </c>
    </row>
    <row r="38" customFormat="false" ht="33.75" hidden="false" customHeight="true" outlineLevel="0" collapsed="false">
      <c r="A38" s="3" t="s">
        <v>29</v>
      </c>
    </row>
    <row r="39" customFormat="false" ht="33.75" hidden="false" customHeight="true" outlineLevel="0" collapsed="false">
      <c r="A39" s="3" t="s">
        <v>30</v>
      </c>
    </row>
    <row r="40" customFormat="false" ht="7.5" hidden="false" customHeight="true" outlineLevel="0" collapsed="false">
      <c r="A40" s="3"/>
    </row>
    <row r="41" customFormat="false" ht="21.75" hidden="false" customHeight="true" outlineLevel="0" collapsed="false">
      <c r="A41" s="4" t="s">
        <v>31</v>
      </c>
    </row>
    <row r="42" customFormat="false" ht="33.75" hidden="false" customHeight="true" outlineLevel="0" collapsed="false">
      <c r="A42" s="3" t="s">
        <v>32</v>
      </c>
    </row>
    <row r="43" customFormat="false" ht="33.75" hidden="false" customHeight="true" outlineLevel="0" collapsed="false">
      <c r="A43" s="3" t="s">
        <v>33</v>
      </c>
    </row>
    <row r="44" customFormat="false" ht="33.75" hidden="false" customHeight="true" outlineLevel="0" collapsed="false">
      <c r="A44" s="3" t="s">
        <v>34</v>
      </c>
    </row>
    <row r="45" customFormat="false" ht="7.5" hidden="false" customHeight="true" outlineLevel="0" collapsed="false">
      <c r="A45" s="3"/>
    </row>
    <row r="46" customFormat="false" ht="21.75" hidden="false" customHeight="true" outlineLevel="0" collapsed="false">
      <c r="A46" s="4" t="s">
        <v>35</v>
      </c>
    </row>
    <row r="47" customFormat="false" ht="33.75" hidden="false" customHeight="true" outlineLevel="0" collapsed="false">
      <c r="A47" s="3" t="s">
        <v>36</v>
      </c>
    </row>
    <row r="48" customFormat="false" ht="7.5" hidden="false" customHeight="true" outlineLevel="0" collapsed="false">
      <c r="A48" s="3"/>
    </row>
    <row r="49" customFormat="false" ht="21.75" hidden="false" customHeight="true" outlineLevel="0" collapsed="false">
      <c r="A49" s="4" t="s">
        <v>37</v>
      </c>
    </row>
    <row r="50" customFormat="false" ht="33.75" hidden="false" customHeight="true" outlineLevel="0" collapsed="false">
      <c r="A50" s="3" t="s">
        <v>38</v>
      </c>
    </row>
    <row r="51" customFormat="false" ht="7.5" hidden="false" customHeight="true" outlineLevel="0" collapsed="false">
      <c r="A51" s="3"/>
    </row>
    <row r="52" customFormat="false" ht="33.75" hidden="false" customHeight="true" outlineLevel="0" collapsed="false">
      <c r="A52" s="3" t="s">
        <v>39</v>
      </c>
    </row>
    <row r="54" customFormat="false" ht="15" hidden="false" customHeight="false" outlineLevel="0" collapsed="false">
      <c r="A54" s="4" t="s">
        <v>40</v>
      </c>
    </row>
    <row r="55" customFormat="false" ht="26.85" hidden="false" customHeight="false" outlineLevel="0" collapsed="false">
      <c r="A55" s="3" t="s">
        <v>41</v>
      </c>
    </row>
    <row r="56" customFormat="false" ht="39.55" hidden="false" customHeight="false" outlineLevel="0" collapsed="false">
      <c r="A56" s="3" t="s">
        <v>42</v>
      </c>
    </row>
    <row r="57" customFormat="false" ht="26.85" hidden="false" customHeight="false" outlineLevel="0" collapsed="false">
      <c r="A57" s="3" t="s">
        <v>43</v>
      </c>
    </row>
    <row r="58" customFormat="false" ht="26.85" hidden="false" customHeight="false" outlineLevel="0" collapsed="false">
      <c r="A58" s="3" t="s">
        <v>44</v>
      </c>
    </row>
    <row r="59" customFormat="false" ht="26.85" hidden="false" customHeight="false" outlineLevel="0" collapsed="false">
      <c r="A59" s="3" t="s">
        <v>45</v>
      </c>
    </row>
    <row r="60" customFormat="false" ht="26.85" hidden="false" customHeight="false" outlineLevel="0" collapsed="false">
      <c r="A60" s="3" t="s">
        <v>46</v>
      </c>
    </row>
    <row r="61" customFormat="false" ht="26.85" hidden="false" customHeight="false" outlineLevel="0" collapsed="false">
      <c r="A61" s="3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R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1"/>
    <col collapsed="false" customWidth="true" hidden="false" outlineLevel="0" max="4" min="4" style="1" width="16"/>
    <col collapsed="false" customWidth="true" hidden="false" outlineLevel="0" max="5" min="5" style="1" width="15"/>
    <col collapsed="false" customWidth="true" hidden="false" outlineLevel="0" max="8" min="6" style="1" width="11"/>
    <col collapsed="false" customWidth="true" hidden="false" outlineLevel="0" max="9" min="9" style="1" width="18"/>
    <col collapsed="false" customWidth="true" hidden="false" outlineLevel="0" max="11" min="10" style="1" width="17"/>
    <col collapsed="false" customWidth="true" hidden="false" outlineLevel="0" max="12" min="12" style="1" width="22"/>
    <col collapsed="false" customWidth="true" hidden="false" outlineLevel="0" max="13" min="13" style="1" width="15"/>
    <col collapsed="false" customWidth="true" hidden="false" outlineLevel="0" max="14" min="14" style="1" width="11"/>
    <col collapsed="false" customWidth="true" hidden="false" outlineLevel="0" max="15" min="15" style="1" width="22"/>
    <col collapsed="false" customWidth="true" hidden="false" outlineLevel="0" max="16" min="16" style="1" width="15"/>
    <col collapsed="false" customWidth="true" hidden="false" outlineLevel="0" max="28" min="17" style="1" width="11"/>
    <col collapsed="false" customWidth="true" hidden="false" outlineLevel="0" max="29" min="29" style="1" width="19"/>
    <col collapsed="false" customWidth="true" hidden="false" outlineLevel="0" max="30" min="30" style="1" width="13"/>
    <col collapsed="false" customWidth="true" hidden="false" outlineLevel="0" max="32" min="31" style="1" width="11"/>
    <col collapsed="false" customWidth="true" hidden="false" outlineLevel="0" max="33" min="33" style="1" width="15"/>
    <col collapsed="false" customWidth="true" hidden="false" outlineLevel="0" max="35" min="34" style="1" width="11"/>
    <col collapsed="false" customWidth="true" hidden="false" outlineLevel="0" max="37" min="36" style="1" width="12"/>
    <col collapsed="false" customWidth="true" hidden="false" outlineLevel="0" max="38" min="38" style="1" width="13"/>
    <col collapsed="false" customWidth="true" hidden="false" outlineLevel="0" max="39" min="39" style="1" width="11"/>
    <col collapsed="false" customWidth="true" hidden="false" outlineLevel="0" max="40" min="40" style="1" width="14"/>
    <col collapsed="false" customWidth="true" hidden="false" outlineLevel="0" max="42" min="41" style="1" width="11"/>
    <col collapsed="false" customWidth="true" hidden="false" outlineLevel="0" max="43" min="43" style="1" width="13"/>
    <col collapsed="false" customWidth="true" hidden="false" outlineLevel="0" max="44" min="44" style="1" width="14"/>
    <col collapsed="false" customWidth="true" hidden="false" outlineLevel="0" max="45" min="45" style="1" width="17"/>
    <col collapsed="false" customWidth="true" hidden="false" outlineLevel="0" max="46" min="46" style="1" width="18"/>
    <col collapsed="false" customWidth="true" hidden="false" outlineLevel="0" max="47" min="47" style="1" width="17"/>
    <col collapsed="false" customWidth="true" hidden="false" outlineLevel="0" max="48" min="48" style="1" width="27"/>
    <col collapsed="false" customWidth="true" hidden="false" outlineLevel="0" max="49" min="49" style="1" width="21"/>
    <col collapsed="false" customWidth="true" hidden="false" outlineLevel="0" max="50" min="50" style="1" width="12"/>
    <col collapsed="false" customWidth="true" hidden="false" outlineLevel="0" max="51" min="51" style="1" width="11"/>
    <col collapsed="false" customWidth="true" hidden="false" outlineLevel="0" max="52" min="52" style="1" width="15"/>
    <col collapsed="false" customWidth="true" hidden="false" outlineLevel="0" max="53" min="53" style="1" width="11"/>
    <col collapsed="false" customWidth="true" hidden="false" outlineLevel="0" max="54" min="54" style="1" width="15"/>
    <col collapsed="false" customWidth="true" hidden="false" outlineLevel="0" max="55" min="55" style="1" width="14"/>
    <col collapsed="false" customWidth="true" hidden="false" outlineLevel="0" max="56" min="56" style="1" width="21"/>
    <col collapsed="false" customWidth="true" hidden="false" outlineLevel="0" max="57" min="57" style="1" width="16"/>
    <col collapsed="false" customWidth="true" hidden="false" outlineLevel="0" max="58" min="58" style="1" width="28"/>
    <col collapsed="false" customWidth="true" hidden="false" outlineLevel="0" max="59" min="59" style="1" width="26"/>
    <col collapsed="false" customWidth="true" hidden="false" outlineLevel="0" max="60" min="60" style="1" width="22"/>
    <col collapsed="false" customWidth="true" hidden="false" outlineLevel="0" max="61" min="61" style="1" width="21"/>
    <col collapsed="false" customWidth="true" hidden="false" outlineLevel="0" max="62" min="62" style="1" width="18"/>
    <col collapsed="false" customWidth="true" hidden="false" outlineLevel="0" max="63" min="63" style="1" width="23"/>
    <col collapsed="false" customWidth="true" hidden="false" outlineLevel="0" max="64" min="64" style="1" width="13"/>
    <col collapsed="false" customWidth="true" hidden="false" outlineLevel="0" max="65" min="65" style="1" width="24"/>
    <col collapsed="false" customWidth="true" hidden="false" outlineLevel="0" max="66" min="66" style="1" width="21"/>
    <col collapsed="false" customWidth="true" hidden="false" outlineLevel="0" max="67" min="67" style="1" width="25"/>
    <col collapsed="false" customWidth="true" hidden="false" outlineLevel="0" max="68" min="68" style="1" width="16"/>
    <col collapsed="false" customWidth="true" hidden="false" outlineLevel="0" max="70" min="69" style="1" width="21"/>
  </cols>
  <sheetData>
    <row r="1" customFormat="false" ht="15" hidden="false" customHeight="true" outlineLevel="0" collapsed="false">
      <c r="A1" s="5" t="s">
        <v>48</v>
      </c>
      <c r="B1" s="5" t="s">
        <v>49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  <c r="L1" s="5" t="s">
        <v>59</v>
      </c>
      <c r="M1" s="5" t="s">
        <v>60</v>
      </c>
      <c r="N1" s="5" t="s">
        <v>61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  <c r="T1" s="5" t="s">
        <v>67</v>
      </c>
      <c r="U1" s="5" t="s">
        <v>68</v>
      </c>
      <c r="V1" s="5" t="s">
        <v>69</v>
      </c>
      <c r="W1" s="5" t="s">
        <v>70</v>
      </c>
      <c r="X1" s="5" t="s">
        <v>71</v>
      </c>
      <c r="Y1" s="5" t="s">
        <v>72</v>
      </c>
      <c r="Z1" s="5" t="s">
        <v>73</v>
      </c>
      <c r="AA1" s="5" t="s">
        <v>74</v>
      </c>
      <c r="AB1" s="5" t="s">
        <v>75</v>
      </c>
      <c r="AC1" s="5" t="s">
        <v>76</v>
      </c>
      <c r="AD1" s="5" t="s">
        <v>77</v>
      </c>
      <c r="AE1" s="5" t="s">
        <v>78</v>
      </c>
      <c r="AF1" s="5" t="s">
        <v>79</v>
      </c>
      <c r="AG1" s="5" t="s">
        <v>80</v>
      </c>
      <c r="AH1" s="5" t="s">
        <v>81</v>
      </c>
      <c r="AI1" s="5" t="s">
        <v>82</v>
      </c>
      <c r="AJ1" s="5" t="s">
        <v>83</v>
      </c>
      <c r="AK1" s="5" t="s">
        <v>84</v>
      </c>
      <c r="AL1" s="5" t="s">
        <v>85</v>
      </c>
      <c r="AM1" s="5" t="s">
        <v>86</v>
      </c>
      <c r="AN1" s="5" t="s">
        <v>87</v>
      </c>
      <c r="AO1" s="5" t="s">
        <v>88</v>
      </c>
      <c r="AP1" s="5" t="s">
        <v>89</v>
      </c>
      <c r="AQ1" s="5" t="s">
        <v>90</v>
      </c>
      <c r="AR1" s="5" t="s">
        <v>91</v>
      </c>
      <c r="AS1" s="5" t="s">
        <v>92</v>
      </c>
      <c r="AT1" s="5" t="s">
        <v>93</v>
      </c>
      <c r="AU1" s="5" t="s">
        <v>94</v>
      </c>
      <c r="AV1" s="5" t="s">
        <v>95</v>
      </c>
      <c r="AW1" s="5" t="s">
        <v>96</v>
      </c>
      <c r="AX1" s="5" t="s">
        <v>97</v>
      </c>
      <c r="AY1" s="5" t="s">
        <v>98</v>
      </c>
      <c r="AZ1" s="5" t="s">
        <v>99</v>
      </c>
      <c r="BA1" s="5" t="s">
        <v>100</v>
      </c>
      <c r="BB1" s="5" t="s">
        <v>101</v>
      </c>
      <c r="BC1" s="5" t="s">
        <v>102</v>
      </c>
      <c r="BD1" s="5" t="s">
        <v>103</v>
      </c>
      <c r="BE1" s="5" t="s">
        <v>104</v>
      </c>
      <c r="BF1" s="5" t="s">
        <v>105</v>
      </c>
      <c r="BG1" s="5" t="s">
        <v>106</v>
      </c>
      <c r="BH1" s="5" t="s">
        <v>107</v>
      </c>
      <c r="BI1" s="5" t="s">
        <v>108</v>
      </c>
      <c r="BJ1" s="5" t="s">
        <v>109</v>
      </c>
      <c r="BK1" s="5" t="s">
        <v>110</v>
      </c>
      <c r="BL1" s="5" t="s">
        <v>111</v>
      </c>
      <c r="BM1" s="5" t="s">
        <v>112</v>
      </c>
      <c r="BN1" s="5" t="s">
        <v>113</v>
      </c>
      <c r="BO1" s="5" t="s">
        <v>114</v>
      </c>
      <c r="BP1" s="5" t="s">
        <v>115</v>
      </c>
      <c r="BQ1" s="5" t="s">
        <v>116</v>
      </c>
      <c r="BR1" s="5" t="s">
        <v>117</v>
      </c>
    </row>
    <row r="2" customFormat="false" ht="18" hidden="false" customHeight="true" outlineLevel="0" collapsed="false">
      <c r="C2" s="6"/>
      <c r="AR2" s="6"/>
    </row>
    <row r="3" customFormat="false" ht="18" hidden="false" customHeight="true" outlineLevel="0" collapsed="false">
      <c r="C3" s="6"/>
      <c r="AR3" s="6"/>
    </row>
    <row r="4" customFormat="false" ht="18" hidden="false" customHeight="true" outlineLevel="0" collapsed="false">
      <c r="C4" s="6"/>
      <c r="AR4" s="6"/>
    </row>
    <row r="5" customFormat="false" ht="18" hidden="false" customHeight="true" outlineLevel="0" collapsed="false">
      <c r="C5" s="6"/>
      <c r="AR5" s="6"/>
    </row>
    <row r="6" customFormat="false" ht="18" hidden="false" customHeight="true" outlineLevel="0" collapsed="false">
      <c r="C6" s="6"/>
      <c r="AR6" s="6"/>
    </row>
    <row r="7" customFormat="false" ht="18" hidden="false" customHeight="true" outlineLevel="0" collapsed="false">
      <c r="C7" s="6"/>
      <c r="AR7" s="6"/>
    </row>
    <row r="8" customFormat="false" ht="18" hidden="false" customHeight="true" outlineLevel="0" collapsed="false">
      <c r="C8" s="6"/>
      <c r="AR8" s="6"/>
    </row>
    <row r="9" customFormat="false" ht="18" hidden="false" customHeight="true" outlineLevel="0" collapsed="false">
      <c r="C9" s="6"/>
      <c r="AR9" s="6"/>
    </row>
    <row r="10" customFormat="false" ht="18" hidden="false" customHeight="true" outlineLevel="0" collapsed="false">
      <c r="C10" s="6"/>
      <c r="AR10" s="6"/>
    </row>
    <row r="11" customFormat="false" ht="18" hidden="false" customHeight="true" outlineLevel="0" collapsed="false">
      <c r="C11" s="6"/>
      <c r="AR11" s="6"/>
    </row>
    <row r="12" customFormat="false" ht="18" hidden="false" customHeight="true" outlineLevel="0" collapsed="false">
      <c r="C12" s="6"/>
      <c r="AR12" s="6"/>
    </row>
    <row r="13" customFormat="false" ht="18" hidden="false" customHeight="true" outlineLevel="0" collapsed="false">
      <c r="C13" s="6"/>
      <c r="AR13" s="6"/>
    </row>
    <row r="14" customFormat="false" ht="18" hidden="false" customHeight="true" outlineLevel="0" collapsed="false">
      <c r="C14" s="6"/>
      <c r="AR14" s="6"/>
    </row>
    <row r="15" customFormat="false" ht="18" hidden="false" customHeight="true" outlineLevel="0" collapsed="false">
      <c r="C15" s="6"/>
      <c r="AR15" s="6"/>
    </row>
    <row r="16" customFormat="false" ht="18" hidden="false" customHeight="true" outlineLevel="0" collapsed="false">
      <c r="C16" s="6"/>
      <c r="AR16" s="6"/>
    </row>
    <row r="17" customFormat="false" ht="18" hidden="false" customHeight="true" outlineLevel="0" collapsed="false">
      <c r="C17" s="6"/>
      <c r="AR17" s="6"/>
    </row>
    <row r="18" customFormat="false" ht="18" hidden="false" customHeight="true" outlineLevel="0" collapsed="false">
      <c r="C18" s="6"/>
      <c r="AR18" s="6"/>
    </row>
    <row r="19" customFormat="false" ht="18" hidden="false" customHeight="true" outlineLevel="0" collapsed="false">
      <c r="C19" s="6"/>
      <c r="AR19" s="6"/>
    </row>
    <row r="20" customFormat="false" ht="18" hidden="false" customHeight="true" outlineLevel="0" collapsed="false">
      <c r="C20" s="6"/>
      <c r="AR20" s="6"/>
    </row>
    <row r="21" customFormat="false" ht="18" hidden="false" customHeight="true" outlineLevel="0" collapsed="false">
      <c r="C21" s="6"/>
      <c r="AR21" s="6"/>
    </row>
    <row r="22" customFormat="false" ht="18" hidden="false" customHeight="true" outlineLevel="0" collapsed="false">
      <c r="C22" s="6"/>
      <c r="AR22" s="6"/>
    </row>
    <row r="23" customFormat="false" ht="18" hidden="false" customHeight="true" outlineLevel="0" collapsed="false">
      <c r="C23" s="6"/>
      <c r="AR23" s="6"/>
    </row>
    <row r="24" customFormat="false" ht="18" hidden="false" customHeight="true" outlineLevel="0" collapsed="false">
      <c r="C24" s="6"/>
      <c r="AR24" s="6"/>
    </row>
    <row r="25" customFormat="false" ht="18" hidden="false" customHeight="true" outlineLevel="0" collapsed="false">
      <c r="C25" s="6"/>
      <c r="AR25" s="6"/>
    </row>
    <row r="26" customFormat="false" ht="18" hidden="false" customHeight="true" outlineLevel="0" collapsed="false">
      <c r="C26" s="6"/>
      <c r="AR26" s="6"/>
    </row>
    <row r="27" customFormat="false" ht="18" hidden="false" customHeight="true" outlineLevel="0" collapsed="false">
      <c r="C27" s="6"/>
      <c r="AR27" s="6"/>
    </row>
    <row r="28" customFormat="false" ht="18" hidden="false" customHeight="true" outlineLevel="0" collapsed="false">
      <c r="C28" s="6"/>
      <c r="AR28" s="6"/>
    </row>
    <row r="29" customFormat="false" ht="18" hidden="false" customHeight="true" outlineLevel="0" collapsed="false">
      <c r="C29" s="6"/>
      <c r="AR29" s="6"/>
    </row>
    <row r="30" customFormat="false" ht="18" hidden="false" customHeight="true" outlineLevel="0" collapsed="false">
      <c r="C30" s="6"/>
      <c r="AR30" s="6"/>
    </row>
    <row r="31" customFormat="false" ht="18" hidden="false" customHeight="true" outlineLevel="0" collapsed="false">
      <c r="C31" s="6"/>
      <c r="AR31" s="6"/>
    </row>
    <row r="32" customFormat="false" ht="18" hidden="false" customHeight="true" outlineLevel="0" collapsed="false">
      <c r="C32" s="6"/>
      <c r="AR32" s="6"/>
    </row>
    <row r="33" customFormat="false" ht="18" hidden="false" customHeight="true" outlineLevel="0" collapsed="false">
      <c r="C33" s="6"/>
      <c r="AR33" s="6"/>
    </row>
    <row r="34" customFormat="false" ht="18" hidden="false" customHeight="true" outlineLevel="0" collapsed="false">
      <c r="C34" s="6"/>
      <c r="AR34" s="6"/>
    </row>
    <row r="35" customFormat="false" ht="18" hidden="false" customHeight="true" outlineLevel="0" collapsed="false">
      <c r="C35" s="6"/>
      <c r="AR35" s="6"/>
    </row>
    <row r="36" customFormat="false" ht="18" hidden="false" customHeight="true" outlineLevel="0" collapsed="false">
      <c r="C36" s="6"/>
      <c r="AR36" s="6"/>
    </row>
    <row r="37" customFormat="false" ht="18" hidden="false" customHeight="true" outlineLevel="0" collapsed="false">
      <c r="C37" s="6"/>
      <c r="AR37" s="6"/>
    </row>
    <row r="38" customFormat="false" ht="18" hidden="false" customHeight="true" outlineLevel="0" collapsed="false">
      <c r="C38" s="6"/>
      <c r="AR38" s="6"/>
    </row>
    <row r="39" customFormat="false" ht="18" hidden="false" customHeight="true" outlineLevel="0" collapsed="false">
      <c r="C39" s="6"/>
      <c r="AR39" s="6"/>
    </row>
    <row r="40" customFormat="false" ht="18" hidden="false" customHeight="true" outlineLevel="0" collapsed="false">
      <c r="C40" s="6"/>
      <c r="AR40" s="6"/>
    </row>
    <row r="41" customFormat="false" ht="18" hidden="false" customHeight="true" outlineLevel="0" collapsed="false">
      <c r="C41" s="6"/>
      <c r="AR41" s="6"/>
    </row>
    <row r="42" customFormat="false" ht="18" hidden="false" customHeight="true" outlineLevel="0" collapsed="false">
      <c r="C42" s="6"/>
      <c r="AR42" s="6"/>
    </row>
    <row r="43" customFormat="false" ht="18" hidden="false" customHeight="true" outlineLevel="0" collapsed="false">
      <c r="C43" s="6"/>
      <c r="AR43" s="6"/>
    </row>
    <row r="44" customFormat="false" ht="18" hidden="false" customHeight="true" outlineLevel="0" collapsed="false">
      <c r="C44" s="6"/>
      <c r="AR44" s="6"/>
    </row>
    <row r="45" customFormat="false" ht="18" hidden="false" customHeight="true" outlineLevel="0" collapsed="false">
      <c r="C45" s="6"/>
      <c r="AR45" s="6"/>
    </row>
    <row r="46" customFormat="false" ht="18" hidden="false" customHeight="true" outlineLevel="0" collapsed="false">
      <c r="C46" s="6"/>
      <c r="AR46" s="6"/>
    </row>
    <row r="47" customFormat="false" ht="18" hidden="false" customHeight="true" outlineLevel="0" collapsed="false">
      <c r="C47" s="6"/>
      <c r="AR47" s="6"/>
    </row>
    <row r="48" customFormat="false" ht="18" hidden="false" customHeight="true" outlineLevel="0" collapsed="false">
      <c r="C48" s="6"/>
      <c r="AR48" s="6"/>
    </row>
    <row r="49" customFormat="false" ht="18" hidden="false" customHeight="true" outlineLevel="0" collapsed="false">
      <c r="C49" s="6"/>
      <c r="AR49" s="6"/>
    </row>
    <row r="50" customFormat="false" ht="18" hidden="false" customHeight="true" outlineLevel="0" collapsed="false">
      <c r="C50" s="6"/>
      <c r="AR50" s="6"/>
    </row>
    <row r="51" customFormat="false" ht="18" hidden="false" customHeight="true" outlineLevel="0" collapsed="false">
      <c r="C51" s="6"/>
      <c r="AR51" s="6"/>
    </row>
    <row r="52" customFormat="false" ht="18" hidden="false" customHeight="true" outlineLevel="0" collapsed="false">
      <c r="C52" s="6"/>
      <c r="AR52" s="6"/>
    </row>
    <row r="53" customFormat="false" ht="18" hidden="false" customHeight="true" outlineLevel="0" collapsed="false">
      <c r="C53" s="6"/>
      <c r="AR53" s="6"/>
    </row>
    <row r="54" customFormat="false" ht="18" hidden="false" customHeight="true" outlineLevel="0" collapsed="false">
      <c r="C54" s="6"/>
      <c r="AR54" s="6"/>
    </row>
    <row r="55" customFormat="false" ht="18" hidden="false" customHeight="true" outlineLevel="0" collapsed="false">
      <c r="C55" s="6"/>
      <c r="AR55" s="6"/>
    </row>
    <row r="56" customFormat="false" ht="18" hidden="false" customHeight="true" outlineLevel="0" collapsed="false">
      <c r="C56" s="6"/>
      <c r="AR56" s="6"/>
    </row>
    <row r="57" customFormat="false" ht="18" hidden="false" customHeight="true" outlineLevel="0" collapsed="false">
      <c r="C57" s="6"/>
      <c r="AR57" s="6"/>
    </row>
    <row r="58" customFormat="false" ht="18" hidden="false" customHeight="true" outlineLevel="0" collapsed="false">
      <c r="C58" s="6"/>
      <c r="AR58" s="6"/>
    </row>
    <row r="59" customFormat="false" ht="18" hidden="false" customHeight="true" outlineLevel="0" collapsed="false">
      <c r="C59" s="6"/>
      <c r="AR59" s="6"/>
    </row>
    <row r="60" customFormat="false" ht="18" hidden="false" customHeight="true" outlineLevel="0" collapsed="false">
      <c r="C60" s="6"/>
      <c r="AR60" s="6"/>
    </row>
    <row r="61" customFormat="false" ht="18" hidden="false" customHeight="true" outlineLevel="0" collapsed="false">
      <c r="C61" s="6"/>
      <c r="AR61" s="6"/>
    </row>
    <row r="62" customFormat="false" ht="18" hidden="false" customHeight="true" outlineLevel="0" collapsed="false">
      <c r="C62" s="6"/>
      <c r="AR62" s="6"/>
    </row>
    <row r="63" customFormat="false" ht="18" hidden="false" customHeight="true" outlineLevel="0" collapsed="false">
      <c r="C63" s="6"/>
      <c r="AR63" s="6"/>
    </row>
    <row r="64" customFormat="false" ht="18" hidden="false" customHeight="true" outlineLevel="0" collapsed="false">
      <c r="C64" s="6"/>
      <c r="AR64" s="6"/>
    </row>
    <row r="65" customFormat="false" ht="18" hidden="false" customHeight="true" outlineLevel="0" collapsed="false">
      <c r="C65" s="6"/>
      <c r="AR65" s="6"/>
    </row>
    <row r="66" customFormat="false" ht="18" hidden="false" customHeight="true" outlineLevel="0" collapsed="false">
      <c r="C66" s="6"/>
      <c r="AR66" s="6"/>
    </row>
    <row r="67" customFormat="false" ht="18" hidden="false" customHeight="true" outlineLevel="0" collapsed="false">
      <c r="C67" s="6"/>
      <c r="AR67" s="6"/>
    </row>
    <row r="68" customFormat="false" ht="18" hidden="false" customHeight="true" outlineLevel="0" collapsed="false">
      <c r="C68" s="6"/>
      <c r="AR68" s="6"/>
    </row>
    <row r="69" customFormat="false" ht="18" hidden="false" customHeight="true" outlineLevel="0" collapsed="false">
      <c r="C69" s="6"/>
      <c r="AR69" s="6"/>
    </row>
    <row r="70" customFormat="false" ht="18" hidden="false" customHeight="true" outlineLevel="0" collapsed="false">
      <c r="C70" s="6"/>
      <c r="AR70" s="6"/>
    </row>
    <row r="71" customFormat="false" ht="18" hidden="false" customHeight="true" outlineLevel="0" collapsed="false">
      <c r="C71" s="6"/>
      <c r="AR71" s="6"/>
    </row>
    <row r="72" customFormat="false" ht="18" hidden="false" customHeight="true" outlineLevel="0" collapsed="false">
      <c r="C72" s="6"/>
      <c r="AR72" s="6"/>
    </row>
    <row r="73" customFormat="false" ht="18" hidden="false" customHeight="true" outlineLevel="0" collapsed="false">
      <c r="C73" s="6"/>
      <c r="AR73" s="6"/>
    </row>
    <row r="74" customFormat="false" ht="18" hidden="false" customHeight="true" outlineLevel="0" collapsed="false">
      <c r="C74" s="6"/>
      <c r="AR74" s="6"/>
    </row>
    <row r="75" customFormat="false" ht="18" hidden="false" customHeight="true" outlineLevel="0" collapsed="false">
      <c r="C75" s="6"/>
      <c r="AR75" s="6"/>
    </row>
    <row r="76" customFormat="false" ht="18" hidden="false" customHeight="true" outlineLevel="0" collapsed="false">
      <c r="C76" s="6"/>
      <c r="AR76" s="6"/>
    </row>
    <row r="77" customFormat="false" ht="18" hidden="false" customHeight="true" outlineLevel="0" collapsed="false">
      <c r="C77" s="6"/>
      <c r="AR77" s="6"/>
    </row>
    <row r="78" customFormat="false" ht="18" hidden="false" customHeight="true" outlineLevel="0" collapsed="false">
      <c r="C78" s="6"/>
      <c r="AR78" s="6"/>
    </row>
    <row r="79" customFormat="false" ht="18" hidden="false" customHeight="true" outlineLevel="0" collapsed="false">
      <c r="C79" s="6"/>
      <c r="AR79" s="6"/>
    </row>
    <row r="80" customFormat="false" ht="18" hidden="false" customHeight="true" outlineLevel="0" collapsed="false">
      <c r="C80" s="6"/>
      <c r="AR80" s="6"/>
    </row>
    <row r="81" customFormat="false" ht="18" hidden="false" customHeight="true" outlineLevel="0" collapsed="false">
      <c r="C81" s="6"/>
      <c r="AR81" s="6"/>
    </row>
    <row r="82" customFormat="false" ht="18" hidden="false" customHeight="true" outlineLevel="0" collapsed="false">
      <c r="C82" s="6"/>
      <c r="AR82" s="6"/>
    </row>
    <row r="83" customFormat="false" ht="18" hidden="false" customHeight="true" outlineLevel="0" collapsed="false">
      <c r="C83" s="6"/>
      <c r="AR83" s="6"/>
    </row>
    <row r="84" customFormat="false" ht="18" hidden="false" customHeight="true" outlineLevel="0" collapsed="false">
      <c r="C84" s="6"/>
      <c r="AR84" s="6"/>
    </row>
    <row r="85" customFormat="false" ht="18" hidden="false" customHeight="true" outlineLevel="0" collapsed="false">
      <c r="C85" s="6"/>
      <c r="AR85" s="6"/>
    </row>
    <row r="86" customFormat="false" ht="18" hidden="false" customHeight="true" outlineLevel="0" collapsed="false">
      <c r="C86" s="6"/>
      <c r="AR86" s="6"/>
    </row>
    <row r="87" customFormat="false" ht="18" hidden="false" customHeight="true" outlineLevel="0" collapsed="false">
      <c r="C87" s="6"/>
      <c r="AR87" s="6"/>
    </row>
    <row r="88" customFormat="false" ht="18" hidden="false" customHeight="true" outlineLevel="0" collapsed="false">
      <c r="C88" s="6"/>
      <c r="AR88" s="6"/>
    </row>
    <row r="89" customFormat="false" ht="18" hidden="false" customHeight="true" outlineLevel="0" collapsed="false">
      <c r="C89" s="6"/>
      <c r="AR89" s="6"/>
    </row>
    <row r="90" customFormat="false" ht="18" hidden="false" customHeight="true" outlineLevel="0" collapsed="false">
      <c r="C90" s="6"/>
      <c r="AR90" s="6"/>
    </row>
    <row r="91" customFormat="false" ht="18" hidden="false" customHeight="true" outlineLevel="0" collapsed="false">
      <c r="C91" s="6"/>
      <c r="AR91" s="6"/>
    </row>
    <row r="92" customFormat="false" ht="18" hidden="false" customHeight="true" outlineLevel="0" collapsed="false">
      <c r="C92" s="6"/>
      <c r="AR92" s="6"/>
    </row>
    <row r="93" customFormat="false" ht="18" hidden="false" customHeight="true" outlineLevel="0" collapsed="false">
      <c r="C93" s="6"/>
      <c r="AR93" s="6"/>
    </row>
    <row r="94" customFormat="false" ht="18" hidden="false" customHeight="true" outlineLevel="0" collapsed="false">
      <c r="C94" s="6"/>
      <c r="AR94" s="6"/>
    </row>
    <row r="95" customFormat="false" ht="18" hidden="false" customHeight="true" outlineLevel="0" collapsed="false">
      <c r="C95" s="6"/>
      <c r="AR95" s="6"/>
    </row>
    <row r="96" customFormat="false" ht="18" hidden="false" customHeight="true" outlineLevel="0" collapsed="false">
      <c r="C96" s="6"/>
      <c r="AR96" s="6"/>
    </row>
    <row r="97" customFormat="false" ht="18" hidden="false" customHeight="true" outlineLevel="0" collapsed="false">
      <c r="C97" s="6"/>
      <c r="AR97" s="6"/>
    </row>
    <row r="98" customFormat="false" ht="18" hidden="false" customHeight="true" outlineLevel="0" collapsed="false">
      <c r="C98" s="6"/>
      <c r="AR98" s="6"/>
    </row>
    <row r="99" customFormat="false" ht="18" hidden="false" customHeight="true" outlineLevel="0" collapsed="false">
      <c r="C99" s="6"/>
      <c r="AR99" s="6"/>
    </row>
    <row r="100" customFormat="false" ht="18" hidden="false" customHeight="true" outlineLevel="0" collapsed="false">
      <c r="C100" s="6"/>
      <c r="AR100" s="6"/>
    </row>
    <row r="101" customFormat="false" ht="18" hidden="false" customHeight="true" outlineLevel="0" collapsed="false">
      <c r="C101" s="6"/>
      <c r="AR101" s="6"/>
    </row>
    <row r="102" customFormat="false" ht="18" hidden="false" customHeight="true" outlineLevel="0" collapsed="false">
      <c r="C102" s="6"/>
      <c r="AR102" s="6"/>
    </row>
    <row r="103" customFormat="false" ht="18" hidden="false" customHeight="true" outlineLevel="0" collapsed="false">
      <c r="C103" s="6"/>
      <c r="AR103" s="6"/>
    </row>
    <row r="104" customFormat="false" ht="18" hidden="false" customHeight="true" outlineLevel="0" collapsed="false">
      <c r="C104" s="6"/>
      <c r="AR104" s="6"/>
    </row>
    <row r="105" customFormat="false" ht="18" hidden="false" customHeight="true" outlineLevel="0" collapsed="false">
      <c r="C105" s="6"/>
      <c r="AR105" s="6"/>
    </row>
    <row r="106" customFormat="false" ht="18" hidden="false" customHeight="true" outlineLevel="0" collapsed="false">
      <c r="C106" s="6"/>
      <c r="AR106" s="6"/>
    </row>
    <row r="107" customFormat="false" ht="18" hidden="false" customHeight="true" outlineLevel="0" collapsed="false">
      <c r="C107" s="6"/>
      <c r="AR107" s="6"/>
    </row>
    <row r="108" customFormat="false" ht="18" hidden="false" customHeight="true" outlineLevel="0" collapsed="false">
      <c r="C108" s="6"/>
      <c r="AR108" s="6"/>
    </row>
    <row r="109" customFormat="false" ht="18" hidden="false" customHeight="true" outlineLevel="0" collapsed="false">
      <c r="C109" s="6"/>
      <c r="AR109" s="6"/>
    </row>
    <row r="110" customFormat="false" ht="18" hidden="false" customHeight="true" outlineLevel="0" collapsed="false">
      <c r="C110" s="6"/>
      <c r="AR110" s="6"/>
    </row>
    <row r="111" customFormat="false" ht="18" hidden="false" customHeight="true" outlineLevel="0" collapsed="false">
      <c r="C111" s="6"/>
      <c r="AR111" s="6"/>
    </row>
    <row r="112" customFormat="false" ht="18" hidden="false" customHeight="true" outlineLevel="0" collapsed="false">
      <c r="C112" s="6"/>
      <c r="AR112" s="6"/>
    </row>
    <row r="113" customFormat="false" ht="18" hidden="false" customHeight="true" outlineLevel="0" collapsed="false">
      <c r="C113" s="6"/>
      <c r="AR113" s="6"/>
    </row>
    <row r="114" customFormat="false" ht="18" hidden="false" customHeight="true" outlineLevel="0" collapsed="false">
      <c r="C114" s="6"/>
      <c r="AR114" s="6"/>
    </row>
    <row r="115" customFormat="false" ht="18" hidden="false" customHeight="true" outlineLevel="0" collapsed="false">
      <c r="C115" s="6"/>
      <c r="AR115" s="6"/>
    </row>
    <row r="116" customFormat="false" ht="18" hidden="false" customHeight="true" outlineLevel="0" collapsed="false">
      <c r="C116" s="6"/>
      <c r="AR116" s="6"/>
    </row>
    <row r="117" customFormat="false" ht="18" hidden="false" customHeight="true" outlineLevel="0" collapsed="false">
      <c r="C117" s="6"/>
      <c r="AR117" s="6"/>
    </row>
    <row r="118" customFormat="false" ht="18" hidden="false" customHeight="true" outlineLevel="0" collapsed="false">
      <c r="C118" s="6"/>
      <c r="AR118" s="6"/>
    </row>
    <row r="119" customFormat="false" ht="18" hidden="false" customHeight="true" outlineLevel="0" collapsed="false">
      <c r="C119" s="6"/>
      <c r="AR119" s="6"/>
    </row>
    <row r="120" customFormat="false" ht="18" hidden="false" customHeight="true" outlineLevel="0" collapsed="false">
      <c r="C120" s="6"/>
      <c r="AR120" s="6"/>
    </row>
    <row r="121" customFormat="false" ht="18" hidden="false" customHeight="true" outlineLevel="0" collapsed="false">
      <c r="C121" s="6"/>
      <c r="AR121" s="6"/>
    </row>
    <row r="122" customFormat="false" ht="18" hidden="false" customHeight="true" outlineLevel="0" collapsed="false">
      <c r="C122" s="6"/>
      <c r="AR122" s="6"/>
    </row>
    <row r="123" customFormat="false" ht="18" hidden="false" customHeight="true" outlineLevel="0" collapsed="false">
      <c r="C123" s="6"/>
      <c r="AR123" s="6"/>
    </row>
    <row r="124" customFormat="false" ht="18" hidden="false" customHeight="true" outlineLevel="0" collapsed="false">
      <c r="C124" s="6"/>
      <c r="AR124" s="6"/>
    </row>
    <row r="125" customFormat="false" ht="18" hidden="false" customHeight="true" outlineLevel="0" collapsed="false">
      <c r="C125" s="6"/>
      <c r="AR125" s="6"/>
    </row>
    <row r="126" customFormat="false" ht="18" hidden="false" customHeight="true" outlineLevel="0" collapsed="false">
      <c r="C126" s="6"/>
      <c r="AR126" s="6"/>
    </row>
    <row r="127" customFormat="false" ht="18" hidden="false" customHeight="true" outlineLevel="0" collapsed="false">
      <c r="C127" s="6"/>
      <c r="AR127" s="6"/>
    </row>
    <row r="128" customFormat="false" ht="18" hidden="false" customHeight="true" outlineLevel="0" collapsed="false">
      <c r="C128" s="6"/>
      <c r="AR128" s="6"/>
    </row>
    <row r="129" customFormat="false" ht="18" hidden="false" customHeight="true" outlineLevel="0" collapsed="false">
      <c r="C129" s="6"/>
      <c r="AR129" s="6"/>
    </row>
    <row r="130" customFormat="false" ht="18" hidden="false" customHeight="true" outlineLevel="0" collapsed="false">
      <c r="C130" s="6"/>
      <c r="AR130" s="6"/>
    </row>
    <row r="131" customFormat="false" ht="18" hidden="false" customHeight="true" outlineLevel="0" collapsed="false">
      <c r="C131" s="6"/>
      <c r="AR131" s="6"/>
    </row>
    <row r="132" customFormat="false" ht="18" hidden="false" customHeight="true" outlineLevel="0" collapsed="false">
      <c r="C132" s="6"/>
      <c r="AR132" s="6"/>
    </row>
    <row r="133" customFormat="false" ht="18" hidden="false" customHeight="true" outlineLevel="0" collapsed="false">
      <c r="C133" s="6"/>
      <c r="AR133" s="6"/>
    </row>
    <row r="134" customFormat="false" ht="18" hidden="false" customHeight="true" outlineLevel="0" collapsed="false">
      <c r="C134" s="6"/>
      <c r="AR134" s="6"/>
    </row>
    <row r="135" customFormat="false" ht="18" hidden="false" customHeight="true" outlineLevel="0" collapsed="false">
      <c r="C135" s="6"/>
      <c r="AR135" s="6"/>
    </row>
    <row r="136" customFormat="false" ht="18" hidden="false" customHeight="true" outlineLevel="0" collapsed="false">
      <c r="C136" s="6"/>
      <c r="AR136" s="6"/>
    </row>
    <row r="137" customFormat="false" ht="18" hidden="false" customHeight="true" outlineLevel="0" collapsed="false">
      <c r="C137" s="6"/>
      <c r="AR137" s="6"/>
    </row>
    <row r="138" customFormat="false" ht="18" hidden="false" customHeight="true" outlineLevel="0" collapsed="false">
      <c r="C138" s="6"/>
      <c r="AR138" s="6"/>
    </row>
    <row r="139" customFormat="false" ht="18" hidden="false" customHeight="true" outlineLevel="0" collapsed="false">
      <c r="C139" s="6"/>
      <c r="AR139" s="6"/>
    </row>
    <row r="140" customFormat="false" ht="18" hidden="false" customHeight="true" outlineLevel="0" collapsed="false">
      <c r="C140" s="6"/>
      <c r="AR140" s="6"/>
    </row>
    <row r="141" customFormat="false" ht="18" hidden="false" customHeight="true" outlineLevel="0" collapsed="false">
      <c r="C141" s="6"/>
      <c r="AR141" s="6"/>
    </row>
    <row r="142" customFormat="false" ht="18" hidden="false" customHeight="true" outlineLevel="0" collapsed="false">
      <c r="C142" s="6"/>
      <c r="AR142" s="6"/>
    </row>
    <row r="143" customFormat="false" ht="18" hidden="false" customHeight="true" outlineLevel="0" collapsed="false">
      <c r="C143" s="6"/>
      <c r="AR143" s="6"/>
    </row>
    <row r="144" customFormat="false" ht="18" hidden="false" customHeight="true" outlineLevel="0" collapsed="false">
      <c r="C144" s="6"/>
      <c r="AR144" s="6"/>
    </row>
    <row r="145" customFormat="false" ht="18" hidden="false" customHeight="true" outlineLevel="0" collapsed="false">
      <c r="C145" s="6"/>
      <c r="AR145" s="6"/>
    </row>
    <row r="146" customFormat="false" ht="18" hidden="false" customHeight="true" outlineLevel="0" collapsed="false">
      <c r="C146" s="6"/>
      <c r="AR146" s="6"/>
    </row>
    <row r="147" customFormat="false" ht="18" hidden="false" customHeight="true" outlineLevel="0" collapsed="false">
      <c r="C147" s="6"/>
      <c r="AR147" s="6"/>
    </row>
    <row r="148" customFormat="false" ht="18" hidden="false" customHeight="true" outlineLevel="0" collapsed="false">
      <c r="C148" s="6"/>
      <c r="AR148" s="6"/>
    </row>
    <row r="149" customFormat="false" ht="18" hidden="false" customHeight="true" outlineLevel="0" collapsed="false">
      <c r="C149" s="6"/>
      <c r="AR149" s="6"/>
    </row>
    <row r="150" customFormat="false" ht="18" hidden="false" customHeight="true" outlineLevel="0" collapsed="false">
      <c r="C150" s="6"/>
      <c r="AR150" s="6"/>
    </row>
    <row r="151" customFormat="false" ht="18" hidden="false" customHeight="true" outlineLevel="0" collapsed="false">
      <c r="C151" s="6"/>
      <c r="AR151" s="6"/>
    </row>
    <row r="152" customFormat="false" ht="18" hidden="false" customHeight="true" outlineLevel="0" collapsed="false">
      <c r="C152" s="6"/>
      <c r="AR152" s="6"/>
    </row>
    <row r="153" customFormat="false" ht="18" hidden="false" customHeight="true" outlineLevel="0" collapsed="false">
      <c r="C153" s="6"/>
      <c r="AR153" s="6"/>
    </row>
    <row r="154" customFormat="false" ht="18" hidden="false" customHeight="true" outlineLevel="0" collapsed="false">
      <c r="C154" s="6"/>
      <c r="AR154" s="6"/>
    </row>
    <row r="155" customFormat="false" ht="18" hidden="false" customHeight="true" outlineLevel="0" collapsed="false">
      <c r="C155" s="6"/>
      <c r="AR155" s="6"/>
    </row>
    <row r="156" customFormat="false" ht="18" hidden="false" customHeight="true" outlineLevel="0" collapsed="false">
      <c r="C156" s="6"/>
      <c r="AR156" s="6"/>
    </row>
    <row r="157" customFormat="false" ht="18" hidden="false" customHeight="true" outlineLevel="0" collapsed="false">
      <c r="C157" s="6"/>
      <c r="AR157" s="6"/>
    </row>
    <row r="158" customFormat="false" ht="18" hidden="false" customHeight="true" outlineLevel="0" collapsed="false">
      <c r="C158" s="6"/>
      <c r="AR158" s="6"/>
    </row>
    <row r="159" customFormat="false" ht="18" hidden="false" customHeight="true" outlineLevel="0" collapsed="false">
      <c r="C159" s="6"/>
      <c r="AR159" s="6"/>
    </row>
    <row r="160" customFormat="false" ht="18" hidden="false" customHeight="true" outlineLevel="0" collapsed="false">
      <c r="C160" s="6"/>
      <c r="AR160" s="6"/>
    </row>
    <row r="161" customFormat="false" ht="18" hidden="false" customHeight="true" outlineLevel="0" collapsed="false">
      <c r="C161" s="6"/>
      <c r="AR161" s="6"/>
    </row>
    <row r="162" customFormat="false" ht="18" hidden="false" customHeight="true" outlineLevel="0" collapsed="false">
      <c r="C162" s="6"/>
      <c r="AR162" s="6"/>
    </row>
    <row r="163" customFormat="false" ht="18" hidden="false" customHeight="true" outlineLevel="0" collapsed="false">
      <c r="C163" s="6"/>
      <c r="AR163" s="6"/>
    </row>
    <row r="164" customFormat="false" ht="18" hidden="false" customHeight="true" outlineLevel="0" collapsed="false">
      <c r="C164" s="6"/>
      <c r="AR164" s="6"/>
    </row>
    <row r="165" customFormat="false" ht="18" hidden="false" customHeight="true" outlineLevel="0" collapsed="false">
      <c r="C165" s="6"/>
      <c r="AR165" s="6"/>
    </row>
    <row r="166" customFormat="false" ht="18" hidden="false" customHeight="true" outlineLevel="0" collapsed="false">
      <c r="C166" s="6"/>
      <c r="AR166" s="6"/>
    </row>
    <row r="167" customFormat="false" ht="18" hidden="false" customHeight="true" outlineLevel="0" collapsed="false">
      <c r="C167" s="6"/>
      <c r="AR167" s="6"/>
    </row>
    <row r="168" customFormat="false" ht="18" hidden="false" customHeight="true" outlineLevel="0" collapsed="false">
      <c r="C168" s="6"/>
      <c r="AR168" s="6"/>
    </row>
    <row r="169" customFormat="false" ht="18" hidden="false" customHeight="true" outlineLevel="0" collapsed="false">
      <c r="C169" s="6"/>
      <c r="AR169" s="6"/>
    </row>
    <row r="170" customFormat="false" ht="18" hidden="false" customHeight="true" outlineLevel="0" collapsed="false">
      <c r="C170" s="6"/>
      <c r="AR170" s="6"/>
    </row>
    <row r="171" customFormat="false" ht="18" hidden="false" customHeight="true" outlineLevel="0" collapsed="false">
      <c r="C171" s="6"/>
      <c r="AR171" s="6"/>
    </row>
    <row r="172" customFormat="false" ht="18" hidden="false" customHeight="true" outlineLevel="0" collapsed="false">
      <c r="C172" s="6"/>
      <c r="AR172" s="6"/>
    </row>
    <row r="173" customFormat="false" ht="18" hidden="false" customHeight="true" outlineLevel="0" collapsed="false">
      <c r="C173" s="6"/>
      <c r="AR173" s="6"/>
    </row>
    <row r="174" customFormat="false" ht="18" hidden="false" customHeight="true" outlineLevel="0" collapsed="false">
      <c r="C174" s="6"/>
      <c r="AR174" s="6"/>
    </row>
    <row r="175" customFormat="false" ht="18" hidden="false" customHeight="true" outlineLevel="0" collapsed="false">
      <c r="C175" s="6"/>
      <c r="AR175" s="6"/>
    </row>
    <row r="176" customFormat="false" ht="18" hidden="false" customHeight="true" outlineLevel="0" collapsed="false">
      <c r="C176" s="6"/>
      <c r="AR176" s="6"/>
    </row>
    <row r="177" customFormat="false" ht="18" hidden="false" customHeight="true" outlineLevel="0" collapsed="false">
      <c r="C177" s="6"/>
      <c r="AR177" s="6"/>
    </row>
    <row r="178" customFormat="false" ht="18" hidden="false" customHeight="true" outlineLevel="0" collapsed="false">
      <c r="C178" s="6"/>
      <c r="AR178" s="6"/>
    </row>
    <row r="179" customFormat="false" ht="18" hidden="false" customHeight="true" outlineLevel="0" collapsed="false">
      <c r="C179" s="6"/>
      <c r="AR179" s="6"/>
    </row>
    <row r="180" customFormat="false" ht="18" hidden="false" customHeight="true" outlineLevel="0" collapsed="false">
      <c r="C180" s="6"/>
      <c r="AR180" s="6"/>
    </row>
    <row r="181" customFormat="false" ht="18" hidden="false" customHeight="true" outlineLevel="0" collapsed="false">
      <c r="C181" s="6"/>
      <c r="AR181" s="6"/>
    </row>
    <row r="182" customFormat="false" ht="18" hidden="false" customHeight="true" outlineLevel="0" collapsed="false">
      <c r="C182" s="6"/>
      <c r="AR182" s="6"/>
    </row>
    <row r="183" customFormat="false" ht="18" hidden="false" customHeight="true" outlineLevel="0" collapsed="false">
      <c r="C183" s="6"/>
      <c r="AR183" s="6"/>
    </row>
    <row r="184" customFormat="false" ht="18" hidden="false" customHeight="true" outlineLevel="0" collapsed="false">
      <c r="C184" s="6"/>
      <c r="AR184" s="6"/>
    </row>
    <row r="185" customFormat="false" ht="18" hidden="false" customHeight="true" outlineLevel="0" collapsed="false">
      <c r="C185" s="6"/>
      <c r="AR185" s="6"/>
    </row>
    <row r="186" customFormat="false" ht="18" hidden="false" customHeight="true" outlineLevel="0" collapsed="false">
      <c r="C186" s="6"/>
      <c r="AR186" s="6"/>
    </row>
    <row r="187" customFormat="false" ht="18" hidden="false" customHeight="true" outlineLevel="0" collapsed="false">
      <c r="C187" s="6"/>
      <c r="AR187" s="6"/>
    </row>
    <row r="188" customFormat="false" ht="18" hidden="false" customHeight="true" outlineLevel="0" collapsed="false">
      <c r="C188" s="6"/>
      <c r="AR188" s="6"/>
    </row>
    <row r="189" customFormat="false" ht="18" hidden="false" customHeight="true" outlineLevel="0" collapsed="false">
      <c r="C189" s="6"/>
      <c r="AR189" s="6"/>
    </row>
    <row r="190" customFormat="false" ht="18" hidden="false" customHeight="true" outlineLevel="0" collapsed="false">
      <c r="C190" s="6"/>
      <c r="AR190" s="6"/>
    </row>
    <row r="191" customFormat="false" ht="18" hidden="false" customHeight="true" outlineLevel="0" collapsed="false">
      <c r="C191" s="6"/>
      <c r="AR191" s="6"/>
    </row>
    <row r="192" customFormat="false" ht="18" hidden="false" customHeight="true" outlineLevel="0" collapsed="false">
      <c r="C192" s="6"/>
      <c r="AR192" s="6"/>
    </row>
    <row r="193" customFormat="false" ht="18" hidden="false" customHeight="true" outlineLevel="0" collapsed="false">
      <c r="C193" s="6"/>
      <c r="AR193" s="6"/>
    </row>
    <row r="194" customFormat="false" ht="18" hidden="false" customHeight="true" outlineLevel="0" collapsed="false">
      <c r="C194" s="6"/>
      <c r="AR194" s="6"/>
    </row>
    <row r="195" customFormat="false" ht="18" hidden="false" customHeight="true" outlineLevel="0" collapsed="false">
      <c r="C195" s="6"/>
      <c r="AR195" s="6"/>
    </row>
    <row r="196" customFormat="false" ht="18" hidden="false" customHeight="true" outlineLevel="0" collapsed="false">
      <c r="C196" s="6"/>
      <c r="AR196" s="6"/>
    </row>
    <row r="197" customFormat="false" ht="18" hidden="false" customHeight="true" outlineLevel="0" collapsed="false">
      <c r="C197" s="6"/>
      <c r="AR197" s="6"/>
    </row>
    <row r="198" customFormat="false" ht="18" hidden="false" customHeight="true" outlineLevel="0" collapsed="false">
      <c r="C198" s="6"/>
      <c r="AR198" s="6"/>
    </row>
    <row r="199" customFormat="false" ht="18" hidden="false" customHeight="true" outlineLevel="0" collapsed="false">
      <c r="C199" s="6"/>
      <c r="AR199" s="6"/>
    </row>
    <row r="200" customFormat="false" ht="18" hidden="false" customHeight="true" outlineLevel="0" collapsed="false">
      <c r="C200" s="6"/>
      <c r="AR200" s="6"/>
    </row>
    <row r="201" customFormat="false" ht="18" hidden="false" customHeight="true" outlineLevel="0" collapsed="false">
      <c r="C201" s="6"/>
      <c r="AR201" s="6"/>
    </row>
    <row r="202" customFormat="false" ht="18" hidden="false" customHeight="true" outlineLevel="0" collapsed="false">
      <c r="C202" s="6"/>
      <c r="AR202" s="6"/>
    </row>
    <row r="203" customFormat="false" ht="18" hidden="false" customHeight="true" outlineLevel="0" collapsed="false">
      <c r="C203" s="6"/>
      <c r="AR203" s="6"/>
    </row>
    <row r="204" customFormat="false" ht="18" hidden="false" customHeight="true" outlineLevel="0" collapsed="false">
      <c r="C204" s="6"/>
      <c r="AR204" s="6"/>
    </row>
    <row r="205" customFormat="false" ht="18" hidden="false" customHeight="true" outlineLevel="0" collapsed="false">
      <c r="C205" s="6"/>
      <c r="AR205" s="6"/>
    </row>
    <row r="206" customFormat="false" ht="18" hidden="false" customHeight="true" outlineLevel="0" collapsed="false">
      <c r="C206" s="6"/>
      <c r="AR206" s="6"/>
    </row>
    <row r="207" customFormat="false" ht="18" hidden="false" customHeight="true" outlineLevel="0" collapsed="false">
      <c r="C207" s="6"/>
      <c r="AR207" s="6"/>
    </row>
    <row r="208" customFormat="false" ht="18" hidden="false" customHeight="true" outlineLevel="0" collapsed="false">
      <c r="C208" s="6"/>
      <c r="AR208" s="6"/>
    </row>
    <row r="209" customFormat="false" ht="18" hidden="false" customHeight="true" outlineLevel="0" collapsed="false">
      <c r="C209" s="6"/>
      <c r="AR209" s="6"/>
    </row>
    <row r="210" customFormat="false" ht="18" hidden="false" customHeight="true" outlineLevel="0" collapsed="false">
      <c r="C210" s="6"/>
      <c r="AR210" s="6"/>
    </row>
    <row r="211" customFormat="false" ht="18" hidden="false" customHeight="true" outlineLevel="0" collapsed="false">
      <c r="C211" s="6"/>
      <c r="AR211" s="6"/>
    </row>
    <row r="212" customFormat="false" ht="18" hidden="false" customHeight="true" outlineLevel="0" collapsed="false">
      <c r="C212" s="6"/>
      <c r="AR212" s="6"/>
    </row>
    <row r="213" customFormat="false" ht="18" hidden="false" customHeight="true" outlineLevel="0" collapsed="false">
      <c r="C213" s="6"/>
      <c r="AR213" s="6"/>
    </row>
    <row r="214" customFormat="false" ht="18" hidden="false" customHeight="true" outlineLevel="0" collapsed="false">
      <c r="C214" s="6"/>
      <c r="AR214" s="6"/>
    </row>
    <row r="215" customFormat="false" ht="18" hidden="false" customHeight="true" outlineLevel="0" collapsed="false">
      <c r="C215" s="6"/>
      <c r="AR215" s="6"/>
    </row>
    <row r="216" customFormat="false" ht="18" hidden="false" customHeight="true" outlineLevel="0" collapsed="false">
      <c r="C216" s="6"/>
      <c r="AR216" s="6"/>
    </row>
    <row r="217" customFormat="false" ht="18" hidden="false" customHeight="true" outlineLevel="0" collapsed="false">
      <c r="C217" s="6"/>
      <c r="AR217" s="6"/>
    </row>
    <row r="218" customFormat="false" ht="18" hidden="false" customHeight="true" outlineLevel="0" collapsed="false">
      <c r="C218" s="6"/>
      <c r="AR218" s="6"/>
    </row>
    <row r="219" customFormat="false" ht="18" hidden="false" customHeight="true" outlineLevel="0" collapsed="false">
      <c r="C219" s="6"/>
      <c r="AR219" s="6"/>
    </row>
    <row r="220" customFormat="false" ht="18" hidden="false" customHeight="true" outlineLevel="0" collapsed="false">
      <c r="C220" s="6"/>
      <c r="AR220" s="6"/>
    </row>
    <row r="221" customFormat="false" ht="18" hidden="false" customHeight="true" outlineLevel="0" collapsed="false">
      <c r="C221" s="6"/>
      <c r="AR221" s="6"/>
    </row>
    <row r="222" customFormat="false" ht="18" hidden="false" customHeight="true" outlineLevel="0" collapsed="false">
      <c r="C222" s="6"/>
      <c r="AR222" s="6"/>
    </row>
    <row r="223" customFormat="false" ht="18" hidden="false" customHeight="true" outlineLevel="0" collapsed="false">
      <c r="C223" s="6"/>
      <c r="AR223" s="6"/>
    </row>
    <row r="224" customFormat="false" ht="18" hidden="false" customHeight="true" outlineLevel="0" collapsed="false">
      <c r="C224" s="6"/>
      <c r="AR224" s="6"/>
    </row>
    <row r="225" customFormat="false" ht="18" hidden="false" customHeight="true" outlineLevel="0" collapsed="false">
      <c r="C225" s="6"/>
      <c r="AR225" s="6"/>
    </row>
    <row r="226" customFormat="false" ht="18" hidden="false" customHeight="true" outlineLevel="0" collapsed="false">
      <c r="C226" s="6"/>
      <c r="AR226" s="6"/>
    </row>
    <row r="227" customFormat="false" ht="18" hidden="false" customHeight="true" outlineLevel="0" collapsed="false">
      <c r="C227" s="6"/>
      <c r="AR227" s="6"/>
    </row>
    <row r="228" customFormat="false" ht="18" hidden="false" customHeight="true" outlineLevel="0" collapsed="false">
      <c r="C228" s="6"/>
      <c r="AR228" s="6"/>
    </row>
    <row r="229" customFormat="false" ht="18" hidden="false" customHeight="true" outlineLevel="0" collapsed="false">
      <c r="C229" s="6"/>
      <c r="AR229" s="6"/>
    </row>
    <row r="230" customFormat="false" ht="18" hidden="false" customHeight="true" outlineLevel="0" collapsed="false">
      <c r="C230" s="6"/>
      <c r="AR230" s="6"/>
    </row>
    <row r="231" customFormat="false" ht="18" hidden="false" customHeight="true" outlineLevel="0" collapsed="false">
      <c r="C231" s="6"/>
      <c r="AR231" s="6"/>
    </row>
    <row r="232" customFormat="false" ht="18" hidden="false" customHeight="true" outlineLevel="0" collapsed="false">
      <c r="C232" s="6"/>
      <c r="AR232" s="6"/>
    </row>
    <row r="233" customFormat="false" ht="18" hidden="false" customHeight="true" outlineLevel="0" collapsed="false">
      <c r="C233" s="6"/>
      <c r="AR233" s="6"/>
    </row>
    <row r="234" customFormat="false" ht="18" hidden="false" customHeight="true" outlineLevel="0" collapsed="false">
      <c r="C234" s="6"/>
      <c r="AR234" s="6"/>
    </row>
    <row r="235" customFormat="false" ht="18" hidden="false" customHeight="true" outlineLevel="0" collapsed="false">
      <c r="C235" s="6"/>
      <c r="AR235" s="6"/>
    </row>
    <row r="236" customFormat="false" ht="18" hidden="false" customHeight="true" outlineLevel="0" collapsed="false">
      <c r="C236" s="6"/>
      <c r="AR236" s="6"/>
    </row>
    <row r="237" customFormat="false" ht="18" hidden="false" customHeight="true" outlineLevel="0" collapsed="false">
      <c r="C237" s="6"/>
      <c r="AR237" s="6"/>
    </row>
    <row r="238" customFormat="false" ht="18" hidden="false" customHeight="true" outlineLevel="0" collapsed="false">
      <c r="C238" s="6"/>
      <c r="AR238" s="6"/>
    </row>
    <row r="239" customFormat="false" ht="18" hidden="false" customHeight="true" outlineLevel="0" collapsed="false">
      <c r="C239" s="6"/>
      <c r="AR239" s="6"/>
    </row>
    <row r="240" customFormat="false" ht="18" hidden="false" customHeight="true" outlineLevel="0" collapsed="false">
      <c r="C240" s="6"/>
      <c r="AR240" s="6"/>
    </row>
    <row r="241" customFormat="false" ht="18" hidden="false" customHeight="true" outlineLevel="0" collapsed="false">
      <c r="C241" s="6"/>
      <c r="AR241" s="6"/>
    </row>
    <row r="242" customFormat="false" ht="18" hidden="false" customHeight="true" outlineLevel="0" collapsed="false">
      <c r="C242" s="6"/>
      <c r="AR242" s="6"/>
    </row>
    <row r="243" customFormat="false" ht="18" hidden="false" customHeight="true" outlineLevel="0" collapsed="false">
      <c r="C243" s="6"/>
      <c r="AR243" s="6"/>
    </row>
    <row r="244" customFormat="false" ht="18" hidden="false" customHeight="true" outlineLevel="0" collapsed="false">
      <c r="C244" s="6"/>
      <c r="AR244" s="6"/>
    </row>
    <row r="245" customFormat="false" ht="18" hidden="false" customHeight="true" outlineLevel="0" collapsed="false">
      <c r="C245" s="6"/>
      <c r="AR245" s="6"/>
    </row>
    <row r="246" customFormat="false" ht="18" hidden="false" customHeight="true" outlineLevel="0" collapsed="false">
      <c r="C246" s="6"/>
      <c r="AR246" s="6"/>
    </row>
    <row r="247" customFormat="false" ht="18" hidden="false" customHeight="true" outlineLevel="0" collapsed="false">
      <c r="C247" s="6"/>
      <c r="AR247" s="6"/>
    </row>
    <row r="248" customFormat="false" ht="18" hidden="false" customHeight="true" outlineLevel="0" collapsed="false">
      <c r="C248" s="6"/>
      <c r="AR248" s="6"/>
    </row>
    <row r="249" customFormat="false" ht="18" hidden="false" customHeight="true" outlineLevel="0" collapsed="false">
      <c r="C249" s="6"/>
      <c r="AR249" s="6"/>
    </row>
    <row r="250" customFormat="false" ht="18" hidden="false" customHeight="true" outlineLevel="0" collapsed="false">
      <c r="C250" s="6"/>
      <c r="AR250" s="6"/>
    </row>
    <row r="251" customFormat="false" ht="18" hidden="false" customHeight="true" outlineLevel="0" collapsed="false">
      <c r="C251" s="6"/>
      <c r="AR251" s="6"/>
    </row>
    <row r="252" customFormat="false" ht="18" hidden="false" customHeight="true" outlineLevel="0" collapsed="false">
      <c r="C252" s="6"/>
      <c r="AR252" s="6"/>
    </row>
    <row r="253" customFormat="false" ht="18" hidden="false" customHeight="true" outlineLevel="0" collapsed="false">
      <c r="C253" s="6"/>
      <c r="AR253" s="6"/>
    </row>
    <row r="254" customFormat="false" ht="18" hidden="false" customHeight="true" outlineLevel="0" collapsed="false">
      <c r="C254" s="6"/>
      <c r="AR254" s="6"/>
    </row>
    <row r="255" customFormat="false" ht="18" hidden="false" customHeight="true" outlineLevel="0" collapsed="false">
      <c r="C255" s="6"/>
      <c r="AR255" s="6"/>
    </row>
    <row r="256" customFormat="false" ht="18" hidden="false" customHeight="true" outlineLevel="0" collapsed="false">
      <c r="C256" s="6"/>
      <c r="AR256" s="6"/>
    </row>
    <row r="257" customFormat="false" ht="18" hidden="false" customHeight="true" outlineLevel="0" collapsed="false">
      <c r="C257" s="6"/>
      <c r="AR257" s="6"/>
    </row>
    <row r="258" customFormat="false" ht="18" hidden="false" customHeight="true" outlineLevel="0" collapsed="false">
      <c r="C258" s="6"/>
      <c r="AR258" s="6"/>
    </row>
    <row r="259" customFormat="false" ht="18" hidden="false" customHeight="true" outlineLevel="0" collapsed="false">
      <c r="C259" s="6"/>
      <c r="AR259" s="6"/>
    </row>
    <row r="260" customFormat="false" ht="18" hidden="false" customHeight="true" outlineLevel="0" collapsed="false">
      <c r="C260" s="6"/>
      <c r="AR260" s="6"/>
    </row>
    <row r="261" customFormat="false" ht="18" hidden="false" customHeight="true" outlineLevel="0" collapsed="false">
      <c r="C261" s="6"/>
      <c r="AR261" s="6"/>
    </row>
    <row r="262" customFormat="false" ht="18" hidden="false" customHeight="true" outlineLevel="0" collapsed="false">
      <c r="C262" s="6"/>
      <c r="AR262" s="6"/>
    </row>
    <row r="263" customFormat="false" ht="18" hidden="false" customHeight="true" outlineLevel="0" collapsed="false">
      <c r="C263" s="6"/>
      <c r="AR263" s="6"/>
    </row>
    <row r="264" customFormat="false" ht="18" hidden="false" customHeight="true" outlineLevel="0" collapsed="false">
      <c r="C264" s="6"/>
      <c r="AR264" s="6"/>
    </row>
    <row r="265" customFormat="false" ht="18" hidden="false" customHeight="true" outlineLevel="0" collapsed="false">
      <c r="C265" s="6"/>
      <c r="AR265" s="6"/>
    </row>
    <row r="266" customFormat="false" ht="18" hidden="false" customHeight="true" outlineLevel="0" collapsed="false">
      <c r="C266" s="6"/>
      <c r="AR266" s="6"/>
    </row>
    <row r="267" customFormat="false" ht="18" hidden="false" customHeight="true" outlineLevel="0" collapsed="false">
      <c r="C267" s="6"/>
      <c r="AR267" s="6"/>
    </row>
    <row r="268" customFormat="false" ht="18" hidden="false" customHeight="true" outlineLevel="0" collapsed="false">
      <c r="C268" s="6"/>
      <c r="AR268" s="6"/>
    </row>
    <row r="269" customFormat="false" ht="18" hidden="false" customHeight="true" outlineLevel="0" collapsed="false">
      <c r="C269" s="6"/>
      <c r="AR269" s="6"/>
    </row>
    <row r="270" customFormat="false" ht="18" hidden="false" customHeight="true" outlineLevel="0" collapsed="false">
      <c r="C270" s="6"/>
      <c r="AR270" s="6"/>
    </row>
    <row r="271" customFormat="false" ht="18" hidden="false" customHeight="true" outlineLevel="0" collapsed="false">
      <c r="C271" s="6"/>
      <c r="AR271" s="6"/>
    </row>
    <row r="272" customFormat="false" ht="18" hidden="false" customHeight="true" outlineLevel="0" collapsed="false">
      <c r="C272" s="6"/>
      <c r="AR272" s="6"/>
    </row>
    <row r="273" customFormat="false" ht="18" hidden="false" customHeight="true" outlineLevel="0" collapsed="false">
      <c r="C273" s="6"/>
      <c r="AR273" s="6"/>
    </row>
    <row r="274" customFormat="false" ht="18" hidden="false" customHeight="true" outlineLevel="0" collapsed="false">
      <c r="C274" s="6"/>
      <c r="AR274" s="6"/>
    </row>
    <row r="275" customFormat="false" ht="18" hidden="false" customHeight="true" outlineLevel="0" collapsed="false">
      <c r="C275" s="6"/>
      <c r="AR275" s="6"/>
    </row>
    <row r="276" customFormat="false" ht="18" hidden="false" customHeight="true" outlineLevel="0" collapsed="false">
      <c r="C276" s="6"/>
      <c r="AR276" s="6"/>
    </row>
    <row r="277" customFormat="false" ht="18" hidden="false" customHeight="true" outlineLevel="0" collapsed="false">
      <c r="C277" s="6"/>
      <c r="AR277" s="6"/>
    </row>
    <row r="278" customFormat="false" ht="18" hidden="false" customHeight="true" outlineLevel="0" collapsed="false">
      <c r="C278" s="6"/>
      <c r="AR278" s="6"/>
    </row>
    <row r="279" customFormat="false" ht="18" hidden="false" customHeight="true" outlineLevel="0" collapsed="false">
      <c r="C279" s="6"/>
      <c r="AR279" s="6"/>
    </row>
    <row r="280" customFormat="false" ht="18" hidden="false" customHeight="true" outlineLevel="0" collapsed="false">
      <c r="C280" s="6"/>
      <c r="AR280" s="6"/>
    </row>
    <row r="281" customFormat="false" ht="18" hidden="false" customHeight="true" outlineLevel="0" collapsed="false">
      <c r="C281" s="6"/>
      <c r="AR281" s="6"/>
    </row>
    <row r="282" customFormat="false" ht="18" hidden="false" customHeight="true" outlineLevel="0" collapsed="false">
      <c r="C282" s="6"/>
      <c r="AR282" s="6"/>
    </row>
    <row r="283" customFormat="false" ht="18" hidden="false" customHeight="true" outlineLevel="0" collapsed="false">
      <c r="C283" s="6"/>
      <c r="AR283" s="6"/>
    </row>
    <row r="284" customFormat="false" ht="18" hidden="false" customHeight="true" outlineLevel="0" collapsed="false">
      <c r="C284" s="6"/>
      <c r="AR284" s="6"/>
    </row>
    <row r="285" customFormat="false" ht="18" hidden="false" customHeight="true" outlineLevel="0" collapsed="false">
      <c r="C285" s="6"/>
      <c r="AR285" s="6"/>
    </row>
    <row r="286" customFormat="false" ht="18" hidden="false" customHeight="true" outlineLevel="0" collapsed="false">
      <c r="C286" s="6"/>
      <c r="AR286" s="6"/>
    </row>
    <row r="287" customFormat="false" ht="18" hidden="false" customHeight="true" outlineLevel="0" collapsed="false">
      <c r="C287" s="6"/>
      <c r="AR287" s="6"/>
    </row>
    <row r="288" customFormat="false" ht="18" hidden="false" customHeight="true" outlineLevel="0" collapsed="false">
      <c r="C288" s="6"/>
      <c r="AR288" s="6"/>
    </row>
    <row r="289" customFormat="false" ht="18" hidden="false" customHeight="true" outlineLevel="0" collapsed="false">
      <c r="C289" s="6"/>
      <c r="AR289" s="6"/>
    </row>
    <row r="290" customFormat="false" ht="18" hidden="false" customHeight="true" outlineLevel="0" collapsed="false">
      <c r="C290" s="6"/>
      <c r="AR290" s="6"/>
    </row>
    <row r="291" customFormat="false" ht="18" hidden="false" customHeight="true" outlineLevel="0" collapsed="false">
      <c r="C291" s="6"/>
      <c r="AR291" s="6"/>
    </row>
    <row r="292" customFormat="false" ht="18" hidden="false" customHeight="true" outlineLevel="0" collapsed="false">
      <c r="C292" s="6"/>
      <c r="AR292" s="6"/>
    </row>
    <row r="293" customFormat="false" ht="18" hidden="false" customHeight="true" outlineLevel="0" collapsed="false">
      <c r="C293" s="6"/>
      <c r="AR293" s="6"/>
    </row>
    <row r="294" customFormat="false" ht="18" hidden="false" customHeight="true" outlineLevel="0" collapsed="false">
      <c r="C294" s="6"/>
      <c r="AR294" s="6"/>
    </row>
    <row r="295" customFormat="false" ht="18" hidden="false" customHeight="true" outlineLevel="0" collapsed="false">
      <c r="C295" s="6"/>
      <c r="AR295" s="6"/>
    </row>
    <row r="296" customFormat="false" ht="18" hidden="false" customHeight="true" outlineLevel="0" collapsed="false">
      <c r="C296" s="6"/>
      <c r="AR296" s="6"/>
    </row>
    <row r="297" customFormat="false" ht="18" hidden="false" customHeight="true" outlineLevel="0" collapsed="false">
      <c r="C297" s="6"/>
      <c r="AR297" s="6"/>
    </row>
    <row r="298" customFormat="false" ht="18" hidden="false" customHeight="true" outlineLevel="0" collapsed="false">
      <c r="C298" s="6"/>
      <c r="AR298" s="6"/>
    </row>
    <row r="299" customFormat="false" ht="18" hidden="false" customHeight="true" outlineLevel="0" collapsed="false">
      <c r="C299" s="6"/>
      <c r="AR299" s="6"/>
    </row>
    <row r="300" customFormat="false" ht="18" hidden="false" customHeight="true" outlineLevel="0" collapsed="false">
      <c r="C300" s="6"/>
      <c r="AR300" s="6"/>
    </row>
    <row r="301" customFormat="false" ht="18" hidden="false" customHeight="true" outlineLevel="0" collapsed="false">
      <c r="C301" s="6"/>
      <c r="AR301" s="6"/>
    </row>
    <row r="302" customFormat="false" ht="18" hidden="false" customHeight="true" outlineLevel="0" collapsed="false">
      <c r="C302" s="6"/>
      <c r="AR302" s="6"/>
    </row>
    <row r="303" customFormat="false" ht="18" hidden="false" customHeight="true" outlineLevel="0" collapsed="false">
      <c r="C303" s="6"/>
      <c r="AR303" s="6"/>
    </row>
    <row r="304" customFormat="false" ht="18" hidden="false" customHeight="true" outlineLevel="0" collapsed="false">
      <c r="C304" s="6"/>
      <c r="AR304" s="6"/>
    </row>
    <row r="305" customFormat="false" ht="18" hidden="false" customHeight="true" outlineLevel="0" collapsed="false">
      <c r="C305" s="6"/>
      <c r="AR305" s="6"/>
    </row>
    <row r="306" customFormat="false" ht="18" hidden="false" customHeight="true" outlineLevel="0" collapsed="false">
      <c r="C306" s="6"/>
      <c r="AR306" s="6"/>
    </row>
    <row r="307" customFormat="false" ht="18" hidden="false" customHeight="true" outlineLevel="0" collapsed="false">
      <c r="C307" s="6"/>
      <c r="AR307" s="6"/>
    </row>
    <row r="308" customFormat="false" ht="18" hidden="false" customHeight="true" outlineLevel="0" collapsed="false">
      <c r="C308" s="6"/>
      <c r="AR308" s="6"/>
    </row>
    <row r="309" customFormat="false" ht="18" hidden="false" customHeight="true" outlineLevel="0" collapsed="false">
      <c r="C309" s="6"/>
      <c r="AR309" s="6"/>
    </row>
    <row r="310" customFormat="false" ht="18" hidden="false" customHeight="true" outlineLevel="0" collapsed="false">
      <c r="C310" s="6"/>
      <c r="AR310" s="6"/>
    </row>
    <row r="311" customFormat="false" ht="18" hidden="false" customHeight="true" outlineLevel="0" collapsed="false">
      <c r="C311" s="6"/>
      <c r="AR311" s="6"/>
    </row>
    <row r="312" customFormat="false" ht="18" hidden="false" customHeight="true" outlineLevel="0" collapsed="false">
      <c r="C312" s="6"/>
      <c r="AR312" s="6"/>
    </row>
    <row r="313" customFormat="false" ht="18" hidden="false" customHeight="true" outlineLevel="0" collapsed="false">
      <c r="C313" s="6"/>
      <c r="AR313" s="6"/>
    </row>
    <row r="314" customFormat="false" ht="18" hidden="false" customHeight="true" outlineLevel="0" collapsed="false">
      <c r="C314" s="6"/>
      <c r="AR314" s="6"/>
    </row>
    <row r="315" customFormat="false" ht="18" hidden="false" customHeight="true" outlineLevel="0" collapsed="false">
      <c r="C315" s="6"/>
      <c r="AR315" s="6"/>
    </row>
    <row r="316" customFormat="false" ht="18" hidden="false" customHeight="true" outlineLevel="0" collapsed="false">
      <c r="C316" s="6"/>
      <c r="AR316" s="6"/>
    </row>
    <row r="317" customFormat="false" ht="18" hidden="false" customHeight="true" outlineLevel="0" collapsed="false">
      <c r="C317" s="6"/>
      <c r="AR317" s="6"/>
    </row>
    <row r="318" customFormat="false" ht="18" hidden="false" customHeight="true" outlineLevel="0" collapsed="false">
      <c r="C318" s="6"/>
      <c r="AR318" s="6"/>
    </row>
    <row r="319" customFormat="false" ht="18" hidden="false" customHeight="true" outlineLevel="0" collapsed="false">
      <c r="C319" s="6"/>
      <c r="AR319" s="6"/>
    </row>
    <row r="320" customFormat="false" ht="18" hidden="false" customHeight="true" outlineLevel="0" collapsed="false">
      <c r="C320" s="6"/>
      <c r="AR320" s="6"/>
    </row>
    <row r="321" customFormat="false" ht="18" hidden="false" customHeight="true" outlineLevel="0" collapsed="false">
      <c r="C321" s="6"/>
      <c r="AR321" s="6"/>
    </row>
    <row r="322" customFormat="false" ht="18" hidden="false" customHeight="true" outlineLevel="0" collapsed="false">
      <c r="C322" s="6"/>
      <c r="AR322" s="6"/>
    </row>
    <row r="323" customFormat="false" ht="18" hidden="false" customHeight="true" outlineLevel="0" collapsed="false">
      <c r="C323" s="6"/>
      <c r="AR323" s="6"/>
    </row>
    <row r="324" customFormat="false" ht="18" hidden="false" customHeight="true" outlineLevel="0" collapsed="false">
      <c r="C324" s="6"/>
      <c r="AR324" s="6"/>
    </row>
    <row r="325" customFormat="false" ht="18" hidden="false" customHeight="true" outlineLevel="0" collapsed="false">
      <c r="C325" s="6"/>
      <c r="AR325" s="6"/>
    </row>
    <row r="326" customFormat="false" ht="18" hidden="false" customHeight="true" outlineLevel="0" collapsed="false">
      <c r="C326" s="6"/>
      <c r="AR326" s="6"/>
    </row>
    <row r="327" customFormat="false" ht="18" hidden="false" customHeight="true" outlineLevel="0" collapsed="false">
      <c r="C327" s="6"/>
      <c r="AR327" s="6"/>
    </row>
    <row r="328" customFormat="false" ht="18" hidden="false" customHeight="true" outlineLevel="0" collapsed="false">
      <c r="C328" s="6"/>
      <c r="AR328" s="6"/>
    </row>
    <row r="329" customFormat="false" ht="18" hidden="false" customHeight="true" outlineLevel="0" collapsed="false">
      <c r="C329" s="6"/>
      <c r="AR329" s="6"/>
    </row>
    <row r="330" customFormat="false" ht="18" hidden="false" customHeight="true" outlineLevel="0" collapsed="false">
      <c r="C330" s="6"/>
      <c r="AR330" s="6"/>
    </row>
    <row r="331" customFormat="false" ht="18" hidden="false" customHeight="true" outlineLevel="0" collapsed="false">
      <c r="C331" s="6"/>
      <c r="AR331" s="6"/>
    </row>
    <row r="332" customFormat="false" ht="18" hidden="false" customHeight="true" outlineLevel="0" collapsed="false">
      <c r="C332" s="6"/>
      <c r="AR332" s="6"/>
    </row>
    <row r="333" customFormat="false" ht="18" hidden="false" customHeight="true" outlineLevel="0" collapsed="false">
      <c r="C333" s="6"/>
      <c r="AR333" s="6"/>
    </row>
    <row r="334" customFormat="false" ht="18" hidden="false" customHeight="true" outlineLevel="0" collapsed="false">
      <c r="C334" s="6"/>
      <c r="AR334" s="6"/>
    </row>
    <row r="335" customFormat="false" ht="18" hidden="false" customHeight="true" outlineLevel="0" collapsed="false">
      <c r="C335" s="6"/>
      <c r="AR335" s="6"/>
    </row>
    <row r="336" customFormat="false" ht="18" hidden="false" customHeight="true" outlineLevel="0" collapsed="false">
      <c r="C336" s="6"/>
      <c r="AR336" s="6"/>
    </row>
    <row r="337" customFormat="false" ht="18" hidden="false" customHeight="true" outlineLevel="0" collapsed="false">
      <c r="C337" s="6"/>
      <c r="AR337" s="6"/>
    </row>
    <row r="338" customFormat="false" ht="18" hidden="false" customHeight="true" outlineLevel="0" collapsed="false">
      <c r="C338" s="6"/>
      <c r="AR338" s="6"/>
    </row>
    <row r="339" customFormat="false" ht="18" hidden="false" customHeight="true" outlineLevel="0" collapsed="false">
      <c r="C339" s="6"/>
      <c r="AR339" s="6"/>
    </row>
    <row r="340" customFormat="false" ht="18" hidden="false" customHeight="true" outlineLevel="0" collapsed="false">
      <c r="C340" s="6"/>
      <c r="AR340" s="6"/>
    </row>
    <row r="341" customFormat="false" ht="18" hidden="false" customHeight="true" outlineLevel="0" collapsed="false">
      <c r="C341" s="6"/>
      <c r="AR341" s="6"/>
    </row>
    <row r="342" customFormat="false" ht="18" hidden="false" customHeight="true" outlineLevel="0" collapsed="false">
      <c r="C342" s="6"/>
      <c r="AR342" s="6"/>
    </row>
    <row r="343" customFormat="false" ht="18" hidden="false" customHeight="true" outlineLevel="0" collapsed="false">
      <c r="C343" s="6"/>
      <c r="AR343" s="6"/>
    </row>
    <row r="344" customFormat="false" ht="18" hidden="false" customHeight="true" outlineLevel="0" collapsed="false">
      <c r="C344" s="6"/>
      <c r="AR344" s="6"/>
    </row>
    <row r="345" customFormat="false" ht="18" hidden="false" customHeight="true" outlineLevel="0" collapsed="false">
      <c r="C345" s="6"/>
      <c r="AR345" s="6"/>
    </row>
    <row r="346" customFormat="false" ht="18" hidden="false" customHeight="true" outlineLevel="0" collapsed="false">
      <c r="C346" s="6"/>
      <c r="AR346" s="6"/>
    </row>
    <row r="347" customFormat="false" ht="18" hidden="false" customHeight="true" outlineLevel="0" collapsed="false">
      <c r="C347" s="6"/>
      <c r="AR347" s="6"/>
    </row>
    <row r="348" customFormat="false" ht="18" hidden="false" customHeight="true" outlineLevel="0" collapsed="false">
      <c r="C348" s="6"/>
      <c r="AR348" s="6"/>
    </row>
    <row r="349" customFormat="false" ht="18" hidden="false" customHeight="true" outlineLevel="0" collapsed="false">
      <c r="C349" s="6"/>
      <c r="AR349" s="6"/>
    </row>
    <row r="350" customFormat="false" ht="18" hidden="false" customHeight="true" outlineLevel="0" collapsed="false">
      <c r="C350" s="6"/>
      <c r="AR350" s="6"/>
    </row>
    <row r="351" customFormat="false" ht="18" hidden="false" customHeight="true" outlineLevel="0" collapsed="false">
      <c r="C351" s="6"/>
      <c r="AR351" s="6"/>
    </row>
    <row r="352" customFormat="false" ht="18" hidden="false" customHeight="true" outlineLevel="0" collapsed="false">
      <c r="C352" s="6"/>
      <c r="AR352" s="6"/>
    </row>
    <row r="353" customFormat="false" ht="18" hidden="false" customHeight="true" outlineLevel="0" collapsed="false">
      <c r="C353" s="6"/>
      <c r="AR353" s="6"/>
    </row>
    <row r="354" customFormat="false" ht="18" hidden="false" customHeight="true" outlineLevel="0" collapsed="false">
      <c r="C354" s="6"/>
      <c r="AR354" s="6"/>
    </row>
    <row r="355" customFormat="false" ht="18" hidden="false" customHeight="true" outlineLevel="0" collapsed="false">
      <c r="C355" s="6"/>
      <c r="AR355" s="6"/>
    </row>
    <row r="356" customFormat="false" ht="18" hidden="false" customHeight="true" outlineLevel="0" collapsed="false">
      <c r="C356" s="6"/>
      <c r="AR356" s="6"/>
    </row>
    <row r="357" customFormat="false" ht="18" hidden="false" customHeight="true" outlineLevel="0" collapsed="false">
      <c r="C357" s="6"/>
      <c r="AR357" s="6"/>
    </row>
    <row r="358" customFormat="false" ht="18" hidden="false" customHeight="true" outlineLevel="0" collapsed="false">
      <c r="C358" s="6"/>
      <c r="AR358" s="6"/>
    </row>
    <row r="359" customFormat="false" ht="18" hidden="false" customHeight="true" outlineLevel="0" collapsed="false">
      <c r="C359" s="6"/>
      <c r="AR359" s="6"/>
    </row>
    <row r="360" customFormat="false" ht="18" hidden="false" customHeight="true" outlineLevel="0" collapsed="false">
      <c r="C360" s="6"/>
      <c r="AR360" s="6"/>
    </row>
    <row r="361" customFormat="false" ht="18" hidden="false" customHeight="true" outlineLevel="0" collapsed="false">
      <c r="C361" s="6"/>
      <c r="AR361" s="6"/>
    </row>
    <row r="362" customFormat="false" ht="18" hidden="false" customHeight="true" outlineLevel="0" collapsed="false">
      <c r="C362" s="6"/>
      <c r="AR362" s="6"/>
    </row>
    <row r="363" customFormat="false" ht="18" hidden="false" customHeight="true" outlineLevel="0" collapsed="false">
      <c r="C363" s="6"/>
      <c r="AR363" s="6"/>
    </row>
    <row r="364" customFormat="false" ht="18" hidden="false" customHeight="true" outlineLevel="0" collapsed="false">
      <c r="C364" s="6"/>
      <c r="AR364" s="6"/>
    </row>
    <row r="365" customFormat="false" ht="18" hidden="false" customHeight="true" outlineLevel="0" collapsed="false">
      <c r="C365" s="6"/>
      <c r="AR365" s="6"/>
    </row>
    <row r="366" customFormat="false" ht="18" hidden="false" customHeight="true" outlineLevel="0" collapsed="false">
      <c r="C366" s="6"/>
      <c r="AR366" s="6"/>
    </row>
    <row r="367" customFormat="false" ht="18" hidden="false" customHeight="true" outlineLevel="0" collapsed="false">
      <c r="C367" s="6"/>
      <c r="AR367" s="6"/>
    </row>
    <row r="368" customFormat="false" ht="18" hidden="false" customHeight="true" outlineLevel="0" collapsed="false">
      <c r="C368" s="6"/>
      <c r="AR368" s="6"/>
    </row>
    <row r="369" customFormat="false" ht="18" hidden="false" customHeight="true" outlineLevel="0" collapsed="false">
      <c r="C369" s="6"/>
      <c r="AR369" s="6"/>
    </row>
    <row r="370" customFormat="false" ht="18" hidden="false" customHeight="true" outlineLevel="0" collapsed="false">
      <c r="C370" s="6"/>
      <c r="AR370" s="6"/>
    </row>
    <row r="371" customFormat="false" ht="18" hidden="false" customHeight="true" outlineLevel="0" collapsed="false">
      <c r="C371" s="6"/>
      <c r="AR371" s="6"/>
    </row>
    <row r="372" customFormat="false" ht="18" hidden="false" customHeight="true" outlineLevel="0" collapsed="false">
      <c r="C372" s="6"/>
      <c r="AR372" s="6"/>
    </row>
    <row r="373" customFormat="false" ht="18" hidden="false" customHeight="true" outlineLevel="0" collapsed="false">
      <c r="C373" s="6"/>
      <c r="AR373" s="6"/>
    </row>
    <row r="374" customFormat="false" ht="18" hidden="false" customHeight="true" outlineLevel="0" collapsed="false">
      <c r="C374" s="6"/>
      <c r="AR374" s="6"/>
    </row>
    <row r="375" customFormat="false" ht="18" hidden="false" customHeight="true" outlineLevel="0" collapsed="false">
      <c r="C375" s="6"/>
      <c r="AR375" s="6"/>
    </row>
    <row r="376" customFormat="false" ht="18" hidden="false" customHeight="true" outlineLevel="0" collapsed="false">
      <c r="C376" s="6"/>
      <c r="AR376" s="6"/>
    </row>
    <row r="377" customFormat="false" ht="18" hidden="false" customHeight="true" outlineLevel="0" collapsed="false">
      <c r="C377" s="6"/>
      <c r="AR377" s="6"/>
    </row>
    <row r="378" customFormat="false" ht="18" hidden="false" customHeight="true" outlineLevel="0" collapsed="false">
      <c r="C378" s="6"/>
      <c r="AR378" s="6"/>
    </row>
    <row r="379" customFormat="false" ht="18" hidden="false" customHeight="true" outlineLevel="0" collapsed="false">
      <c r="C379" s="6"/>
      <c r="AR379" s="6"/>
    </row>
    <row r="380" customFormat="false" ht="18" hidden="false" customHeight="true" outlineLevel="0" collapsed="false">
      <c r="C380" s="6"/>
      <c r="AR380" s="6"/>
    </row>
    <row r="381" customFormat="false" ht="18" hidden="false" customHeight="true" outlineLevel="0" collapsed="false">
      <c r="C381" s="6"/>
      <c r="AR381" s="6"/>
    </row>
    <row r="382" customFormat="false" ht="18" hidden="false" customHeight="true" outlineLevel="0" collapsed="false">
      <c r="C382" s="6"/>
      <c r="AR382" s="6"/>
    </row>
    <row r="383" customFormat="false" ht="18" hidden="false" customHeight="true" outlineLevel="0" collapsed="false">
      <c r="C383" s="6"/>
      <c r="AR383" s="6"/>
    </row>
    <row r="384" customFormat="false" ht="18" hidden="false" customHeight="true" outlineLevel="0" collapsed="false">
      <c r="C384" s="6"/>
      <c r="AR384" s="6"/>
    </row>
    <row r="385" customFormat="false" ht="18" hidden="false" customHeight="true" outlineLevel="0" collapsed="false">
      <c r="C385" s="6"/>
      <c r="AR385" s="6"/>
    </row>
    <row r="386" customFormat="false" ht="18" hidden="false" customHeight="true" outlineLevel="0" collapsed="false">
      <c r="C386" s="6"/>
      <c r="AR386" s="6"/>
    </row>
    <row r="387" customFormat="false" ht="18" hidden="false" customHeight="true" outlineLevel="0" collapsed="false">
      <c r="C387" s="6"/>
      <c r="AR387" s="6"/>
    </row>
    <row r="388" customFormat="false" ht="18" hidden="false" customHeight="true" outlineLevel="0" collapsed="false">
      <c r="C388" s="6"/>
      <c r="AR388" s="6"/>
    </row>
    <row r="389" customFormat="false" ht="18" hidden="false" customHeight="true" outlineLevel="0" collapsed="false">
      <c r="C389" s="6"/>
      <c r="AR389" s="6"/>
    </row>
    <row r="390" customFormat="false" ht="18" hidden="false" customHeight="true" outlineLevel="0" collapsed="false">
      <c r="C390" s="6"/>
      <c r="AR390" s="6"/>
    </row>
    <row r="391" customFormat="false" ht="18" hidden="false" customHeight="true" outlineLevel="0" collapsed="false">
      <c r="C391" s="6"/>
      <c r="AR391" s="6"/>
    </row>
    <row r="392" customFormat="false" ht="18" hidden="false" customHeight="true" outlineLevel="0" collapsed="false">
      <c r="C392" s="6"/>
      <c r="AR392" s="6"/>
    </row>
    <row r="393" customFormat="false" ht="18" hidden="false" customHeight="true" outlineLevel="0" collapsed="false">
      <c r="C393" s="6"/>
      <c r="AR393" s="6"/>
    </row>
    <row r="394" customFormat="false" ht="18" hidden="false" customHeight="true" outlineLevel="0" collapsed="false">
      <c r="C394" s="6"/>
      <c r="AR394" s="6"/>
    </row>
    <row r="395" customFormat="false" ht="18" hidden="false" customHeight="true" outlineLevel="0" collapsed="false">
      <c r="C395" s="6"/>
      <c r="AR395" s="6"/>
    </row>
    <row r="396" customFormat="false" ht="18" hidden="false" customHeight="true" outlineLevel="0" collapsed="false">
      <c r="C396" s="6"/>
      <c r="AR396" s="6"/>
    </row>
    <row r="397" customFormat="false" ht="18" hidden="false" customHeight="true" outlineLevel="0" collapsed="false">
      <c r="C397" s="6"/>
      <c r="AR397" s="6"/>
    </row>
    <row r="398" customFormat="false" ht="18" hidden="false" customHeight="true" outlineLevel="0" collapsed="false">
      <c r="C398" s="6"/>
      <c r="AR398" s="6"/>
    </row>
    <row r="399" customFormat="false" ht="18" hidden="false" customHeight="true" outlineLevel="0" collapsed="false">
      <c r="C399" s="6"/>
      <c r="AR399" s="6"/>
    </row>
    <row r="400" customFormat="false" ht="18" hidden="false" customHeight="true" outlineLevel="0" collapsed="false">
      <c r="C400" s="6"/>
      <c r="AR400" s="6"/>
    </row>
    <row r="401" customFormat="false" ht="18" hidden="false" customHeight="true" outlineLevel="0" collapsed="false">
      <c r="C401" s="6"/>
      <c r="AR401" s="6"/>
    </row>
  </sheetData>
  <dataValidations count="18">
    <dataValidation allowBlank="true" errorStyle="stop" operator="between" showDropDown="false" showErrorMessage="false" showInputMessage="false" sqref="B2:B401" type="list">
      <formula1>"Abierto,Cerrado"</formula1>
      <formula2>0</formula2>
    </dataValidation>
    <dataValidation allowBlank="true" errorStyle="stop" operator="between" showDropDown="false" showErrorMessage="false" showInputMessage="false" sqref="H2:H401" type="list">
      <formula1>"Local,Visitante,Ninguno"</formula1>
      <formula2>0</formula2>
    </dataValidation>
    <dataValidation allowBlank="true" errorStyle="stop" operator="between" showDropDown="false" showErrorMessage="false" showInputMessage="false" sqref="R2:R401" type="list">
      <formula1>"Sí,No"</formula1>
      <formula2>0</formula2>
    </dataValidation>
    <dataValidation allowBlank="true" errorStyle="stop" operator="between" showDropDown="false" showErrorMessage="false" showInputMessage="false" sqref="AA2:AA401" type="list">
      <formula1>"1,2,3,4,5"</formula1>
      <formula2>0</formula2>
    </dataValidation>
    <dataValidation allowBlank="true" errorStyle="stop" operator="between" showDropDown="false" showErrorMessage="false" showInputMessage="false" sqref="AB2:AB401" type="list">
      <formula1>"Over 0.5,Over 1,Over 1.5,Over 2,Over 2.5,Over 3,Ganador del partido,Empata o gana,Tarjeta roja,Otro (especificar)"</formula1>
      <formula2>0</formula2>
    </dataValidation>
    <dataValidation allowBlank="true" errorStyle="stop" operator="between" showDropDown="false" showErrorMessage="false" showInputMessage="false" sqref="AC2:AC401" type="list">
      <formula1>"Favorito atascado en 0-0,Marcador prestado,Empate motivado — 1-1,Empate motivado — 2-2,Superioridad numérica del favorito,Dominio extremo unilateral,Otro"</formula1>
      <formula2>0</formula2>
    </dataValidation>
    <dataValidation allowBlank="true" errorStyle="stop" operator="between" showDropDown="false" showErrorMessage="false" showInputMessage="false" sqref="AD2:AD401" type="list">
      <formula1>"P1 Favorito atascado,P2 Marcador prestado,P3 Roja + dominio,P4 0-0 caliente,P5 Urgencia 2T,P6 Dominio estéril convertido,P7 Set piece zona caliente,P8 Contraataque dominante,P9 Partido de vuelta,P10 Cambio táctico disruptivo,P11 1-1 con favorito dominante"</formula1>
      <formula2>0</formula2>
    </dataValidation>
    <dataValidation allowBlank="true" errorStyle="stop" operator="between" showDropDown="false" showErrorMessage="false" showInputMessage="false" sqref="AM2:AM401" type="list">
      <formula1>"Ganada,Perdida,Push,Cash out,Anulada"</formula1>
      <formula2>0</formula2>
    </dataValidation>
    <dataValidation allowBlank="true" errorStyle="stop" operator="between" showDropDown="false" showErrorMessage="false" showInputMessage="false" sqref="AS2:AS401" type="list">
      <formula1>"Sí,No"</formula1>
      <formula2>0</formula2>
    </dataValidation>
    <dataValidation allowBlank="true" errorStyle="stop" operator="between" showDropDown="false" showErrorMessage="false" showInputMessage="false" sqref="AT2:AT401" type="list">
      <formula1>"Sí,No"</formula1>
      <formula2>0</formula2>
    </dataValidation>
    <dataValidation allowBlank="true" errorStyle="stop" operator="between" showDropDown="false" showErrorMessage="false" showInputMessage="false" sqref="AU2:AU401" type="list">
      <formula1>"Sostenido 10-15min,Pico aislado,No disponible"</formula1>
      <formula2>0</formula2>
    </dataValidation>
    <dataValidation allowBlank="true" errorStyle="stop" operator="between" showDropDown="false" showErrorMessage="false" showInputMessage="false" sqref="AV2:AV401" type="list">
      <formula1>"Sí,No"</formula1>
      <formula2>0</formula2>
    </dataValidation>
    <dataValidation allowBlank="true" errorStyle="stop" operator="between" showDropDown="false" showErrorMessage="false" showInputMessage="false" sqref="AW2:AW401" type="list">
      <formula1>"Sí,No"</formula1>
      <formula2>0</formula2>
    </dataValidation>
    <dataValidation allowBlank="true" errorStyle="stop" operator="between" showDropDown="false" showErrorMessage="false" showInputMessage="false" sqref="BC2:BC401" type="list">
      <formula1>"Sí,No"</formula1>
      <formula2>0</formula2>
    </dataValidation>
    <dataValidation allowBlank="true" errorStyle="stop" operator="between" showDropDown="false" showErrorMessage="false" showInputMessage="false" sqref="BF2:BF401" type="list">
      <formula1>"Sí,No"</formula1>
      <formula2>0</formula2>
    </dataValidation>
    <dataValidation allowBlank="true" errorStyle="stop" operator="between" showDropDown="false" showErrorMessage="false" showInputMessage="false" sqref="BG2:BG401" type="list">
      <formula1>"Sí,No"</formula1>
      <formula2>0</formula2>
    </dataValidation>
    <dataValidation allowBlank="true" errorStyle="stop" operator="between" showDropDown="false" showErrorMessage="false" showInputMessage="false" sqref="BI2:BI401" type="list">
      <formula1>"Sí,No"</formula1>
      <formula2>0</formula2>
    </dataValidation>
    <dataValidation allowBlank="true" errorStyle="stop" operator="between" showDropDown="false" showErrorMessage="false" showInputMessage="false" sqref="BO2:BO401" type="list">
      <formula1>"Ninguno,Gol,Tarjeta roja,Otro"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1"/>
    <col collapsed="false" customWidth="true" hidden="false" outlineLevel="0" max="6" min="6" style="1" width="14"/>
    <col collapsed="false" customWidth="true" hidden="false" outlineLevel="0" max="8" min="7" style="1" width="13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2" min="11" style="1" width="13"/>
    <col collapsed="false" customWidth="true" hidden="false" outlineLevel="0" max="13" min="13" style="1" width="12"/>
    <col collapsed="false" customWidth="true" hidden="false" outlineLevel="0" max="17" min="14" style="1" width="11"/>
    <col collapsed="false" customWidth="true" hidden="false" outlineLevel="0" max="18" min="18" style="1" width="12"/>
    <col collapsed="false" customWidth="true" hidden="false" outlineLevel="0" max="19" min="19" style="1" width="14"/>
    <col collapsed="false" customWidth="true" hidden="false" outlineLevel="0" max="21" min="20" style="1" width="11"/>
    <col collapsed="false" customWidth="true" hidden="false" outlineLevel="0" max="22" min="22" style="1" width="13"/>
    <col collapsed="false" customWidth="true" hidden="false" outlineLevel="0" max="23" min="23" style="1" width="14"/>
    <col collapsed="false" customWidth="true" hidden="false" outlineLevel="0" max="24" min="24" style="1" width="17"/>
    <col collapsed="false" customWidth="true" hidden="false" outlineLevel="0" max="25" min="25" style="1" width="14"/>
    <col collapsed="false" customWidth="true" hidden="false" outlineLevel="0" max="28" min="26" style="1" width="15"/>
    <col collapsed="false" customWidth="true" hidden="false" outlineLevel="0" max="29" min="29" style="1" width="16"/>
    <col collapsed="false" customWidth="true" hidden="false" outlineLevel="0" max="30" min="30" style="1" width="20"/>
    <col collapsed="false" customWidth="true" hidden="false" outlineLevel="0" max="31" min="31" style="1" width="11"/>
    <col collapsed="false" customWidth="true" hidden="false" outlineLevel="0" max="32" min="32" style="1" width="12"/>
    <col collapsed="false" customWidth="true" hidden="false" outlineLevel="0" max="33" min="33" style="1" width="15"/>
    <col collapsed="false" customWidth="true" hidden="false" outlineLevel="0" max="34" min="34" style="1" width="11"/>
    <col collapsed="false" customWidth="true" hidden="false" outlineLevel="0" max="35" min="35" style="1" width="14"/>
    <col collapsed="false" customWidth="true" hidden="false" outlineLevel="0" max="36" min="36" style="1" width="18"/>
    <col collapsed="false" customWidth="true" hidden="false" outlineLevel="0" max="37" min="37" style="1" width="17"/>
    <col collapsed="false" customWidth="true" hidden="false" outlineLevel="0" max="39" min="38" style="1" width="21"/>
    <col collapsed="false" customWidth="true" hidden="false" outlineLevel="0" max="40" min="40" style="1" width="14"/>
    <col collapsed="false" customWidth="true" hidden="false" outlineLevel="0" max="43" min="41" style="1" width="11"/>
    <col collapsed="false" customWidth="true" hidden="false" outlineLevel="0" max="44" min="44" style="1" width="16"/>
    <col collapsed="false" customWidth="true" hidden="false" outlineLevel="0" max="45" min="45" style="1" width="13"/>
    <col collapsed="false" customWidth="true" hidden="false" outlineLevel="0" max="46" min="46" style="1" width="11"/>
    <col collapsed="false" customWidth="true" hidden="false" outlineLevel="0" max="47" min="47" style="1" width="12"/>
    <col collapsed="false" customWidth="true" hidden="false" outlineLevel="0" max="49" min="48" style="1" width="11"/>
    <col collapsed="false" customWidth="true" hidden="false" outlineLevel="0" max="50" min="50" style="1" width="14"/>
    <col collapsed="false" customWidth="true" hidden="false" outlineLevel="0" max="51" min="51" style="1" width="11"/>
    <col collapsed="false" customWidth="true" hidden="false" outlineLevel="0" max="52" min="52" style="1" width="13"/>
    <col collapsed="false" customWidth="true" hidden="false" outlineLevel="0" max="53" min="53" style="1" width="14"/>
    <col collapsed="false" customWidth="true" hidden="false" outlineLevel="0" max="54" min="54" style="1" width="12"/>
    <col collapsed="false" customWidth="true" hidden="false" outlineLevel="0" max="55" min="55" style="1" width="24"/>
    <col collapsed="false" customWidth="true" hidden="false" outlineLevel="0" max="56" min="56" style="1" width="28"/>
    <col collapsed="false" customWidth="true" hidden="false" outlineLevel="0" max="57" min="57" style="1" width="25"/>
    <col collapsed="false" customWidth="true" hidden="false" outlineLevel="0" max="58" min="58" style="1" width="29"/>
    <col collapsed="false" customWidth="true" hidden="false" outlineLevel="0" max="59" min="59" style="1" width="11"/>
    <col collapsed="false" customWidth="true" hidden="false" outlineLevel="0" max="60" min="60" style="1" width="29"/>
    <col collapsed="false" customWidth="true" hidden="false" outlineLevel="0" max="61" min="61" style="1" width="13"/>
  </cols>
  <sheetData>
    <row r="1" customFormat="false" ht="15" hidden="false" customHeight="true" outlineLevel="0" collapsed="false">
      <c r="A1" s="5" t="s">
        <v>48</v>
      </c>
      <c r="B1" s="5" t="s">
        <v>49</v>
      </c>
      <c r="C1" s="5" t="s">
        <v>50</v>
      </c>
      <c r="D1" s="5" t="s">
        <v>53</v>
      </c>
      <c r="E1" s="5" t="s">
        <v>54</v>
      </c>
      <c r="F1" s="5" t="s">
        <v>118</v>
      </c>
      <c r="G1" s="5" t="s">
        <v>119</v>
      </c>
      <c r="H1" s="5" t="s">
        <v>120</v>
      </c>
      <c r="I1" s="5" t="s">
        <v>121</v>
      </c>
      <c r="J1" s="5" t="s">
        <v>122</v>
      </c>
      <c r="K1" s="5" t="s">
        <v>123</v>
      </c>
      <c r="L1" s="5" t="s">
        <v>124</v>
      </c>
      <c r="M1" s="5" t="s">
        <v>125</v>
      </c>
      <c r="N1" s="5" t="s">
        <v>126</v>
      </c>
      <c r="O1" s="5" t="s">
        <v>127</v>
      </c>
      <c r="P1" s="5" t="s">
        <v>128</v>
      </c>
      <c r="Q1" s="5" t="s">
        <v>129</v>
      </c>
      <c r="R1" s="5" t="s">
        <v>130</v>
      </c>
      <c r="S1" s="5" t="s">
        <v>131</v>
      </c>
      <c r="T1" s="5" t="s">
        <v>132</v>
      </c>
      <c r="U1" s="5" t="s">
        <v>133</v>
      </c>
      <c r="V1" s="5" t="s">
        <v>134</v>
      </c>
      <c r="W1" s="5" t="s">
        <v>135</v>
      </c>
      <c r="X1" s="5" t="s">
        <v>136</v>
      </c>
      <c r="Y1" s="5" t="s">
        <v>137</v>
      </c>
      <c r="Z1" s="5" t="s">
        <v>138</v>
      </c>
      <c r="AA1" s="5" t="s">
        <v>139</v>
      </c>
      <c r="AB1" s="5" t="s">
        <v>140</v>
      </c>
      <c r="AC1" s="5" t="s">
        <v>141</v>
      </c>
      <c r="AD1" s="5" t="s">
        <v>142</v>
      </c>
      <c r="AE1" s="5" t="s">
        <v>143</v>
      </c>
      <c r="AF1" s="5" t="s">
        <v>144</v>
      </c>
      <c r="AG1" s="5" t="s">
        <v>145</v>
      </c>
      <c r="AH1" s="5" t="s">
        <v>146</v>
      </c>
      <c r="AI1" s="5" t="s">
        <v>147</v>
      </c>
      <c r="AJ1" s="5" t="s">
        <v>148</v>
      </c>
      <c r="AK1" s="5" t="s">
        <v>149</v>
      </c>
      <c r="AL1" s="5" t="s">
        <v>150</v>
      </c>
      <c r="AM1" s="5" t="s">
        <v>151</v>
      </c>
      <c r="AN1" s="5" t="s">
        <v>152</v>
      </c>
      <c r="AO1" s="5" t="s">
        <v>81</v>
      </c>
      <c r="AP1" s="5" t="s">
        <v>82</v>
      </c>
      <c r="AQ1" s="5" t="s">
        <v>153</v>
      </c>
      <c r="AR1" s="5" t="s">
        <v>154</v>
      </c>
      <c r="AS1" s="5" t="s">
        <v>155</v>
      </c>
      <c r="AT1" s="5" t="s">
        <v>156</v>
      </c>
      <c r="AU1" s="5" t="s">
        <v>83</v>
      </c>
      <c r="AV1" s="5" t="s">
        <v>86</v>
      </c>
      <c r="AW1" s="5" t="s">
        <v>89</v>
      </c>
      <c r="AX1" s="5" t="s">
        <v>87</v>
      </c>
      <c r="AY1" s="5" t="s">
        <v>88</v>
      </c>
      <c r="AZ1" s="5" t="s">
        <v>90</v>
      </c>
      <c r="BA1" s="5" t="s">
        <v>91</v>
      </c>
      <c r="BB1" s="5" t="s">
        <v>97</v>
      </c>
      <c r="BC1" s="5" t="s">
        <v>157</v>
      </c>
      <c r="BD1" s="5" t="s">
        <v>158</v>
      </c>
      <c r="BE1" s="5" t="s">
        <v>159</v>
      </c>
      <c r="BF1" s="5" t="s">
        <v>160</v>
      </c>
      <c r="BG1" s="5" t="s">
        <v>161</v>
      </c>
      <c r="BH1" s="5" t="s">
        <v>162</v>
      </c>
      <c r="BI1" s="5" t="s">
        <v>163</v>
      </c>
    </row>
    <row r="2" customFormat="false" ht="18" hidden="false" customHeight="true" outlineLevel="0" collapsed="false">
      <c r="C2" s="6"/>
      <c r="V2" s="7"/>
      <c r="W2" s="7"/>
      <c r="X2" s="7"/>
      <c r="Y2" s="7"/>
      <c r="Z2" s="7"/>
      <c r="AA2" s="7"/>
      <c r="AB2" s="7"/>
      <c r="AC2" s="7"/>
      <c r="AD2" s="7"/>
      <c r="AM2" s="8"/>
      <c r="AN2" s="7"/>
      <c r="AO2" s="8"/>
      <c r="AP2" s="8"/>
      <c r="AR2" s="8"/>
      <c r="AS2" s="9"/>
      <c r="AW2" s="9"/>
      <c r="AX2" s="7"/>
      <c r="AY2" s="8"/>
      <c r="BA2" s="6"/>
    </row>
    <row r="3" customFormat="false" ht="18" hidden="false" customHeight="true" outlineLevel="0" collapsed="false">
      <c r="C3" s="6"/>
      <c r="V3" s="7"/>
      <c r="W3" s="7"/>
      <c r="X3" s="7"/>
      <c r="Y3" s="7"/>
      <c r="Z3" s="7"/>
      <c r="AA3" s="7"/>
      <c r="AB3" s="7"/>
      <c r="AC3" s="7"/>
      <c r="AD3" s="7"/>
      <c r="AM3" s="8"/>
      <c r="AN3" s="7"/>
      <c r="AO3" s="8"/>
      <c r="AP3" s="8"/>
      <c r="AR3" s="8"/>
      <c r="AS3" s="9"/>
      <c r="AW3" s="9"/>
      <c r="AX3" s="7"/>
      <c r="AY3" s="8"/>
      <c r="BA3" s="6"/>
    </row>
    <row r="4" customFormat="false" ht="18" hidden="false" customHeight="true" outlineLevel="0" collapsed="false">
      <c r="C4" s="6"/>
      <c r="V4" s="7"/>
      <c r="W4" s="7"/>
      <c r="X4" s="7"/>
      <c r="Y4" s="7"/>
      <c r="Z4" s="7"/>
      <c r="AA4" s="7"/>
      <c r="AB4" s="7"/>
      <c r="AC4" s="7"/>
      <c r="AD4" s="7"/>
      <c r="AM4" s="8"/>
      <c r="AN4" s="7"/>
      <c r="AO4" s="8"/>
      <c r="AP4" s="8"/>
      <c r="AR4" s="8"/>
      <c r="AS4" s="9"/>
      <c r="AW4" s="9"/>
      <c r="AX4" s="7"/>
      <c r="AY4" s="8"/>
      <c r="BA4" s="6"/>
    </row>
    <row r="5" customFormat="false" ht="18" hidden="false" customHeight="true" outlineLevel="0" collapsed="false">
      <c r="C5" s="6"/>
      <c r="V5" s="7"/>
      <c r="W5" s="7"/>
      <c r="X5" s="7"/>
      <c r="Y5" s="7"/>
      <c r="Z5" s="7"/>
      <c r="AA5" s="7"/>
      <c r="AB5" s="7"/>
      <c r="AC5" s="7"/>
      <c r="AD5" s="7"/>
      <c r="AM5" s="8"/>
      <c r="AN5" s="7"/>
      <c r="AO5" s="8"/>
      <c r="AP5" s="8"/>
      <c r="AR5" s="8"/>
      <c r="AS5" s="9"/>
      <c r="AW5" s="9"/>
      <c r="AX5" s="7"/>
      <c r="AY5" s="8"/>
      <c r="BA5" s="6"/>
    </row>
    <row r="6" customFormat="false" ht="18" hidden="false" customHeight="true" outlineLevel="0" collapsed="false">
      <c r="C6" s="6"/>
      <c r="V6" s="7"/>
      <c r="W6" s="7"/>
      <c r="X6" s="7"/>
      <c r="Y6" s="7"/>
      <c r="Z6" s="7"/>
      <c r="AA6" s="7"/>
      <c r="AB6" s="7"/>
      <c r="AC6" s="7"/>
      <c r="AD6" s="7"/>
      <c r="AM6" s="8"/>
      <c r="AN6" s="7"/>
      <c r="AO6" s="8"/>
      <c r="AP6" s="8"/>
      <c r="AR6" s="8"/>
      <c r="AS6" s="9"/>
      <c r="AW6" s="9"/>
      <c r="AX6" s="7"/>
      <c r="AY6" s="8"/>
      <c r="BA6" s="6"/>
    </row>
    <row r="7" customFormat="false" ht="18" hidden="false" customHeight="true" outlineLevel="0" collapsed="false">
      <c r="C7" s="6"/>
      <c r="V7" s="7"/>
      <c r="W7" s="7"/>
      <c r="X7" s="7"/>
      <c r="Y7" s="7"/>
      <c r="Z7" s="7"/>
      <c r="AA7" s="7"/>
      <c r="AB7" s="7"/>
      <c r="AC7" s="7"/>
      <c r="AD7" s="7"/>
      <c r="AM7" s="8"/>
      <c r="AN7" s="7"/>
      <c r="AO7" s="8"/>
      <c r="AP7" s="8"/>
      <c r="AR7" s="8"/>
      <c r="AS7" s="9"/>
      <c r="AW7" s="9"/>
      <c r="AX7" s="7"/>
      <c r="AY7" s="8"/>
      <c r="BA7" s="6"/>
    </row>
    <row r="8" customFormat="false" ht="18" hidden="false" customHeight="true" outlineLevel="0" collapsed="false">
      <c r="C8" s="6"/>
      <c r="V8" s="7"/>
      <c r="W8" s="7"/>
      <c r="X8" s="7"/>
      <c r="Y8" s="7"/>
      <c r="Z8" s="7"/>
      <c r="AA8" s="7"/>
      <c r="AB8" s="7"/>
      <c r="AC8" s="7"/>
      <c r="AD8" s="7"/>
      <c r="AM8" s="8"/>
      <c r="AN8" s="7"/>
      <c r="AO8" s="8"/>
      <c r="AP8" s="8"/>
      <c r="AR8" s="8"/>
      <c r="AS8" s="9"/>
      <c r="AW8" s="9"/>
      <c r="AX8" s="7"/>
      <c r="AY8" s="8"/>
      <c r="BA8" s="6"/>
    </row>
    <row r="9" customFormat="false" ht="18" hidden="false" customHeight="true" outlineLevel="0" collapsed="false">
      <c r="C9" s="6"/>
      <c r="V9" s="7"/>
      <c r="W9" s="7"/>
      <c r="X9" s="7"/>
      <c r="Y9" s="7"/>
      <c r="Z9" s="7"/>
      <c r="AA9" s="7"/>
      <c r="AB9" s="7"/>
      <c r="AC9" s="7"/>
      <c r="AD9" s="7"/>
      <c r="AM9" s="8"/>
      <c r="AN9" s="7"/>
      <c r="AO9" s="8"/>
      <c r="AP9" s="8"/>
      <c r="AR9" s="8"/>
      <c r="AS9" s="9"/>
      <c r="AW9" s="9"/>
      <c r="AX9" s="7"/>
      <c r="AY9" s="8"/>
      <c r="BA9" s="6"/>
    </row>
    <row r="10" customFormat="false" ht="18" hidden="false" customHeight="true" outlineLevel="0" collapsed="false">
      <c r="C10" s="6"/>
      <c r="V10" s="7"/>
      <c r="W10" s="7"/>
      <c r="X10" s="7"/>
      <c r="Y10" s="7"/>
      <c r="Z10" s="7"/>
      <c r="AA10" s="7"/>
      <c r="AB10" s="7"/>
      <c r="AC10" s="7"/>
      <c r="AD10" s="7"/>
      <c r="AM10" s="8"/>
      <c r="AN10" s="7"/>
      <c r="AO10" s="8"/>
      <c r="AP10" s="8"/>
      <c r="AR10" s="8"/>
      <c r="AS10" s="9"/>
      <c r="AW10" s="9"/>
      <c r="AX10" s="7"/>
      <c r="AY10" s="8"/>
      <c r="BA10" s="6"/>
    </row>
    <row r="11" customFormat="false" ht="18" hidden="false" customHeight="true" outlineLevel="0" collapsed="false">
      <c r="C11" s="6"/>
      <c r="V11" s="7"/>
      <c r="W11" s="7"/>
      <c r="X11" s="7"/>
      <c r="Y11" s="7"/>
      <c r="Z11" s="7"/>
      <c r="AA11" s="7"/>
      <c r="AB11" s="7"/>
      <c r="AC11" s="7"/>
      <c r="AD11" s="7"/>
      <c r="AM11" s="8"/>
      <c r="AN11" s="7"/>
      <c r="AO11" s="8"/>
      <c r="AP11" s="8"/>
      <c r="AR11" s="8"/>
      <c r="AS11" s="9"/>
      <c r="AW11" s="9"/>
      <c r="AX11" s="7"/>
      <c r="AY11" s="8"/>
      <c r="BA11" s="6"/>
    </row>
    <row r="12" customFormat="false" ht="18" hidden="false" customHeight="true" outlineLevel="0" collapsed="false">
      <c r="C12" s="6"/>
      <c r="V12" s="7"/>
      <c r="W12" s="7"/>
      <c r="X12" s="7"/>
      <c r="Y12" s="7"/>
      <c r="Z12" s="7"/>
      <c r="AA12" s="7"/>
      <c r="AB12" s="7"/>
      <c r="AC12" s="7"/>
      <c r="AD12" s="7"/>
      <c r="AM12" s="8"/>
      <c r="AN12" s="7"/>
      <c r="AO12" s="8"/>
      <c r="AP12" s="8"/>
      <c r="AR12" s="8"/>
      <c r="AS12" s="9"/>
      <c r="AW12" s="9"/>
      <c r="AX12" s="7"/>
      <c r="AY12" s="8"/>
      <c r="BA12" s="6"/>
    </row>
    <row r="13" customFormat="false" ht="18" hidden="false" customHeight="true" outlineLevel="0" collapsed="false">
      <c r="C13" s="6"/>
      <c r="V13" s="7"/>
      <c r="W13" s="7"/>
      <c r="X13" s="7"/>
      <c r="Y13" s="7"/>
      <c r="Z13" s="7"/>
      <c r="AA13" s="7"/>
      <c r="AB13" s="7"/>
      <c r="AC13" s="7"/>
      <c r="AD13" s="7"/>
      <c r="AM13" s="8"/>
      <c r="AN13" s="7"/>
      <c r="AO13" s="8"/>
      <c r="AP13" s="8"/>
      <c r="AR13" s="8"/>
      <c r="AS13" s="9"/>
      <c r="AW13" s="9"/>
      <c r="AX13" s="7"/>
      <c r="AY13" s="8"/>
      <c r="BA13" s="6"/>
    </row>
    <row r="14" customFormat="false" ht="18" hidden="false" customHeight="true" outlineLevel="0" collapsed="false">
      <c r="C14" s="6"/>
      <c r="V14" s="7"/>
      <c r="W14" s="7"/>
      <c r="X14" s="7"/>
      <c r="Y14" s="7"/>
      <c r="Z14" s="7"/>
      <c r="AA14" s="7"/>
      <c r="AB14" s="7"/>
      <c r="AC14" s="7"/>
      <c r="AD14" s="7"/>
      <c r="AM14" s="8"/>
      <c r="AN14" s="7"/>
      <c r="AO14" s="8"/>
      <c r="AP14" s="8"/>
      <c r="AR14" s="8"/>
      <c r="AS14" s="9"/>
      <c r="AW14" s="9"/>
      <c r="AX14" s="7"/>
      <c r="AY14" s="8"/>
      <c r="BA14" s="6"/>
    </row>
    <row r="15" customFormat="false" ht="18" hidden="false" customHeight="true" outlineLevel="0" collapsed="false">
      <c r="C15" s="6"/>
      <c r="V15" s="7"/>
      <c r="W15" s="7"/>
      <c r="X15" s="7"/>
      <c r="Y15" s="7"/>
      <c r="Z15" s="7"/>
      <c r="AA15" s="7"/>
      <c r="AB15" s="7"/>
      <c r="AC15" s="7"/>
      <c r="AD15" s="7"/>
      <c r="AM15" s="8"/>
      <c r="AN15" s="7"/>
      <c r="AO15" s="8"/>
      <c r="AP15" s="8"/>
      <c r="AR15" s="8"/>
      <c r="AS15" s="9"/>
      <c r="AW15" s="9"/>
      <c r="AX15" s="7"/>
      <c r="AY15" s="8"/>
      <c r="BA15" s="6"/>
    </row>
    <row r="16" customFormat="false" ht="18" hidden="false" customHeight="true" outlineLevel="0" collapsed="false">
      <c r="C16" s="6"/>
      <c r="V16" s="7"/>
      <c r="W16" s="7"/>
      <c r="X16" s="7"/>
      <c r="Y16" s="7"/>
      <c r="Z16" s="7"/>
      <c r="AA16" s="7"/>
      <c r="AB16" s="7"/>
      <c r="AC16" s="7"/>
      <c r="AD16" s="7"/>
      <c r="AM16" s="8"/>
      <c r="AN16" s="7"/>
      <c r="AO16" s="8"/>
      <c r="AP16" s="8"/>
      <c r="AR16" s="8"/>
      <c r="AS16" s="9"/>
      <c r="AW16" s="9"/>
      <c r="AX16" s="7"/>
      <c r="AY16" s="8"/>
      <c r="BA16" s="6"/>
    </row>
    <row r="17" customFormat="false" ht="18" hidden="false" customHeight="true" outlineLevel="0" collapsed="false">
      <c r="C17" s="6"/>
      <c r="V17" s="7"/>
      <c r="W17" s="7"/>
      <c r="X17" s="7"/>
      <c r="Y17" s="7"/>
      <c r="Z17" s="7"/>
      <c r="AA17" s="7"/>
      <c r="AB17" s="7"/>
      <c r="AC17" s="7"/>
      <c r="AD17" s="7"/>
      <c r="AM17" s="8"/>
      <c r="AN17" s="7"/>
      <c r="AO17" s="8"/>
      <c r="AP17" s="8"/>
      <c r="AR17" s="8"/>
      <c r="AS17" s="9"/>
      <c r="AW17" s="9"/>
      <c r="AX17" s="7"/>
      <c r="AY17" s="8"/>
      <c r="BA17" s="6"/>
    </row>
    <row r="18" customFormat="false" ht="18" hidden="false" customHeight="true" outlineLevel="0" collapsed="false">
      <c r="C18" s="6"/>
      <c r="V18" s="7"/>
      <c r="W18" s="7"/>
      <c r="X18" s="7"/>
      <c r="Y18" s="7"/>
      <c r="Z18" s="7"/>
      <c r="AA18" s="7"/>
      <c r="AB18" s="7"/>
      <c r="AC18" s="7"/>
      <c r="AD18" s="7"/>
      <c r="AM18" s="8"/>
      <c r="AN18" s="7"/>
      <c r="AO18" s="8"/>
      <c r="AP18" s="8"/>
      <c r="AR18" s="8"/>
      <c r="AS18" s="9"/>
      <c r="AW18" s="9"/>
      <c r="AX18" s="7"/>
      <c r="AY18" s="8"/>
      <c r="BA18" s="6"/>
    </row>
    <row r="19" customFormat="false" ht="18" hidden="false" customHeight="true" outlineLevel="0" collapsed="false">
      <c r="C19" s="6"/>
      <c r="V19" s="7"/>
      <c r="W19" s="7"/>
      <c r="X19" s="7"/>
      <c r="Y19" s="7"/>
      <c r="Z19" s="7"/>
      <c r="AA19" s="7"/>
      <c r="AB19" s="7"/>
      <c r="AC19" s="7"/>
      <c r="AD19" s="7"/>
      <c r="AM19" s="8"/>
      <c r="AN19" s="7"/>
      <c r="AO19" s="8"/>
      <c r="AP19" s="8"/>
      <c r="AR19" s="8"/>
      <c r="AS19" s="9"/>
      <c r="AW19" s="9"/>
      <c r="AX19" s="7"/>
      <c r="AY19" s="8"/>
      <c r="BA19" s="6"/>
    </row>
    <row r="20" customFormat="false" ht="18" hidden="false" customHeight="true" outlineLevel="0" collapsed="false">
      <c r="C20" s="6"/>
      <c r="V20" s="7"/>
      <c r="W20" s="7"/>
      <c r="X20" s="7"/>
      <c r="Y20" s="7"/>
      <c r="Z20" s="7"/>
      <c r="AA20" s="7"/>
      <c r="AB20" s="7"/>
      <c r="AC20" s="7"/>
      <c r="AD20" s="7"/>
      <c r="AM20" s="8"/>
      <c r="AN20" s="7"/>
      <c r="AO20" s="8"/>
      <c r="AP20" s="8"/>
      <c r="AR20" s="8"/>
      <c r="AS20" s="9"/>
      <c r="AW20" s="9"/>
      <c r="AX20" s="7"/>
      <c r="AY20" s="8"/>
      <c r="BA20" s="6"/>
    </row>
    <row r="21" customFormat="false" ht="18" hidden="false" customHeight="true" outlineLevel="0" collapsed="false">
      <c r="C21" s="6"/>
      <c r="V21" s="7"/>
      <c r="W21" s="7"/>
      <c r="X21" s="7"/>
      <c r="Y21" s="7"/>
      <c r="Z21" s="7"/>
      <c r="AA21" s="7"/>
      <c r="AB21" s="7"/>
      <c r="AC21" s="7"/>
      <c r="AD21" s="7"/>
      <c r="AM21" s="8"/>
      <c r="AN21" s="7"/>
      <c r="AO21" s="8"/>
      <c r="AP21" s="8"/>
      <c r="AR21" s="8"/>
      <c r="AS21" s="9"/>
      <c r="AW21" s="9"/>
      <c r="AX21" s="7"/>
      <c r="AY21" s="8"/>
      <c r="BA21" s="6"/>
    </row>
    <row r="22" customFormat="false" ht="18" hidden="false" customHeight="true" outlineLevel="0" collapsed="false">
      <c r="C22" s="6"/>
      <c r="V22" s="7"/>
      <c r="W22" s="7"/>
      <c r="X22" s="7"/>
      <c r="Y22" s="7"/>
      <c r="Z22" s="7"/>
      <c r="AA22" s="7"/>
      <c r="AB22" s="7"/>
      <c r="AC22" s="7"/>
      <c r="AD22" s="7"/>
      <c r="AM22" s="8"/>
      <c r="AN22" s="7"/>
      <c r="AO22" s="8"/>
      <c r="AP22" s="8"/>
      <c r="AR22" s="8"/>
      <c r="AS22" s="9"/>
      <c r="AW22" s="9"/>
      <c r="AX22" s="7"/>
      <c r="AY22" s="8"/>
      <c r="BA22" s="6"/>
    </row>
    <row r="23" customFormat="false" ht="18" hidden="false" customHeight="true" outlineLevel="0" collapsed="false">
      <c r="C23" s="6"/>
      <c r="V23" s="7"/>
      <c r="W23" s="7"/>
      <c r="X23" s="7"/>
      <c r="Y23" s="7"/>
      <c r="Z23" s="7"/>
      <c r="AA23" s="7"/>
      <c r="AB23" s="7"/>
      <c r="AC23" s="7"/>
      <c r="AD23" s="7"/>
      <c r="AM23" s="8"/>
      <c r="AN23" s="7"/>
      <c r="AO23" s="8"/>
      <c r="AP23" s="8"/>
      <c r="AR23" s="8"/>
      <c r="AS23" s="9"/>
      <c r="AW23" s="9"/>
      <c r="AX23" s="7"/>
      <c r="AY23" s="8"/>
      <c r="BA23" s="6"/>
    </row>
    <row r="24" customFormat="false" ht="18" hidden="false" customHeight="true" outlineLevel="0" collapsed="false">
      <c r="C24" s="6"/>
      <c r="V24" s="7"/>
      <c r="W24" s="7"/>
      <c r="X24" s="7"/>
      <c r="Y24" s="7"/>
      <c r="Z24" s="7"/>
      <c r="AA24" s="7"/>
      <c r="AB24" s="7"/>
      <c r="AC24" s="7"/>
      <c r="AD24" s="7"/>
      <c r="AM24" s="8"/>
      <c r="AN24" s="7"/>
      <c r="AO24" s="8"/>
      <c r="AP24" s="8"/>
      <c r="AR24" s="8"/>
      <c r="AS24" s="9"/>
      <c r="AW24" s="9"/>
      <c r="AX24" s="7"/>
      <c r="AY24" s="8"/>
      <c r="BA24" s="6"/>
    </row>
    <row r="25" customFormat="false" ht="18" hidden="false" customHeight="true" outlineLevel="0" collapsed="false">
      <c r="C25" s="6"/>
      <c r="V25" s="7"/>
      <c r="W25" s="7"/>
      <c r="X25" s="7"/>
      <c r="Y25" s="7"/>
      <c r="Z25" s="7"/>
      <c r="AA25" s="7"/>
      <c r="AB25" s="7"/>
      <c r="AC25" s="7"/>
      <c r="AD25" s="7"/>
      <c r="AM25" s="8"/>
      <c r="AN25" s="7"/>
      <c r="AO25" s="8"/>
      <c r="AP25" s="8"/>
      <c r="AR25" s="8"/>
      <c r="AS25" s="9"/>
      <c r="AW25" s="9"/>
      <c r="AX25" s="7"/>
      <c r="AY25" s="8"/>
      <c r="BA25" s="6"/>
    </row>
    <row r="26" customFormat="false" ht="18" hidden="false" customHeight="true" outlineLevel="0" collapsed="false">
      <c r="C26" s="6"/>
      <c r="V26" s="7"/>
      <c r="W26" s="7"/>
      <c r="X26" s="7"/>
      <c r="Y26" s="7"/>
      <c r="Z26" s="7"/>
      <c r="AA26" s="7"/>
      <c r="AB26" s="7"/>
      <c r="AC26" s="7"/>
      <c r="AD26" s="7"/>
      <c r="AM26" s="8"/>
      <c r="AN26" s="7"/>
      <c r="AO26" s="8"/>
      <c r="AP26" s="8"/>
      <c r="AR26" s="8"/>
      <c r="AS26" s="9"/>
      <c r="AW26" s="9"/>
      <c r="AX26" s="7"/>
      <c r="AY26" s="8"/>
      <c r="BA26" s="6"/>
    </row>
    <row r="27" customFormat="false" ht="18" hidden="false" customHeight="true" outlineLevel="0" collapsed="false">
      <c r="C27" s="6"/>
      <c r="V27" s="7"/>
      <c r="W27" s="7"/>
      <c r="X27" s="7"/>
      <c r="Y27" s="7"/>
      <c r="Z27" s="7"/>
      <c r="AA27" s="7"/>
      <c r="AB27" s="7"/>
      <c r="AC27" s="7"/>
      <c r="AD27" s="7"/>
      <c r="AM27" s="8"/>
      <c r="AN27" s="7"/>
      <c r="AO27" s="8"/>
      <c r="AP27" s="8"/>
      <c r="AR27" s="8"/>
      <c r="AS27" s="9"/>
      <c r="AW27" s="9"/>
      <c r="AX27" s="7"/>
      <c r="AY27" s="8"/>
      <c r="BA27" s="6"/>
    </row>
    <row r="28" customFormat="false" ht="18" hidden="false" customHeight="true" outlineLevel="0" collapsed="false">
      <c r="C28" s="6"/>
      <c r="V28" s="7"/>
      <c r="W28" s="7"/>
      <c r="X28" s="7"/>
      <c r="Y28" s="7"/>
      <c r="Z28" s="7"/>
      <c r="AA28" s="7"/>
      <c r="AB28" s="7"/>
      <c r="AC28" s="7"/>
      <c r="AD28" s="7"/>
      <c r="AM28" s="8"/>
      <c r="AN28" s="7"/>
      <c r="AO28" s="8"/>
      <c r="AP28" s="8"/>
      <c r="AR28" s="8"/>
      <c r="AS28" s="9"/>
      <c r="AW28" s="9"/>
      <c r="AX28" s="7"/>
      <c r="AY28" s="8"/>
      <c r="BA28" s="6"/>
    </row>
    <row r="29" customFormat="false" ht="18" hidden="false" customHeight="true" outlineLevel="0" collapsed="false">
      <c r="C29" s="6"/>
      <c r="V29" s="7"/>
      <c r="W29" s="7"/>
      <c r="X29" s="7"/>
      <c r="Y29" s="7"/>
      <c r="Z29" s="7"/>
      <c r="AA29" s="7"/>
      <c r="AB29" s="7"/>
      <c r="AC29" s="7"/>
      <c r="AD29" s="7"/>
      <c r="AM29" s="8"/>
      <c r="AN29" s="7"/>
      <c r="AO29" s="8"/>
      <c r="AP29" s="8"/>
      <c r="AR29" s="8"/>
      <c r="AS29" s="9"/>
      <c r="AW29" s="9"/>
      <c r="AX29" s="7"/>
      <c r="AY29" s="8"/>
      <c r="BA29" s="6"/>
    </row>
    <row r="30" customFormat="false" ht="18" hidden="false" customHeight="true" outlineLevel="0" collapsed="false">
      <c r="C30" s="6"/>
      <c r="V30" s="7"/>
      <c r="W30" s="7"/>
      <c r="X30" s="7"/>
      <c r="Y30" s="7"/>
      <c r="Z30" s="7"/>
      <c r="AA30" s="7"/>
      <c r="AB30" s="7"/>
      <c r="AC30" s="7"/>
      <c r="AD30" s="7"/>
      <c r="AM30" s="8"/>
      <c r="AN30" s="7"/>
      <c r="AO30" s="8"/>
      <c r="AP30" s="8"/>
      <c r="AR30" s="8"/>
      <c r="AS30" s="9"/>
      <c r="AW30" s="9"/>
      <c r="AX30" s="7"/>
      <c r="AY30" s="8"/>
      <c r="BA30" s="6"/>
    </row>
    <row r="31" customFormat="false" ht="18" hidden="false" customHeight="true" outlineLevel="0" collapsed="false">
      <c r="C31" s="6"/>
      <c r="V31" s="7"/>
      <c r="W31" s="7"/>
      <c r="X31" s="7"/>
      <c r="Y31" s="7"/>
      <c r="Z31" s="7"/>
      <c r="AA31" s="7"/>
      <c r="AB31" s="7"/>
      <c r="AC31" s="7"/>
      <c r="AD31" s="7"/>
      <c r="AM31" s="8"/>
      <c r="AN31" s="7"/>
      <c r="AO31" s="8"/>
      <c r="AP31" s="8"/>
      <c r="AR31" s="8"/>
      <c r="AS31" s="9"/>
      <c r="AW31" s="9"/>
      <c r="AX31" s="7"/>
      <c r="AY31" s="8"/>
      <c r="BA31" s="6"/>
    </row>
    <row r="32" customFormat="false" ht="18" hidden="false" customHeight="true" outlineLevel="0" collapsed="false">
      <c r="C32" s="6"/>
      <c r="V32" s="7"/>
      <c r="W32" s="7"/>
      <c r="X32" s="7"/>
      <c r="Y32" s="7"/>
      <c r="Z32" s="7"/>
      <c r="AA32" s="7"/>
      <c r="AB32" s="7"/>
      <c r="AC32" s="7"/>
      <c r="AD32" s="7"/>
      <c r="AM32" s="8"/>
      <c r="AN32" s="7"/>
      <c r="AO32" s="8"/>
      <c r="AP32" s="8"/>
      <c r="AR32" s="8"/>
      <c r="AS32" s="9"/>
      <c r="AW32" s="9"/>
      <c r="AX32" s="7"/>
      <c r="AY32" s="8"/>
      <c r="BA32" s="6"/>
    </row>
    <row r="33" customFormat="false" ht="18" hidden="false" customHeight="true" outlineLevel="0" collapsed="false">
      <c r="C33" s="6"/>
      <c r="V33" s="7"/>
      <c r="W33" s="7"/>
      <c r="X33" s="7"/>
      <c r="Y33" s="7"/>
      <c r="Z33" s="7"/>
      <c r="AA33" s="7"/>
      <c r="AB33" s="7"/>
      <c r="AC33" s="7"/>
      <c r="AD33" s="7"/>
      <c r="AM33" s="8"/>
      <c r="AN33" s="7"/>
      <c r="AO33" s="8"/>
      <c r="AP33" s="8"/>
      <c r="AR33" s="8"/>
      <c r="AS33" s="9"/>
      <c r="AW33" s="9"/>
      <c r="AX33" s="7"/>
      <c r="AY33" s="8"/>
      <c r="BA33" s="6"/>
    </row>
    <row r="34" customFormat="false" ht="18" hidden="false" customHeight="true" outlineLevel="0" collapsed="false">
      <c r="C34" s="6"/>
      <c r="V34" s="7"/>
      <c r="W34" s="7"/>
      <c r="X34" s="7"/>
      <c r="Y34" s="7"/>
      <c r="Z34" s="7"/>
      <c r="AA34" s="7"/>
      <c r="AB34" s="7"/>
      <c r="AC34" s="7"/>
      <c r="AD34" s="7"/>
      <c r="AM34" s="8"/>
      <c r="AN34" s="7"/>
      <c r="AO34" s="8"/>
      <c r="AP34" s="8"/>
      <c r="AR34" s="8"/>
      <c r="AS34" s="9"/>
      <c r="AW34" s="9"/>
      <c r="AX34" s="7"/>
      <c r="AY34" s="8"/>
      <c r="BA34" s="6"/>
    </row>
    <row r="35" customFormat="false" ht="18" hidden="false" customHeight="true" outlineLevel="0" collapsed="false">
      <c r="C35" s="6"/>
      <c r="V35" s="7"/>
      <c r="W35" s="7"/>
      <c r="X35" s="7"/>
      <c r="Y35" s="7"/>
      <c r="Z35" s="7"/>
      <c r="AA35" s="7"/>
      <c r="AB35" s="7"/>
      <c r="AC35" s="7"/>
      <c r="AD35" s="7"/>
      <c r="AM35" s="8"/>
      <c r="AN35" s="7"/>
      <c r="AO35" s="8"/>
      <c r="AP35" s="8"/>
      <c r="AR35" s="8"/>
      <c r="AS35" s="9"/>
      <c r="AW35" s="9"/>
      <c r="AX35" s="7"/>
      <c r="AY35" s="8"/>
      <c r="BA35" s="6"/>
    </row>
    <row r="36" customFormat="false" ht="18" hidden="false" customHeight="true" outlineLevel="0" collapsed="false">
      <c r="C36" s="6"/>
      <c r="V36" s="7"/>
      <c r="W36" s="7"/>
      <c r="X36" s="7"/>
      <c r="Y36" s="7"/>
      <c r="Z36" s="7"/>
      <c r="AA36" s="7"/>
      <c r="AB36" s="7"/>
      <c r="AC36" s="7"/>
      <c r="AD36" s="7"/>
      <c r="AM36" s="8"/>
      <c r="AN36" s="7"/>
      <c r="AO36" s="8"/>
      <c r="AP36" s="8"/>
      <c r="AR36" s="8"/>
      <c r="AS36" s="9"/>
      <c r="AW36" s="9"/>
      <c r="AX36" s="7"/>
      <c r="AY36" s="8"/>
      <c r="BA36" s="6"/>
    </row>
    <row r="37" customFormat="false" ht="18" hidden="false" customHeight="true" outlineLevel="0" collapsed="false">
      <c r="C37" s="6"/>
      <c r="V37" s="7"/>
      <c r="W37" s="7"/>
      <c r="X37" s="7"/>
      <c r="Y37" s="7"/>
      <c r="Z37" s="7"/>
      <c r="AA37" s="7"/>
      <c r="AB37" s="7"/>
      <c r="AC37" s="7"/>
      <c r="AD37" s="7"/>
      <c r="AM37" s="8"/>
      <c r="AN37" s="7"/>
      <c r="AO37" s="8"/>
      <c r="AP37" s="8"/>
      <c r="AR37" s="8"/>
      <c r="AS37" s="9"/>
      <c r="AW37" s="9"/>
      <c r="AX37" s="7"/>
      <c r="AY37" s="8"/>
      <c r="BA37" s="6"/>
    </row>
    <row r="38" customFormat="false" ht="18" hidden="false" customHeight="true" outlineLevel="0" collapsed="false">
      <c r="C38" s="6"/>
      <c r="V38" s="7"/>
      <c r="W38" s="7"/>
      <c r="X38" s="7"/>
      <c r="Y38" s="7"/>
      <c r="Z38" s="7"/>
      <c r="AA38" s="7"/>
      <c r="AB38" s="7"/>
      <c r="AC38" s="7"/>
      <c r="AD38" s="7"/>
      <c r="AM38" s="8"/>
      <c r="AN38" s="7"/>
      <c r="AO38" s="8"/>
      <c r="AP38" s="8"/>
      <c r="AR38" s="8"/>
      <c r="AS38" s="9"/>
      <c r="AW38" s="9"/>
      <c r="AX38" s="7"/>
      <c r="AY38" s="8"/>
      <c r="BA38" s="6"/>
    </row>
    <row r="39" customFormat="false" ht="18" hidden="false" customHeight="true" outlineLevel="0" collapsed="false">
      <c r="C39" s="6"/>
      <c r="V39" s="7"/>
      <c r="W39" s="7"/>
      <c r="X39" s="7"/>
      <c r="Y39" s="7"/>
      <c r="Z39" s="7"/>
      <c r="AA39" s="7"/>
      <c r="AB39" s="7"/>
      <c r="AC39" s="7"/>
      <c r="AD39" s="7"/>
      <c r="AM39" s="8"/>
      <c r="AN39" s="7"/>
      <c r="AO39" s="8"/>
      <c r="AP39" s="8"/>
      <c r="AR39" s="8"/>
      <c r="AS39" s="9"/>
      <c r="AW39" s="9"/>
      <c r="AX39" s="7"/>
      <c r="AY39" s="8"/>
      <c r="BA39" s="6"/>
    </row>
    <row r="40" customFormat="false" ht="18" hidden="false" customHeight="true" outlineLevel="0" collapsed="false">
      <c r="C40" s="6"/>
      <c r="V40" s="7"/>
      <c r="W40" s="7"/>
      <c r="X40" s="7"/>
      <c r="Y40" s="7"/>
      <c r="Z40" s="7"/>
      <c r="AA40" s="7"/>
      <c r="AB40" s="7"/>
      <c r="AC40" s="7"/>
      <c r="AD40" s="7"/>
      <c r="AM40" s="8"/>
      <c r="AN40" s="7"/>
      <c r="AO40" s="8"/>
      <c r="AP40" s="8"/>
      <c r="AR40" s="8"/>
      <c r="AS40" s="9"/>
      <c r="AW40" s="9"/>
      <c r="AX40" s="7"/>
      <c r="AY40" s="8"/>
      <c r="BA40" s="6"/>
    </row>
    <row r="41" customFormat="false" ht="18" hidden="false" customHeight="true" outlineLevel="0" collapsed="false">
      <c r="C41" s="6"/>
      <c r="V41" s="7"/>
      <c r="W41" s="7"/>
      <c r="X41" s="7"/>
      <c r="Y41" s="7"/>
      <c r="Z41" s="7"/>
      <c r="AA41" s="7"/>
      <c r="AB41" s="7"/>
      <c r="AC41" s="7"/>
      <c r="AD41" s="7"/>
      <c r="AM41" s="8"/>
      <c r="AN41" s="7"/>
      <c r="AO41" s="8"/>
      <c r="AP41" s="8"/>
      <c r="AR41" s="8"/>
      <c r="AS41" s="9"/>
      <c r="AW41" s="9"/>
      <c r="AX41" s="7"/>
      <c r="AY41" s="8"/>
      <c r="BA41" s="6"/>
    </row>
    <row r="42" customFormat="false" ht="18" hidden="false" customHeight="true" outlineLevel="0" collapsed="false">
      <c r="C42" s="6"/>
      <c r="V42" s="7"/>
      <c r="W42" s="7"/>
      <c r="X42" s="7"/>
      <c r="Y42" s="7"/>
      <c r="Z42" s="7"/>
      <c r="AA42" s="7"/>
      <c r="AB42" s="7"/>
      <c r="AC42" s="7"/>
      <c r="AD42" s="7"/>
      <c r="AM42" s="8"/>
      <c r="AN42" s="7"/>
      <c r="AO42" s="8"/>
      <c r="AP42" s="8"/>
      <c r="AR42" s="8"/>
      <c r="AS42" s="9"/>
      <c r="AW42" s="9"/>
      <c r="AX42" s="7"/>
      <c r="AY42" s="8"/>
      <c r="BA42" s="6"/>
    </row>
    <row r="43" customFormat="false" ht="18" hidden="false" customHeight="true" outlineLevel="0" collapsed="false">
      <c r="C43" s="6"/>
      <c r="V43" s="7"/>
      <c r="W43" s="7"/>
      <c r="X43" s="7"/>
      <c r="Y43" s="7"/>
      <c r="Z43" s="7"/>
      <c r="AA43" s="7"/>
      <c r="AB43" s="7"/>
      <c r="AC43" s="7"/>
      <c r="AD43" s="7"/>
      <c r="AM43" s="8"/>
      <c r="AN43" s="7"/>
      <c r="AO43" s="8"/>
      <c r="AP43" s="8"/>
      <c r="AR43" s="8"/>
      <c r="AS43" s="9"/>
      <c r="AW43" s="9"/>
      <c r="AX43" s="7"/>
      <c r="AY43" s="8"/>
      <c r="BA43" s="6"/>
    </row>
    <row r="44" customFormat="false" ht="18" hidden="false" customHeight="true" outlineLevel="0" collapsed="false">
      <c r="C44" s="6"/>
      <c r="V44" s="7"/>
      <c r="W44" s="7"/>
      <c r="X44" s="7"/>
      <c r="Y44" s="7"/>
      <c r="Z44" s="7"/>
      <c r="AA44" s="7"/>
      <c r="AB44" s="7"/>
      <c r="AC44" s="7"/>
      <c r="AD44" s="7"/>
      <c r="AM44" s="8"/>
      <c r="AN44" s="7"/>
      <c r="AO44" s="8"/>
      <c r="AP44" s="8"/>
      <c r="AR44" s="8"/>
      <c r="AS44" s="9"/>
      <c r="AW44" s="9"/>
      <c r="AX44" s="7"/>
      <c r="AY44" s="8"/>
      <c r="BA44" s="6"/>
    </row>
    <row r="45" customFormat="false" ht="18" hidden="false" customHeight="true" outlineLevel="0" collapsed="false">
      <c r="C45" s="6"/>
      <c r="V45" s="7"/>
      <c r="W45" s="7"/>
      <c r="X45" s="7"/>
      <c r="Y45" s="7"/>
      <c r="Z45" s="7"/>
      <c r="AA45" s="7"/>
      <c r="AB45" s="7"/>
      <c r="AC45" s="7"/>
      <c r="AD45" s="7"/>
      <c r="AM45" s="8"/>
      <c r="AN45" s="7"/>
      <c r="AO45" s="8"/>
      <c r="AP45" s="8"/>
      <c r="AR45" s="8"/>
      <c r="AS45" s="9"/>
      <c r="AW45" s="9"/>
      <c r="AX45" s="7"/>
      <c r="AY45" s="8"/>
      <c r="BA45" s="6"/>
    </row>
    <row r="46" customFormat="false" ht="18" hidden="false" customHeight="true" outlineLevel="0" collapsed="false">
      <c r="C46" s="6"/>
      <c r="V46" s="7"/>
      <c r="W46" s="7"/>
      <c r="X46" s="7"/>
      <c r="Y46" s="7"/>
      <c r="Z46" s="7"/>
      <c r="AA46" s="7"/>
      <c r="AB46" s="7"/>
      <c r="AC46" s="7"/>
      <c r="AD46" s="7"/>
      <c r="AM46" s="8"/>
      <c r="AN46" s="7"/>
      <c r="AO46" s="8"/>
      <c r="AP46" s="8"/>
      <c r="AR46" s="8"/>
      <c r="AS46" s="9"/>
      <c r="AW46" s="9"/>
      <c r="AX46" s="7"/>
      <c r="AY46" s="8"/>
      <c r="BA46" s="6"/>
    </row>
    <row r="47" customFormat="false" ht="18" hidden="false" customHeight="true" outlineLevel="0" collapsed="false">
      <c r="C47" s="6"/>
      <c r="V47" s="7"/>
      <c r="W47" s="7"/>
      <c r="X47" s="7"/>
      <c r="Y47" s="7"/>
      <c r="Z47" s="7"/>
      <c r="AA47" s="7"/>
      <c r="AB47" s="7"/>
      <c r="AC47" s="7"/>
      <c r="AD47" s="7"/>
      <c r="AM47" s="8"/>
      <c r="AN47" s="7"/>
      <c r="AO47" s="8"/>
      <c r="AP47" s="8"/>
      <c r="AR47" s="8"/>
      <c r="AS47" s="9"/>
      <c r="AW47" s="9"/>
      <c r="AX47" s="7"/>
      <c r="AY47" s="8"/>
      <c r="BA47" s="6"/>
    </row>
    <row r="48" customFormat="false" ht="18" hidden="false" customHeight="true" outlineLevel="0" collapsed="false">
      <c r="C48" s="6"/>
      <c r="V48" s="7"/>
      <c r="W48" s="7"/>
      <c r="X48" s="7"/>
      <c r="Y48" s="7"/>
      <c r="Z48" s="7"/>
      <c r="AA48" s="7"/>
      <c r="AB48" s="7"/>
      <c r="AC48" s="7"/>
      <c r="AD48" s="7"/>
      <c r="AM48" s="8"/>
      <c r="AN48" s="7"/>
      <c r="AO48" s="8"/>
      <c r="AP48" s="8"/>
      <c r="AR48" s="8"/>
      <c r="AS48" s="9"/>
      <c r="AW48" s="9"/>
      <c r="AX48" s="7"/>
      <c r="AY48" s="8"/>
      <c r="BA48" s="6"/>
    </row>
    <row r="49" customFormat="false" ht="18" hidden="false" customHeight="true" outlineLevel="0" collapsed="false">
      <c r="C49" s="6"/>
      <c r="V49" s="7"/>
      <c r="W49" s="7"/>
      <c r="X49" s="7"/>
      <c r="Y49" s="7"/>
      <c r="Z49" s="7"/>
      <c r="AA49" s="7"/>
      <c r="AB49" s="7"/>
      <c r="AC49" s="7"/>
      <c r="AD49" s="7"/>
      <c r="AM49" s="8"/>
      <c r="AN49" s="7"/>
      <c r="AO49" s="8"/>
      <c r="AP49" s="8"/>
      <c r="AR49" s="8"/>
      <c r="AS49" s="9"/>
      <c r="AW49" s="9"/>
      <c r="AX49" s="7"/>
      <c r="AY49" s="8"/>
      <c r="BA49" s="6"/>
    </row>
    <row r="50" customFormat="false" ht="18" hidden="false" customHeight="true" outlineLevel="0" collapsed="false">
      <c r="C50" s="6"/>
      <c r="V50" s="7"/>
      <c r="W50" s="7"/>
      <c r="X50" s="7"/>
      <c r="Y50" s="7"/>
      <c r="Z50" s="7"/>
      <c r="AA50" s="7"/>
      <c r="AB50" s="7"/>
      <c r="AC50" s="7"/>
      <c r="AD50" s="7"/>
      <c r="AM50" s="8"/>
      <c r="AN50" s="7"/>
      <c r="AO50" s="8"/>
      <c r="AP50" s="8"/>
      <c r="AR50" s="8"/>
      <c r="AS50" s="9"/>
      <c r="AW50" s="9"/>
      <c r="AX50" s="7"/>
      <c r="AY50" s="8"/>
      <c r="BA50" s="6"/>
    </row>
    <row r="51" customFormat="false" ht="18" hidden="false" customHeight="true" outlineLevel="0" collapsed="false">
      <c r="C51" s="6"/>
      <c r="V51" s="7"/>
      <c r="W51" s="7"/>
      <c r="X51" s="7"/>
      <c r="Y51" s="7"/>
      <c r="Z51" s="7"/>
      <c r="AA51" s="7"/>
      <c r="AB51" s="7"/>
      <c r="AC51" s="7"/>
      <c r="AD51" s="7"/>
      <c r="AM51" s="8"/>
      <c r="AN51" s="7"/>
      <c r="AO51" s="8"/>
      <c r="AP51" s="8"/>
      <c r="AR51" s="8"/>
      <c r="AS51" s="9"/>
      <c r="AW51" s="9"/>
      <c r="AX51" s="7"/>
      <c r="AY51" s="8"/>
      <c r="BA51" s="6"/>
    </row>
    <row r="52" customFormat="false" ht="18" hidden="false" customHeight="true" outlineLevel="0" collapsed="false">
      <c r="C52" s="6"/>
      <c r="V52" s="7"/>
      <c r="W52" s="7"/>
      <c r="X52" s="7"/>
      <c r="Y52" s="7"/>
      <c r="Z52" s="7"/>
      <c r="AA52" s="7"/>
      <c r="AB52" s="7"/>
      <c r="AC52" s="7"/>
      <c r="AD52" s="7"/>
      <c r="AM52" s="8"/>
      <c r="AN52" s="7"/>
      <c r="AO52" s="8"/>
      <c r="AP52" s="8"/>
      <c r="AR52" s="8"/>
      <c r="AS52" s="9"/>
      <c r="AW52" s="9"/>
      <c r="AX52" s="7"/>
      <c r="AY52" s="8"/>
      <c r="BA52" s="6"/>
    </row>
    <row r="53" customFormat="false" ht="18" hidden="false" customHeight="true" outlineLevel="0" collapsed="false">
      <c r="C53" s="6"/>
      <c r="V53" s="7"/>
      <c r="W53" s="7"/>
      <c r="X53" s="7"/>
      <c r="Y53" s="7"/>
      <c r="Z53" s="7"/>
      <c r="AA53" s="7"/>
      <c r="AB53" s="7"/>
      <c r="AC53" s="7"/>
      <c r="AD53" s="7"/>
      <c r="AM53" s="8"/>
      <c r="AN53" s="7"/>
      <c r="AO53" s="8"/>
      <c r="AP53" s="8"/>
      <c r="AR53" s="8"/>
      <c r="AS53" s="9"/>
      <c r="AW53" s="9"/>
      <c r="AX53" s="7"/>
      <c r="AY53" s="8"/>
      <c r="BA53" s="6"/>
    </row>
    <row r="54" customFormat="false" ht="18" hidden="false" customHeight="true" outlineLevel="0" collapsed="false">
      <c r="C54" s="6"/>
      <c r="V54" s="7"/>
      <c r="W54" s="7"/>
      <c r="X54" s="7"/>
      <c r="Y54" s="7"/>
      <c r="Z54" s="7"/>
      <c r="AA54" s="7"/>
      <c r="AB54" s="7"/>
      <c r="AC54" s="7"/>
      <c r="AD54" s="7"/>
      <c r="AM54" s="8"/>
      <c r="AN54" s="7"/>
      <c r="AO54" s="8"/>
      <c r="AP54" s="8"/>
      <c r="AR54" s="8"/>
      <c r="AS54" s="9"/>
      <c r="AW54" s="9"/>
      <c r="AX54" s="7"/>
      <c r="AY54" s="8"/>
      <c r="BA54" s="6"/>
    </row>
    <row r="55" customFormat="false" ht="18" hidden="false" customHeight="true" outlineLevel="0" collapsed="false">
      <c r="C55" s="6"/>
      <c r="V55" s="7"/>
      <c r="W55" s="7"/>
      <c r="X55" s="7"/>
      <c r="Y55" s="7"/>
      <c r="Z55" s="7"/>
      <c r="AA55" s="7"/>
      <c r="AB55" s="7"/>
      <c r="AC55" s="7"/>
      <c r="AD55" s="7"/>
      <c r="AM55" s="8"/>
      <c r="AN55" s="7"/>
      <c r="AO55" s="8"/>
      <c r="AP55" s="8"/>
      <c r="AR55" s="8"/>
      <c r="AS55" s="9"/>
      <c r="AW55" s="9"/>
      <c r="AX55" s="7"/>
      <c r="AY55" s="8"/>
      <c r="BA55" s="6"/>
    </row>
    <row r="56" customFormat="false" ht="18" hidden="false" customHeight="true" outlineLevel="0" collapsed="false">
      <c r="C56" s="6"/>
      <c r="V56" s="7"/>
      <c r="W56" s="7"/>
      <c r="X56" s="7"/>
      <c r="Y56" s="7"/>
      <c r="Z56" s="7"/>
      <c r="AA56" s="7"/>
      <c r="AB56" s="7"/>
      <c r="AC56" s="7"/>
      <c r="AD56" s="7"/>
      <c r="AM56" s="8"/>
      <c r="AN56" s="7"/>
      <c r="AO56" s="8"/>
      <c r="AP56" s="8"/>
      <c r="AR56" s="8"/>
      <c r="AS56" s="9"/>
      <c r="AW56" s="9"/>
      <c r="AX56" s="7"/>
      <c r="AY56" s="8"/>
      <c r="BA56" s="6"/>
    </row>
    <row r="57" customFormat="false" ht="18" hidden="false" customHeight="true" outlineLevel="0" collapsed="false">
      <c r="C57" s="6"/>
      <c r="V57" s="7"/>
      <c r="W57" s="7"/>
      <c r="X57" s="7"/>
      <c r="Y57" s="7"/>
      <c r="Z57" s="7"/>
      <c r="AA57" s="7"/>
      <c r="AB57" s="7"/>
      <c r="AC57" s="7"/>
      <c r="AD57" s="7"/>
      <c r="AM57" s="8"/>
      <c r="AN57" s="7"/>
      <c r="AO57" s="8"/>
      <c r="AP57" s="8"/>
      <c r="AR57" s="8"/>
      <c r="AS57" s="9"/>
      <c r="AW57" s="9"/>
      <c r="AX57" s="7"/>
      <c r="AY57" s="8"/>
      <c r="BA57" s="6"/>
    </row>
    <row r="58" customFormat="false" ht="18" hidden="false" customHeight="true" outlineLevel="0" collapsed="false">
      <c r="C58" s="6"/>
      <c r="V58" s="7"/>
      <c r="W58" s="7"/>
      <c r="X58" s="7"/>
      <c r="Y58" s="7"/>
      <c r="Z58" s="7"/>
      <c r="AA58" s="7"/>
      <c r="AB58" s="7"/>
      <c r="AC58" s="7"/>
      <c r="AD58" s="7"/>
      <c r="AM58" s="8"/>
      <c r="AN58" s="7"/>
      <c r="AO58" s="8"/>
      <c r="AP58" s="8"/>
      <c r="AR58" s="8"/>
      <c r="AS58" s="9"/>
      <c r="AW58" s="9"/>
      <c r="AX58" s="7"/>
      <c r="AY58" s="8"/>
      <c r="BA58" s="6"/>
    </row>
    <row r="59" customFormat="false" ht="18" hidden="false" customHeight="true" outlineLevel="0" collapsed="false">
      <c r="C59" s="6"/>
      <c r="V59" s="7"/>
      <c r="W59" s="7"/>
      <c r="X59" s="7"/>
      <c r="Y59" s="7"/>
      <c r="Z59" s="7"/>
      <c r="AA59" s="7"/>
      <c r="AB59" s="7"/>
      <c r="AC59" s="7"/>
      <c r="AD59" s="7"/>
      <c r="AM59" s="8"/>
      <c r="AN59" s="7"/>
      <c r="AO59" s="8"/>
      <c r="AP59" s="8"/>
      <c r="AR59" s="8"/>
      <c r="AS59" s="9"/>
      <c r="AW59" s="9"/>
      <c r="AX59" s="7"/>
      <c r="AY59" s="8"/>
      <c r="BA59" s="6"/>
    </row>
    <row r="60" customFormat="false" ht="18" hidden="false" customHeight="true" outlineLevel="0" collapsed="false">
      <c r="C60" s="6"/>
      <c r="V60" s="7"/>
      <c r="W60" s="7"/>
      <c r="X60" s="7"/>
      <c r="Y60" s="7"/>
      <c r="Z60" s="7"/>
      <c r="AA60" s="7"/>
      <c r="AB60" s="7"/>
      <c r="AC60" s="7"/>
      <c r="AD60" s="7"/>
      <c r="AM60" s="8"/>
      <c r="AN60" s="7"/>
      <c r="AO60" s="8"/>
      <c r="AP60" s="8"/>
      <c r="AR60" s="8"/>
      <c r="AS60" s="9"/>
      <c r="AW60" s="9"/>
      <c r="AX60" s="7"/>
      <c r="AY60" s="8"/>
      <c r="BA60" s="6"/>
    </row>
    <row r="61" customFormat="false" ht="18" hidden="false" customHeight="true" outlineLevel="0" collapsed="false">
      <c r="C61" s="6"/>
      <c r="V61" s="7"/>
      <c r="W61" s="7"/>
      <c r="X61" s="7"/>
      <c r="Y61" s="7"/>
      <c r="Z61" s="7"/>
      <c r="AA61" s="7"/>
      <c r="AB61" s="7"/>
      <c r="AC61" s="7"/>
      <c r="AD61" s="7"/>
      <c r="AM61" s="8"/>
      <c r="AN61" s="7"/>
      <c r="AO61" s="8"/>
      <c r="AP61" s="8"/>
      <c r="AR61" s="8"/>
      <c r="AS61" s="9"/>
      <c r="AW61" s="9"/>
      <c r="AX61" s="7"/>
      <c r="AY61" s="8"/>
      <c r="BA61" s="6"/>
    </row>
    <row r="62" customFormat="false" ht="18" hidden="false" customHeight="true" outlineLevel="0" collapsed="false">
      <c r="C62" s="6"/>
      <c r="V62" s="7"/>
      <c r="W62" s="7"/>
      <c r="X62" s="7"/>
      <c r="Y62" s="7"/>
      <c r="Z62" s="7"/>
      <c r="AA62" s="7"/>
      <c r="AB62" s="7"/>
      <c r="AC62" s="7"/>
      <c r="AD62" s="7"/>
      <c r="AM62" s="8"/>
      <c r="AN62" s="7"/>
      <c r="AO62" s="8"/>
      <c r="AP62" s="8"/>
      <c r="AR62" s="8"/>
      <c r="AS62" s="9"/>
      <c r="AW62" s="9"/>
      <c r="AX62" s="7"/>
      <c r="AY62" s="8"/>
      <c r="BA62" s="6"/>
    </row>
    <row r="63" customFormat="false" ht="18" hidden="false" customHeight="true" outlineLevel="0" collapsed="false">
      <c r="C63" s="6"/>
      <c r="V63" s="7"/>
      <c r="W63" s="7"/>
      <c r="X63" s="7"/>
      <c r="Y63" s="7"/>
      <c r="Z63" s="7"/>
      <c r="AA63" s="7"/>
      <c r="AB63" s="7"/>
      <c r="AC63" s="7"/>
      <c r="AD63" s="7"/>
      <c r="AM63" s="8"/>
      <c r="AN63" s="7"/>
      <c r="AO63" s="8"/>
      <c r="AP63" s="8"/>
      <c r="AR63" s="8"/>
      <c r="AS63" s="9"/>
      <c r="AW63" s="9"/>
      <c r="AX63" s="7"/>
      <c r="AY63" s="8"/>
      <c r="BA63" s="6"/>
    </row>
    <row r="64" customFormat="false" ht="18" hidden="false" customHeight="true" outlineLevel="0" collapsed="false">
      <c r="C64" s="6"/>
      <c r="V64" s="7"/>
      <c r="W64" s="7"/>
      <c r="X64" s="7"/>
      <c r="Y64" s="7"/>
      <c r="Z64" s="7"/>
      <c r="AA64" s="7"/>
      <c r="AB64" s="7"/>
      <c r="AC64" s="7"/>
      <c r="AD64" s="7"/>
      <c r="AM64" s="8"/>
      <c r="AN64" s="7"/>
      <c r="AO64" s="8"/>
      <c r="AP64" s="8"/>
      <c r="AR64" s="8"/>
      <c r="AS64" s="9"/>
      <c r="AW64" s="9"/>
      <c r="AX64" s="7"/>
      <c r="AY64" s="8"/>
      <c r="BA64" s="6"/>
    </row>
    <row r="65" customFormat="false" ht="18" hidden="false" customHeight="true" outlineLevel="0" collapsed="false">
      <c r="C65" s="6"/>
      <c r="V65" s="7"/>
      <c r="W65" s="7"/>
      <c r="X65" s="7"/>
      <c r="Y65" s="7"/>
      <c r="Z65" s="7"/>
      <c r="AA65" s="7"/>
      <c r="AB65" s="7"/>
      <c r="AC65" s="7"/>
      <c r="AD65" s="7"/>
      <c r="AM65" s="8"/>
      <c r="AN65" s="7"/>
      <c r="AO65" s="8"/>
      <c r="AP65" s="8"/>
      <c r="AR65" s="8"/>
      <c r="AS65" s="9"/>
      <c r="AW65" s="9"/>
      <c r="AX65" s="7"/>
      <c r="AY65" s="8"/>
      <c r="BA65" s="6"/>
    </row>
    <row r="66" customFormat="false" ht="18" hidden="false" customHeight="true" outlineLevel="0" collapsed="false">
      <c r="C66" s="6"/>
      <c r="V66" s="7"/>
      <c r="W66" s="7"/>
      <c r="X66" s="7"/>
      <c r="Y66" s="7"/>
      <c r="Z66" s="7"/>
      <c r="AA66" s="7"/>
      <c r="AB66" s="7"/>
      <c r="AC66" s="7"/>
      <c r="AD66" s="7"/>
      <c r="AM66" s="8"/>
      <c r="AN66" s="7"/>
      <c r="AO66" s="8"/>
      <c r="AP66" s="8"/>
      <c r="AR66" s="8"/>
      <c r="AS66" s="9"/>
      <c r="AW66" s="9"/>
      <c r="AX66" s="7"/>
      <c r="AY66" s="8"/>
      <c r="BA66" s="6"/>
    </row>
    <row r="67" customFormat="false" ht="18" hidden="false" customHeight="true" outlineLevel="0" collapsed="false">
      <c r="C67" s="6"/>
      <c r="V67" s="7"/>
      <c r="W67" s="7"/>
      <c r="X67" s="7"/>
      <c r="Y67" s="7"/>
      <c r="Z67" s="7"/>
      <c r="AA67" s="7"/>
      <c r="AB67" s="7"/>
      <c r="AC67" s="7"/>
      <c r="AD67" s="7"/>
      <c r="AM67" s="8"/>
      <c r="AN67" s="7"/>
      <c r="AO67" s="8"/>
      <c r="AP67" s="8"/>
      <c r="AR67" s="8"/>
      <c r="AS67" s="9"/>
      <c r="AW67" s="9"/>
      <c r="AX67" s="7"/>
      <c r="AY67" s="8"/>
      <c r="BA67" s="6"/>
    </row>
    <row r="68" customFormat="false" ht="18" hidden="false" customHeight="true" outlineLevel="0" collapsed="false">
      <c r="C68" s="6"/>
      <c r="V68" s="7"/>
      <c r="W68" s="7"/>
      <c r="X68" s="7"/>
      <c r="Y68" s="7"/>
      <c r="Z68" s="7"/>
      <c r="AA68" s="7"/>
      <c r="AB68" s="7"/>
      <c r="AC68" s="7"/>
      <c r="AD68" s="7"/>
      <c r="AM68" s="8"/>
      <c r="AN68" s="7"/>
      <c r="AO68" s="8"/>
      <c r="AP68" s="8"/>
      <c r="AR68" s="8"/>
      <c r="AS68" s="9"/>
      <c r="AW68" s="9"/>
      <c r="AX68" s="7"/>
      <c r="AY68" s="8"/>
      <c r="BA68" s="6"/>
    </row>
    <row r="69" customFormat="false" ht="18" hidden="false" customHeight="true" outlineLevel="0" collapsed="false">
      <c r="C69" s="6"/>
      <c r="V69" s="7"/>
      <c r="W69" s="7"/>
      <c r="X69" s="7"/>
      <c r="Y69" s="7"/>
      <c r="Z69" s="7"/>
      <c r="AA69" s="7"/>
      <c r="AB69" s="7"/>
      <c r="AC69" s="7"/>
      <c r="AD69" s="7"/>
      <c r="AM69" s="8"/>
      <c r="AN69" s="7"/>
      <c r="AO69" s="8"/>
      <c r="AP69" s="8"/>
      <c r="AR69" s="8"/>
      <c r="AS69" s="9"/>
      <c r="AW69" s="9"/>
      <c r="AX69" s="7"/>
      <c r="AY69" s="8"/>
      <c r="BA69" s="6"/>
    </row>
    <row r="70" customFormat="false" ht="18" hidden="false" customHeight="true" outlineLevel="0" collapsed="false">
      <c r="C70" s="6"/>
      <c r="V70" s="7"/>
      <c r="W70" s="7"/>
      <c r="X70" s="7"/>
      <c r="Y70" s="7"/>
      <c r="Z70" s="7"/>
      <c r="AA70" s="7"/>
      <c r="AB70" s="7"/>
      <c r="AC70" s="7"/>
      <c r="AD70" s="7"/>
      <c r="AM70" s="8"/>
      <c r="AN70" s="7"/>
      <c r="AO70" s="8"/>
      <c r="AP70" s="8"/>
      <c r="AR70" s="8"/>
      <c r="AS70" s="9"/>
      <c r="AW70" s="9"/>
      <c r="AX70" s="7"/>
      <c r="AY70" s="8"/>
      <c r="BA70" s="6"/>
    </row>
    <row r="71" customFormat="false" ht="18" hidden="false" customHeight="true" outlineLevel="0" collapsed="false">
      <c r="C71" s="6"/>
      <c r="V71" s="7"/>
      <c r="W71" s="7"/>
      <c r="X71" s="7"/>
      <c r="Y71" s="7"/>
      <c r="Z71" s="7"/>
      <c r="AA71" s="7"/>
      <c r="AB71" s="7"/>
      <c r="AC71" s="7"/>
      <c r="AD71" s="7"/>
      <c r="AM71" s="8"/>
      <c r="AN71" s="7"/>
      <c r="AO71" s="8"/>
      <c r="AP71" s="8"/>
      <c r="AR71" s="8"/>
      <c r="AS71" s="9"/>
      <c r="AW71" s="9"/>
      <c r="AX71" s="7"/>
      <c r="AY71" s="8"/>
      <c r="BA71" s="6"/>
    </row>
    <row r="72" customFormat="false" ht="18" hidden="false" customHeight="true" outlineLevel="0" collapsed="false">
      <c r="C72" s="6"/>
      <c r="V72" s="7"/>
      <c r="W72" s="7"/>
      <c r="X72" s="7"/>
      <c r="Y72" s="7"/>
      <c r="Z72" s="7"/>
      <c r="AA72" s="7"/>
      <c r="AB72" s="7"/>
      <c r="AC72" s="7"/>
      <c r="AD72" s="7"/>
      <c r="AM72" s="8"/>
      <c r="AN72" s="7"/>
      <c r="AO72" s="8"/>
      <c r="AP72" s="8"/>
      <c r="AR72" s="8"/>
      <c r="AS72" s="9"/>
      <c r="AW72" s="9"/>
      <c r="AX72" s="7"/>
      <c r="AY72" s="8"/>
      <c r="BA72" s="6"/>
    </row>
    <row r="73" customFormat="false" ht="18" hidden="false" customHeight="true" outlineLevel="0" collapsed="false">
      <c r="C73" s="6"/>
      <c r="V73" s="7"/>
      <c r="W73" s="7"/>
      <c r="X73" s="7"/>
      <c r="Y73" s="7"/>
      <c r="Z73" s="7"/>
      <c r="AA73" s="7"/>
      <c r="AB73" s="7"/>
      <c r="AC73" s="7"/>
      <c r="AD73" s="7"/>
      <c r="AM73" s="8"/>
      <c r="AN73" s="7"/>
      <c r="AO73" s="8"/>
      <c r="AP73" s="8"/>
      <c r="AR73" s="8"/>
      <c r="AS73" s="9"/>
      <c r="AW73" s="9"/>
      <c r="AX73" s="7"/>
      <c r="AY73" s="8"/>
      <c r="BA73" s="6"/>
    </row>
    <row r="74" customFormat="false" ht="18" hidden="false" customHeight="true" outlineLevel="0" collapsed="false">
      <c r="C74" s="6"/>
      <c r="V74" s="7"/>
      <c r="W74" s="7"/>
      <c r="X74" s="7"/>
      <c r="Y74" s="7"/>
      <c r="Z74" s="7"/>
      <c r="AA74" s="7"/>
      <c r="AB74" s="7"/>
      <c r="AC74" s="7"/>
      <c r="AD74" s="7"/>
      <c r="AM74" s="8"/>
      <c r="AN74" s="7"/>
      <c r="AO74" s="8"/>
      <c r="AP74" s="8"/>
      <c r="AR74" s="8"/>
      <c r="AS74" s="9"/>
      <c r="AW74" s="9"/>
      <c r="AX74" s="7"/>
      <c r="AY74" s="8"/>
      <c r="BA74" s="6"/>
    </row>
    <row r="75" customFormat="false" ht="18" hidden="false" customHeight="true" outlineLevel="0" collapsed="false">
      <c r="C75" s="6"/>
      <c r="V75" s="7"/>
      <c r="W75" s="7"/>
      <c r="X75" s="7"/>
      <c r="Y75" s="7"/>
      <c r="Z75" s="7"/>
      <c r="AA75" s="7"/>
      <c r="AB75" s="7"/>
      <c r="AC75" s="7"/>
      <c r="AD75" s="7"/>
      <c r="AM75" s="8"/>
      <c r="AN75" s="7"/>
      <c r="AO75" s="8"/>
      <c r="AP75" s="8"/>
      <c r="AR75" s="8"/>
      <c r="AS75" s="9"/>
      <c r="AW75" s="9"/>
      <c r="AX75" s="7"/>
      <c r="AY75" s="8"/>
      <c r="BA75" s="6"/>
    </row>
    <row r="76" customFormat="false" ht="18" hidden="false" customHeight="true" outlineLevel="0" collapsed="false">
      <c r="C76" s="6"/>
      <c r="V76" s="7"/>
      <c r="W76" s="7"/>
      <c r="X76" s="7"/>
      <c r="Y76" s="7"/>
      <c r="Z76" s="7"/>
      <c r="AA76" s="7"/>
      <c r="AB76" s="7"/>
      <c r="AC76" s="7"/>
      <c r="AD76" s="7"/>
      <c r="AM76" s="8"/>
      <c r="AN76" s="7"/>
      <c r="AO76" s="8"/>
      <c r="AP76" s="8"/>
      <c r="AR76" s="8"/>
      <c r="AS76" s="9"/>
      <c r="AW76" s="9"/>
      <c r="AX76" s="7"/>
      <c r="AY76" s="8"/>
      <c r="BA76" s="6"/>
    </row>
    <row r="77" customFormat="false" ht="18" hidden="false" customHeight="true" outlineLevel="0" collapsed="false">
      <c r="C77" s="6"/>
      <c r="V77" s="7"/>
      <c r="W77" s="7"/>
      <c r="X77" s="7"/>
      <c r="Y77" s="7"/>
      <c r="Z77" s="7"/>
      <c r="AA77" s="7"/>
      <c r="AB77" s="7"/>
      <c r="AC77" s="7"/>
      <c r="AD77" s="7"/>
      <c r="AM77" s="8"/>
      <c r="AN77" s="7"/>
      <c r="AO77" s="8"/>
      <c r="AP77" s="8"/>
      <c r="AR77" s="8"/>
      <c r="AS77" s="9"/>
      <c r="AW77" s="9"/>
      <c r="AX77" s="7"/>
      <c r="AY77" s="8"/>
      <c r="BA77" s="6"/>
    </row>
    <row r="78" customFormat="false" ht="18" hidden="false" customHeight="true" outlineLevel="0" collapsed="false">
      <c r="C78" s="6"/>
      <c r="V78" s="7"/>
      <c r="W78" s="7"/>
      <c r="X78" s="7"/>
      <c r="Y78" s="7"/>
      <c r="Z78" s="7"/>
      <c r="AA78" s="7"/>
      <c r="AB78" s="7"/>
      <c r="AC78" s="7"/>
      <c r="AD78" s="7"/>
      <c r="AM78" s="8"/>
      <c r="AN78" s="7"/>
      <c r="AO78" s="8"/>
      <c r="AP78" s="8"/>
      <c r="AR78" s="8"/>
      <c r="AS78" s="9"/>
      <c r="AW78" s="9"/>
      <c r="AX78" s="7"/>
      <c r="AY78" s="8"/>
      <c r="BA78" s="6"/>
    </row>
    <row r="79" customFormat="false" ht="18" hidden="false" customHeight="true" outlineLevel="0" collapsed="false">
      <c r="C79" s="6"/>
      <c r="V79" s="7"/>
      <c r="W79" s="7"/>
      <c r="X79" s="7"/>
      <c r="Y79" s="7"/>
      <c r="Z79" s="7"/>
      <c r="AA79" s="7"/>
      <c r="AB79" s="7"/>
      <c r="AC79" s="7"/>
      <c r="AD79" s="7"/>
      <c r="AM79" s="8"/>
      <c r="AN79" s="7"/>
      <c r="AO79" s="8"/>
      <c r="AP79" s="8"/>
      <c r="AR79" s="8"/>
      <c r="AS79" s="9"/>
      <c r="AW79" s="9"/>
      <c r="AX79" s="7"/>
      <c r="AY79" s="8"/>
      <c r="BA79" s="6"/>
    </row>
    <row r="80" customFormat="false" ht="18" hidden="false" customHeight="true" outlineLevel="0" collapsed="false">
      <c r="C80" s="6"/>
      <c r="V80" s="7"/>
      <c r="W80" s="7"/>
      <c r="X80" s="7"/>
      <c r="Y80" s="7"/>
      <c r="Z80" s="7"/>
      <c r="AA80" s="7"/>
      <c r="AB80" s="7"/>
      <c r="AC80" s="7"/>
      <c r="AD80" s="7"/>
      <c r="AM80" s="8"/>
      <c r="AN80" s="7"/>
      <c r="AO80" s="8"/>
      <c r="AP80" s="8"/>
      <c r="AR80" s="8"/>
      <c r="AS80" s="9"/>
      <c r="AW80" s="9"/>
      <c r="AX80" s="7"/>
      <c r="AY80" s="8"/>
      <c r="BA80" s="6"/>
    </row>
    <row r="81" customFormat="false" ht="18" hidden="false" customHeight="true" outlineLevel="0" collapsed="false">
      <c r="C81" s="6"/>
      <c r="V81" s="7"/>
      <c r="W81" s="7"/>
      <c r="X81" s="7"/>
      <c r="Y81" s="7"/>
      <c r="Z81" s="7"/>
      <c r="AA81" s="7"/>
      <c r="AB81" s="7"/>
      <c r="AC81" s="7"/>
      <c r="AD81" s="7"/>
      <c r="AM81" s="8"/>
      <c r="AN81" s="7"/>
      <c r="AO81" s="8"/>
      <c r="AP81" s="8"/>
      <c r="AR81" s="8"/>
      <c r="AS81" s="9"/>
      <c r="AW81" s="9"/>
      <c r="AX81" s="7"/>
      <c r="AY81" s="8"/>
      <c r="BA81" s="6"/>
    </row>
    <row r="82" customFormat="false" ht="18" hidden="false" customHeight="true" outlineLevel="0" collapsed="false">
      <c r="C82" s="6"/>
      <c r="V82" s="7"/>
      <c r="W82" s="7"/>
      <c r="X82" s="7"/>
      <c r="Y82" s="7"/>
      <c r="Z82" s="7"/>
      <c r="AA82" s="7"/>
      <c r="AB82" s="7"/>
      <c r="AC82" s="7"/>
      <c r="AD82" s="7"/>
      <c r="AM82" s="8"/>
      <c r="AN82" s="7"/>
      <c r="AO82" s="8"/>
      <c r="AP82" s="8"/>
      <c r="AR82" s="8"/>
      <c r="AS82" s="9"/>
      <c r="AW82" s="9"/>
      <c r="AX82" s="7"/>
      <c r="AY82" s="8"/>
      <c r="BA82" s="6"/>
    </row>
    <row r="83" customFormat="false" ht="18" hidden="false" customHeight="true" outlineLevel="0" collapsed="false">
      <c r="C83" s="6"/>
      <c r="V83" s="7"/>
      <c r="W83" s="7"/>
      <c r="X83" s="7"/>
      <c r="Y83" s="7"/>
      <c r="Z83" s="7"/>
      <c r="AA83" s="7"/>
      <c r="AB83" s="7"/>
      <c r="AC83" s="7"/>
      <c r="AD83" s="7"/>
      <c r="AM83" s="8"/>
      <c r="AN83" s="7"/>
      <c r="AO83" s="8"/>
      <c r="AP83" s="8"/>
      <c r="AR83" s="8"/>
      <c r="AS83" s="9"/>
      <c r="AW83" s="9"/>
      <c r="AX83" s="7"/>
      <c r="AY83" s="8"/>
      <c r="BA83" s="6"/>
    </row>
    <row r="84" customFormat="false" ht="18" hidden="false" customHeight="true" outlineLevel="0" collapsed="false">
      <c r="C84" s="6"/>
      <c r="V84" s="7"/>
      <c r="W84" s="7"/>
      <c r="X84" s="7"/>
      <c r="Y84" s="7"/>
      <c r="Z84" s="7"/>
      <c r="AA84" s="7"/>
      <c r="AB84" s="7"/>
      <c r="AC84" s="7"/>
      <c r="AD84" s="7"/>
      <c r="AM84" s="8"/>
      <c r="AN84" s="7"/>
      <c r="AO84" s="8"/>
      <c r="AP84" s="8"/>
      <c r="AR84" s="8"/>
      <c r="AS84" s="9"/>
      <c r="AW84" s="9"/>
      <c r="AX84" s="7"/>
      <c r="AY84" s="8"/>
      <c r="BA84" s="6"/>
    </row>
    <row r="85" customFormat="false" ht="18" hidden="false" customHeight="true" outlineLevel="0" collapsed="false">
      <c r="C85" s="6"/>
      <c r="V85" s="7"/>
      <c r="W85" s="7"/>
      <c r="X85" s="7"/>
      <c r="Y85" s="7"/>
      <c r="Z85" s="7"/>
      <c r="AA85" s="7"/>
      <c r="AB85" s="7"/>
      <c r="AC85" s="7"/>
      <c r="AD85" s="7"/>
      <c r="AM85" s="8"/>
      <c r="AN85" s="7"/>
      <c r="AO85" s="8"/>
      <c r="AP85" s="8"/>
      <c r="AR85" s="8"/>
      <c r="AS85" s="9"/>
      <c r="AW85" s="9"/>
      <c r="AX85" s="7"/>
      <c r="AY85" s="8"/>
      <c r="BA85" s="6"/>
    </row>
    <row r="86" customFormat="false" ht="18" hidden="false" customHeight="true" outlineLevel="0" collapsed="false">
      <c r="C86" s="6"/>
      <c r="V86" s="7"/>
      <c r="W86" s="7"/>
      <c r="X86" s="7"/>
      <c r="Y86" s="7"/>
      <c r="Z86" s="7"/>
      <c r="AA86" s="7"/>
      <c r="AB86" s="7"/>
      <c r="AC86" s="7"/>
      <c r="AD86" s="7"/>
      <c r="AM86" s="8"/>
      <c r="AN86" s="7"/>
      <c r="AO86" s="8"/>
      <c r="AP86" s="8"/>
      <c r="AR86" s="8"/>
      <c r="AS86" s="9"/>
      <c r="AW86" s="9"/>
      <c r="AX86" s="7"/>
      <c r="AY86" s="8"/>
      <c r="BA86" s="6"/>
    </row>
    <row r="87" customFormat="false" ht="18" hidden="false" customHeight="true" outlineLevel="0" collapsed="false">
      <c r="C87" s="6"/>
      <c r="V87" s="7"/>
      <c r="W87" s="7"/>
      <c r="X87" s="7"/>
      <c r="Y87" s="7"/>
      <c r="Z87" s="7"/>
      <c r="AA87" s="7"/>
      <c r="AB87" s="7"/>
      <c r="AC87" s="7"/>
      <c r="AD87" s="7"/>
      <c r="AM87" s="8"/>
      <c r="AN87" s="7"/>
      <c r="AO87" s="8"/>
      <c r="AP87" s="8"/>
      <c r="AR87" s="8"/>
      <c r="AS87" s="9"/>
      <c r="AW87" s="9"/>
      <c r="AX87" s="7"/>
      <c r="AY87" s="8"/>
      <c r="BA87" s="6"/>
    </row>
    <row r="88" customFormat="false" ht="18" hidden="false" customHeight="true" outlineLevel="0" collapsed="false">
      <c r="C88" s="6"/>
      <c r="V88" s="7"/>
      <c r="W88" s="7"/>
      <c r="X88" s="7"/>
      <c r="Y88" s="7"/>
      <c r="Z88" s="7"/>
      <c r="AA88" s="7"/>
      <c r="AB88" s="7"/>
      <c r="AC88" s="7"/>
      <c r="AD88" s="7"/>
      <c r="AM88" s="8"/>
      <c r="AN88" s="7"/>
      <c r="AO88" s="8"/>
      <c r="AP88" s="8"/>
      <c r="AR88" s="8"/>
      <c r="AS88" s="9"/>
      <c r="AW88" s="9"/>
      <c r="AX88" s="7"/>
      <c r="AY88" s="8"/>
      <c r="BA88" s="6"/>
    </row>
    <row r="89" customFormat="false" ht="18" hidden="false" customHeight="true" outlineLevel="0" collapsed="false">
      <c r="C89" s="6"/>
      <c r="V89" s="7"/>
      <c r="W89" s="7"/>
      <c r="X89" s="7"/>
      <c r="Y89" s="7"/>
      <c r="Z89" s="7"/>
      <c r="AA89" s="7"/>
      <c r="AB89" s="7"/>
      <c r="AC89" s="7"/>
      <c r="AD89" s="7"/>
      <c r="AM89" s="8"/>
      <c r="AN89" s="7"/>
      <c r="AO89" s="8"/>
      <c r="AP89" s="8"/>
      <c r="AR89" s="8"/>
      <c r="AS89" s="9"/>
      <c r="AW89" s="9"/>
      <c r="AX89" s="7"/>
      <c r="AY89" s="8"/>
      <c r="BA89" s="6"/>
    </row>
    <row r="90" customFormat="false" ht="18" hidden="false" customHeight="true" outlineLevel="0" collapsed="false">
      <c r="C90" s="6"/>
      <c r="V90" s="7"/>
      <c r="W90" s="7"/>
      <c r="X90" s="7"/>
      <c r="Y90" s="7"/>
      <c r="Z90" s="7"/>
      <c r="AA90" s="7"/>
      <c r="AB90" s="7"/>
      <c r="AC90" s="7"/>
      <c r="AD90" s="7"/>
      <c r="AM90" s="8"/>
      <c r="AN90" s="7"/>
      <c r="AO90" s="8"/>
      <c r="AP90" s="8"/>
      <c r="AR90" s="8"/>
      <c r="AS90" s="9"/>
      <c r="AW90" s="9"/>
      <c r="AX90" s="7"/>
      <c r="AY90" s="8"/>
      <c r="BA90" s="6"/>
    </row>
    <row r="91" customFormat="false" ht="18" hidden="false" customHeight="true" outlineLevel="0" collapsed="false">
      <c r="C91" s="6"/>
      <c r="V91" s="7"/>
      <c r="W91" s="7"/>
      <c r="X91" s="7"/>
      <c r="Y91" s="7"/>
      <c r="Z91" s="7"/>
      <c r="AA91" s="7"/>
      <c r="AB91" s="7"/>
      <c r="AC91" s="7"/>
      <c r="AD91" s="7"/>
      <c r="AM91" s="8"/>
      <c r="AN91" s="7"/>
      <c r="AO91" s="8"/>
      <c r="AP91" s="8"/>
      <c r="AR91" s="8"/>
      <c r="AS91" s="9"/>
      <c r="AW91" s="9"/>
      <c r="AX91" s="7"/>
      <c r="AY91" s="8"/>
      <c r="BA91" s="6"/>
    </row>
    <row r="92" customFormat="false" ht="18" hidden="false" customHeight="true" outlineLevel="0" collapsed="false">
      <c r="C92" s="6"/>
      <c r="V92" s="7"/>
      <c r="W92" s="7"/>
      <c r="X92" s="7"/>
      <c r="Y92" s="7"/>
      <c r="Z92" s="7"/>
      <c r="AA92" s="7"/>
      <c r="AB92" s="7"/>
      <c r="AC92" s="7"/>
      <c r="AD92" s="7"/>
      <c r="AM92" s="8"/>
      <c r="AN92" s="7"/>
      <c r="AO92" s="8"/>
      <c r="AP92" s="8"/>
      <c r="AR92" s="8"/>
      <c r="AS92" s="9"/>
      <c r="AW92" s="9"/>
      <c r="AX92" s="7"/>
      <c r="AY92" s="8"/>
      <c r="BA92" s="6"/>
    </row>
    <row r="93" customFormat="false" ht="18" hidden="false" customHeight="true" outlineLevel="0" collapsed="false">
      <c r="C93" s="6"/>
      <c r="V93" s="7"/>
      <c r="W93" s="7"/>
      <c r="X93" s="7"/>
      <c r="Y93" s="7"/>
      <c r="Z93" s="7"/>
      <c r="AA93" s="7"/>
      <c r="AB93" s="7"/>
      <c r="AC93" s="7"/>
      <c r="AD93" s="7"/>
      <c r="AM93" s="8"/>
      <c r="AN93" s="7"/>
      <c r="AO93" s="8"/>
      <c r="AP93" s="8"/>
      <c r="AR93" s="8"/>
      <c r="AS93" s="9"/>
      <c r="AW93" s="9"/>
      <c r="AX93" s="7"/>
      <c r="AY93" s="8"/>
      <c r="BA93" s="6"/>
    </row>
    <row r="94" customFormat="false" ht="18" hidden="false" customHeight="true" outlineLevel="0" collapsed="false">
      <c r="C94" s="6"/>
      <c r="V94" s="7"/>
      <c r="W94" s="7"/>
      <c r="X94" s="7"/>
      <c r="Y94" s="7"/>
      <c r="Z94" s="7"/>
      <c r="AA94" s="7"/>
      <c r="AB94" s="7"/>
      <c r="AC94" s="7"/>
      <c r="AD94" s="7"/>
      <c r="AM94" s="8"/>
      <c r="AN94" s="7"/>
      <c r="AO94" s="8"/>
      <c r="AP94" s="8"/>
      <c r="AR94" s="8"/>
      <c r="AS94" s="9"/>
      <c r="AW94" s="9"/>
      <c r="AX94" s="7"/>
      <c r="AY94" s="8"/>
      <c r="BA94" s="6"/>
    </row>
    <row r="95" customFormat="false" ht="18" hidden="false" customHeight="true" outlineLevel="0" collapsed="false">
      <c r="C95" s="6"/>
      <c r="V95" s="7"/>
      <c r="W95" s="7"/>
      <c r="X95" s="7"/>
      <c r="Y95" s="7"/>
      <c r="Z95" s="7"/>
      <c r="AA95" s="7"/>
      <c r="AB95" s="7"/>
      <c r="AC95" s="7"/>
      <c r="AD95" s="7"/>
      <c r="AM95" s="8"/>
      <c r="AN95" s="7"/>
      <c r="AO95" s="8"/>
      <c r="AP95" s="8"/>
      <c r="AR95" s="8"/>
      <c r="AS95" s="9"/>
      <c r="AW95" s="9"/>
      <c r="AX95" s="7"/>
      <c r="AY95" s="8"/>
      <c r="BA95" s="6"/>
    </row>
    <row r="96" customFormat="false" ht="18" hidden="false" customHeight="true" outlineLevel="0" collapsed="false">
      <c r="C96" s="6"/>
      <c r="V96" s="7"/>
      <c r="W96" s="7"/>
      <c r="X96" s="7"/>
      <c r="Y96" s="7"/>
      <c r="Z96" s="7"/>
      <c r="AA96" s="7"/>
      <c r="AB96" s="7"/>
      <c r="AC96" s="7"/>
      <c r="AD96" s="7"/>
      <c r="AM96" s="8"/>
      <c r="AN96" s="7"/>
      <c r="AO96" s="8"/>
      <c r="AP96" s="8"/>
      <c r="AR96" s="8"/>
      <c r="AS96" s="9"/>
      <c r="AW96" s="9"/>
      <c r="AX96" s="7"/>
      <c r="AY96" s="8"/>
      <c r="BA96" s="6"/>
    </row>
    <row r="97" customFormat="false" ht="18" hidden="false" customHeight="true" outlineLevel="0" collapsed="false">
      <c r="C97" s="6"/>
      <c r="V97" s="7"/>
      <c r="W97" s="7"/>
      <c r="X97" s="7"/>
      <c r="Y97" s="7"/>
      <c r="Z97" s="7"/>
      <c r="AA97" s="7"/>
      <c r="AB97" s="7"/>
      <c r="AC97" s="7"/>
      <c r="AD97" s="7"/>
      <c r="AM97" s="8"/>
      <c r="AN97" s="7"/>
      <c r="AO97" s="8"/>
      <c r="AP97" s="8"/>
      <c r="AR97" s="8"/>
      <c r="AS97" s="9"/>
      <c r="AW97" s="9"/>
      <c r="AX97" s="7"/>
      <c r="AY97" s="8"/>
      <c r="BA97" s="6"/>
    </row>
    <row r="98" customFormat="false" ht="18" hidden="false" customHeight="true" outlineLevel="0" collapsed="false">
      <c r="C98" s="6"/>
      <c r="V98" s="7"/>
      <c r="W98" s="7"/>
      <c r="X98" s="7"/>
      <c r="Y98" s="7"/>
      <c r="Z98" s="7"/>
      <c r="AA98" s="7"/>
      <c r="AB98" s="7"/>
      <c r="AC98" s="7"/>
      <c r="AD98" s="7"/>
      <c r="AM98" s="8"/>
      <c r="AN98" s="7"/>
      <c r="AO98" s="8"/>
      <c r="AP98" s="8"/>
      <c r="AR98" s="8"/>
      <c r="AS98" s="9"/>
      <c r="AW98" s="9"/>
      <c r="AX98" s="7"/>
      <c r="AY98" s="8"/>
      <c r="BA98" s="6"/>
    </row>
    <row r="99" customFormat="false" ht="18" hidden="false" customHeight="true" outlineLevel="0" collapsed="false">
      <c r="C99" s="6"/>
      <c r="V99" s="7"/>
      <c r="W99" s="7"/>
      <c r="X99" s="7"/>
      <c r="Y99" s="7"/>
      <c r="Z99" s="7"/>
      <c r="AA99" s="7"/>
      <c r="AB99" s="7"/>
      <c r="AC99" s="7"/>
      <c r="AD99" s="7"/>
      <c r="AM99" s="8"/>
      <c r="AN99" s="7"/>
      <c r="AO99" s="8"/>
      <c r="AP99" s="8"/>
      <c r="AR99" s="8"/>
      <c r="AS99" s="9"/>
      <c r="AW99" s="9"/>
      <c r="AX99" s="7"/>
      <c r="AY99" s="8"/>
      <c r="BA99" s="6"/>
    </row>
    <row r="100" customFormat="false" ht="18" hidden="false" customHeight="true" outlineLevel="0" collapsed="false">
      <c r="C100" s="6"/>
      <c r="V100" s="7"/>
      <c r="W100" s="7"/>
      <c r="X100" s="7"/>
      <c r="Y100" s="7"/>
      <c r="Z100" s="7"/>
      <c r="AA100" s="7"/>
      <c r="AB100" s="7"/>
      <c r="AC100" s="7"/>
      <c r="AD100" s="7"/>
      <c r="AM100" s="8"/>
      <c r="AN100" s="7"/>
      <c r="AO100" s="8"/>
      <c r="AP100" s="8"/>
      <c r="AR100" s="8"/>
      <c r="AS100" s="9"/>
      <c r="AW100" s="9"/>
      <c r="AX100" s="7"/>
      <c r="AY100" s="8"/>
      <c r="BA100" s="6"/>
    </row>
    <row r="101" customFormat="false" ht="18" hidden="false" customHeight="true" outlineLevel="0" collapsed="false">
      <c r="C101" s="6"/>
      <c r="V101" s="7"/>
      <c r="W101" s="7"/>
      <c r="X101" s="7"/>
      <c r="Y101" s="7"/>
      <c r="Z101" s="7"/>
      <c r="AA101" s="7"/>
      <c r="AB101" s="7"/>
      <c r="AC101" s="7"/>
      <c r="AD101" s="7"/>
      <c r="AM101" s="8"/>
      <c r="AN101" s="7"/>
      <c r="AO101" s="8"/>
      <c r="AP101" s="8"/>
      <c r="AR101" s="8"/>
      <c r="AS101" s="9"/>
      <c r="AW101" s="9"/>
      <c r="AX101" s="7"/>
      <c r="AY101" s="8"/>
      <c r="BA101" s="6"/>
    </row>
    <row r="102" customFormat="false" ht="18" hidden="false" customHeight="true" outlineLevel="0" collapsed="false">
      <c r="C102" s="6"/>
      <c r="V102" s="7"/>
      <c r="W102" s="7"/>
      <c r="X102" s="7"/>
      <c r="Y102" s="7"/>
      <c r="Z102" s="7"/>
      <c r="AA102" s="7"/>
      <c r="AB102" s="7"/>
      <c r="AC102" s="7"/>
      <c r="AD102" s="7"/>
      <c r="AM102" s="8"/>
      <c r="AN102" s="7"/>
      <c r="AO102" s="8"/>
      <c r="AP102" s="8"/>
      <c r="AR102" s="8"/>
      <c r="AS102" s="9"/>
      <c r="AW102" s="9"/>
      <c r="AX102" s="7"/>
      <c r="AY102" s="8"/>
      <c r="BA102" s="6"/>
    </row>
    <row r="103" customFormat="false" ht="18" hidden="false" customHeight="true" outlineLevel="0" collapsed="false">
      <c r="C103" s="6"/>
      <c r="V103" s="7"/>
      <c r="W103" s="7"/>
      <c r="X103" s="7"/>
      <c r="Y103" s="7"/>
      <c r="Z103" s="7"/>
      <c r="AA103" s="7"/>
      <c r="AB103" s="7"/>
      <c r="AC103" s="7"/>
      <c r="AD103" s="7"/>
      <c r="AM103" s="8"/>
      <c r="AN103" s="7"/>
      <c r="AO103" s="8"/>
      <c r="AP103" s="8"/>
      <c r="AR103" s="8"/>
      <c r="AS103" s="9"/>
      <c r="AW103" s="9"/>
      <c r="AX103" s="7"/>
      <c r="AY103" s="8"/>
      <c r="BA103" s="6"/>
    </row>
    <row r="104" customFormat="false" ht="18" hidden="false" customHeight="true" outlineLevel="0" collapsed="false">
      <c r="C104" s="6"/>
      <c r="V104" s="7"/>
      <c r="W104" s="7"/>
      <c r="X104" s="7"/>
      <c r="Y104" s="7"/>
      <c r="Z104" s="7"/>
      <c r="AA104" s="7"/>
      <c r="AB104" s="7"/>
      <c r="AC104" s="7"/>
      <c r="AD104" s="7"/>
      <c r="AM104" s="8"/>
      <c r="AN104" s="7"/>
      <c r="AO104" s="8"/>
      <c r="AP104" s="8"/>
      <c r="AR104" s="8"/>
      <c r="AS104" s="9"/>
      <c r="AW104" s="9"/>
      <c r="AX104" s="7"/>
      <c r="AY104" s="8"/>
      <c r="BA104" s="6"/>
    </row>
    <row r="105" customFormat="false" ht="18" hidden="false" customHeight="true" outlineLevel="0" collapsed="false">
      <c r="C105" s="6"/>
      <c r="V105" s="7"/>
      <c r="W105" s="7"/>
      <c r="X105" s="7"/>
      <c r="Y105" s="7"/>
      <c r="Z105" s="7"/>
      <c r="AA105" s="7"/>
      <c r="AB105" s="7"/>
      <c r="AC105" s="7"/>
      <c r="AD105" s="7"/>
      <c r="AM105" s="8"/>
      <c r="AN105" s="7"/>
      <c r="AO105" s="8"/>
      <c r="AP105" s="8"/>
      <c r="AR105" s="8"/>
      <c r="AS105" s="9"/>
      <c r="AW105" s="9"/>
      <c r="AX105" s="7"/>
      <c r="AY105" s="8"/>
      <c r="BA105" s="6"/>
    </row>
    <row r="106" customFormat="false" ht="18" hidden="false" customHeight="true" outlineLevel="0" collapsed="false">
      <c r="C106" s="6"/>
      <c r="V106" s="7"/>
      <c r="W106" s="7"/>
      <c r="X106" s="7"/>
      <c r="Y106" s="7"/>
      <c r="Z106" s="7"/>
      <c r="AA106" s="7"/>
      <c r="AB106" s="7"/>
      <c r="AC106" s="7"/>
      <c r="AD106" s="7"/>
      <c r="AM106" s="8"/>
      <c r="AN106" s="7"/>
      <c r="AO106" s="8"/>
      <c r="AP106" s="8"/>
      <c r="AR106" s="8"/>
      <c r="AS106" s="9"/>
      <c r="AW106" s="9"/>
      <c r="AX106" s="7"/>
      <c r="AY106" s="8"/>
      <c r="BA106" s="6"/>
    </row>
    <row r="107" customFormat="false" ht="18" hidden="false" customHeight="true" outlineLevel="0" collapsed="false">
      <c r="C107" s="6"/>
      <c r="V107" s="7"/>
      <c r="W107" s="7"/>
      <c r="X107" s="7"/>
      <c r="Y107" s="7"/>
      <c r="Z107" s="7"/>
      <c r="AA107" s="7"/>
      <c r="AB107" s="7"/>
      <c r="AC107" s="7"/>
      <c r="AD107" s="7"/>
      <c r="AM107" s="8"/>
      <c r="AN107" s="7"/>
      <c r="AO107" s="8"/>
      <c r="AP107" s="8"/>
      <c r="AR107" s="8"/>
      <c r="AS107" s="9"/>
      <c r="AW107" s="9"/>
      <c r="AX107" s="7"/>
      <c r="AY107" s="8"/>
      <c r="BA107" s="6"/>
    </row>
    <row r="108" customFormat="false" ht="18" hidden="false" customHeight="true" outlineLevel="0" collapsed="false">
      <c r="C108" s="6"/>
      <c r="V108" s="7"/>
      <c r="W108" s="7"/>
      <c r="X108" s="7"/>
      <c r="Y108" s="7"/>
      <c r="Z108" s="7"/>
      <c r="AA108" s="7"/>
      <c r="AB108" s="7"/>
      <c r="AC108" s="7"/>
      <c r="AD108" s="7"/>
      <c r="AM108" s="8"/>
      <c r="AN108" s="7"/>
      <c r="AO108" s="8"/>
      <c r="AP108" s="8"/>
      <c r="AR108" s="8"/>
      <c r="AS108" s="9"/>
      <c r="AW108" s="9"/>
      <c r="AX108" s="7"/>
      <c r="AY108" s="8"/>
      <c r="BA108" s="6"/>
    </row>
    <row r="109" customFormat="false" ht="18" hidden="false" customHeight="true" outlineLevel="0" collapsed="false">
      <c r="C109" s="6"/>
      <c r="V109" s="7"/>
      <c r="W109" s="7"/>
      <c r="X109" s="7"/>
      <c r="Y109" s="7"/>
      <c r="Z109" s="7"/>
      <c r="AA109" s="7"/>
      <c r="AB109" s="7"/>
      <c r="AC109" s="7"/>
      <c r="AD109" s="7"/>
      <c r="AM109" s="8"/>
      <c r="AN109" s="7"/>
      <c r="AO109" s="8"/>
      <c r="AP109" s="8"/>
      <c r="AR109" s="8"/>
      <c r="AS109" s="9"/>
      <c r="AW109" s="9"/>
      <c r="AX109" s="7"/>
      <c r="AY109" s="8"/>
      <c r="BA109" s="6"/>
    </row>
    <row r="110" customFormat="false" ht="18" hidden="false" customHeight="true" outlineLevel="0" collapsed="false">
      <c r="C110" s="6"/>
      <c r="V110" s="7"/>
      <c r="W110" s="7"/>
      <c r="X110" s="7"/>
      <c r="Y110" s="7"/>
      <c r="Z110" s="7"/>
      <c r="AA110" s="7"/>
      <c r="AB110" s="7"/>
      <c r="AC110" s="7"/>
      <c r="AD110" s="7"/>
      <c r="AM110" s="8"/>
      <c r="AN110" s="7"/>
      <c r="AO110" s="8"/>
      <c r="AP110" s="8"/>
      <c r="AR110" s="8"/>
      <c r="AS110" s="9"/>
      <c r="AW110" s="9"/>
      <c r="AX110" s="7"/>
      <c r="AY110" s="8"/>
      <c r="BA110" s="6"/>
    </row>
    <row r="111" customFormat="false" ht="18" hidden="false" customHeight="true" outlineLevel="0" collapsed="false">
      <c r="C111" s="6"/>
      <c r="V111" s="7"/>
      <c r="W111" s="7"/>
      <c r="X111" s="7"/>
      <c r="Y111" s="7"/>
      <c r="Z111" s="7"/>
      <c r="AA111" s="7"/>
      <c r="AB111" s="7"/>
      <c r="AC111" s="7"/>
      <c r="AD111" s="7"/>
      <c r="AM111" s="8"/>
      <c r="AN111" s="7"/>
      <c r="AO111" s="8"/>
      <c r="AP111" s="8"/>
      <c r="AR111" s="8"/>
      <c r="AS111" s="9"/>
      <c r="AW111" s="9"/>
      <c r="AX111" s="7"/>
      <c r="AY111" s="8"/>
      <c r="BA111" s="6"/>
    </row>
    <row r="112" customFormat="false" ht="18" hidden="false" customHeight="true" outlineLevel="0" collapsed="false">
      <c r="C112" s="6"/>
      <c r="V112" s="7"/>
      <c r="W112" s="7"/>
      <c r="X112" s="7"/>
      <c r="Y112" s="7"/>
      <c r="Z112" s="7"/>
      <c r="AA112" s="7"/>
      <c r="AB112" s="7"/>
      <c r="AC112" s="7"/>
      <c r="AD112" s="7"/>
      <c r="AM112" s="8"/>
      <c r="AN112" s="7"/>
      <c r="AO112" s="8"/>
      <c r="AP112" s="8"/>
      <c r="AR112" s="8"/>
      <c r="AS112" s="9"/>
      <c r="AW112" s="9"/>
      <c r="AX112" s="7"/>
      <c r="AY112" s="8"/>
      <c r="BA112" s="6"/>
    </row>
    <row r="113" customFormat="false" ht="18" hidden="false" customHeight="true" outlineLevel="0" collapsed="false">
      <c r="C113" s="6"/>
      <c r="V113" s="7"/>
      <c r="W113" s="7"/>
      <c r="X113" s="7"/>
      <c r="Y113" s="7"/>
      <c r="Z113" s="7"/>
      <c r="AA113" s="7"/>
      <c r="AB113" s="7"/>
      <c r="AC113" s="7"/>
      <c r="AD113" s="7"/>
      <c r="AM113" s="8"/>
      <c r="AN113" s="7"/>
      <c r="AO113" s="8"/>
      <c r="AP113" s="8"/>
      <c r="AR113" s="8"/>
      <c r="AS113" s="9"/>
      <c r="AW113" s="9"/>
      <c r="AX113" s="7"/>
      <c r="AY113" s="8"/>
      <c r="BA113" s="6"/>
    </row>
    <row r="114" customFormat="false" ht="18" hidden="false" customHeight="true" outlineLevel="0" collapsed="false">
      <c r="C114" s="6"/>
      <c r="V114" s="7"/>
      <c r="W114" s="7"/>
      <c r="X114" s="7"/>
      <c r="Y114" s="7"/>
      <c r="Z114" s="7"/>
      <c r="AA114" s="7"/>
      <c r="AB114" s="7"/>
      <c r="AC114" s="7"/>
      <c r="AD114" s="7"/>
      <c r="AM114" s="8"/>
      <c r="AN114" s="7"/>
      <c r="AO114" s="8"/>
      <c r="AP114" s="8"/>
      <c r="AR114" s="8"/>
      <c r="AS114" s="9"/>
      <c r="AW114" s="9"/>
      <c r="AX114" s="7"/>
      <c r="AY114" s="8"/>
      <c r="BA114" s="6"/>
    </row>
    <row r="115" customFormat="false" ht="18" hidden="false" customHeight="true" outlineLevel="0" collapsed="false">
      <c r="C115" s="6"/>
      <c r="V115" s="7"/>
      <c r="W115" s="7"/>
      <c r="X115" s="7"/>
      <c r="Y115" s="7"/>
      <c r="Z115" s="7"/>
      <c r="AA115" s="7"/>
      <c r="AB115" s="7"/>
      <c r="AC115" s="7"/>
      <c r="AD115" s="7"/>
      <c r="AM115" s="8"/>
      <c r="AN115" s="7"/>
      <c r="AO115" s="8"/>
      <c r="AP115" s="8"/>
      <c r="AR115" s="8"/>
      <c r="AS115" s="9"/>
      <c r="AW115" s="9"/>
      <c r="AX115" s="7"/>
      <c r="AY115" s="8"/>
      <c r="BA115" s="6"/>
    </row>
    <row r="116" customFormat="false" ht="18" hidden="false" customHeight="true" outlineLevel="0" collapsed="false">
      <c r="C116" s="6"/>
      <c r="V116" s="7"/>
      <c r="W116" s="7"/>
      <c r="X116" s="7"/>
      <c r="Y116" s="7"/>
      <c r="Z116" s="7"/>
      <c r="AA116" s="7"/>
      <c r="AB116" s="7"/>
      <c r="AC116" s="7"/>
      <c r="AD116" s="7"/>
      <c r="AM116" s="8"/>
      <c r="AN116" s="7"/>
      <c r="AO116" s="8"/>
      <c r="AP116" s="8"/>
      <c r="AR116" s="8"/>
      <c r="AS116" s="9"/>
      <c r="AW116" s="9"/>
      <c r="AX116" s="7"/>
      <c r="AY116" s="8"/>
      <c r="BA116" s="6"/>
    </row>
    <row r="117" customFormat="false" ht="18" hidden="false" customHeight="true" outlineLevel="0" collapsed="false">
      <c r="C117" s="6"/>
      <c r="V117" s="7"/>
      <c r="W117" s="7"/>
      <c r="X117" s="7"/>
      <c r="Y117" s="7"/>
      <c r="Z117" s="7"/>
      <c r="AA117" s="7"/>
      <c r="AB117" s="7"/>
      <c r="AC117" s="7"/>
      <c r="AD117" s="7"/>
      <c r="AM117" s="8"/>
      <c r="AN117" s="7"/>
      <c r="AO117" s="8"/>
      <c r="AP117" s="8"/>
      <c r="AR117" s="8"/>
      <c r="AS117" s="9"/>
      <c r="AW117" s="9"/>
      <c r="AX117" s="7"/>
      <c r="AY117" s="8"/>
      <c r="BA117" s="6"/>
    </row>
    <row r="118" customFormat="false" ht="18" hidden="false" customHeight="true" outlineLevel="0" collapsed="false">
      <c r="C118" s="6"/>
      <c r="V118" s="7"/>
      <c r="W118" s="7"/>
      <c r="X118" s="7"/>
      <c r="Y118" s="7"/>
      <c r="Z118" s="7"/>
      <c r="AA118" s="7"/>
      <c r="AB118" s="7"/>
      <c r="AC118" s="7"/>
      <c r="AD118" s="7"/>
      <c r="AM118" s="8"/>
      <c r="AN118" s="7"/>
      <c r="AO118" s="8"/>
      <c r="AP118" s="8"/>
      <c r="AR118" s="8"/>
      <c r="AS118" s="9"/>
      <c r="AW118" s="9"/>
      <c r="AX118" s="7"/>
      <c r="AY118" s="8"/>
      <c r="BA118" s="6"/>
    </row>
    <row r="119" customFormat="false" ht="18" hidden="false" customHeight="true" outlineLevel="0" collapsed="false">
      <c r="C119" s="6"/>
      <c r="V119" s="7"/>
      <c r="W119" s="7"/>
      <c r="X119" s="7"/>
      <c r="Y119" s="7"/>
      <c r="Z119" s="7"/>
      <c r="AA119" s="7"/>
      <c r="AB119" s="7"/>
      <c r="AC119" s="7"/>
      <c r="AD119" s="7"/>
      <c r="AM119" s="8"/>
      <c r="AN119" s="7"/>
      <c r="AO119" s="8"/>
      <c r="AP119" s="8"/>
      <c r="AR119" s="8"/>
      <c r="AS119" s="9"/>
      <c r="AW119" s="9"/>
      <c r="AX119" s="7"/>
      <c r="AY119" s="8"/>
      <c r="BA119" s="6"/>
    </row>
    <row r="120" customFormat="false" ht="18" hidden="false" customHeight="true" outlineLevel="0" collapsed="false">
      <c r="C120" s="6"/>
      <c r="V120" s="7"/>
      <c r="W120" s="7"/>
      <c r="X120" s="7"/>
      <c r="Y120" s="7"/>
      <c r="Z120" s="7"/>
      <c r="AA120" s="7"/>
      <c r="AB120" s="7"/>
      <c r="AC120" s="7"/>
      <c r="AD120" s="7"/>
      <c r="AM120" s="8"/>
      <c r="AN120" s="7"/>
      <c r="AO120" s="8"/>
      <c r="AP120" s="8"/>
      <c r="AR120" s="8"/>
      <c r="AS120" s="9"/>
      <c r="AW120" s="9"/>
      <c r="AX120" s="7"/>
      <c r="AY120" s="8"/>
      <c r="BA120" s="6"/>
    </row>
    <row r="121" customFormat="false" ht="18" hidden="false" customHeight="true" outlineLevel="0" collapsed="false">
      <c r="C121" s="6"/>
      <c r="V121" s="7"/>
      <c r="W121" s="7"/>
      <c r="X121" s="7"/>
      <c r="Y121" s="7"/>
      <c r="Z121" s="7"/>
      <c r="AA121" s="7"/>
      <c r="AB121" s="7"/>
      <c r="AC121" s="7"/>
      <c r="AD121" s="7"/>
      <c r="AM121" s="8"/>
      <c r="AN121" s="7"/>
      <c r="AO121" s="8"/>
      <c r="AP121" s="8"/>
      <c r="AR121" s="8"/>
      <c r="AS121" s="9"/>
      <c r="AW121" s="9"/>
      <c r="AX121" s="7"/>
      <c r="AY121" s="8"/>
      <c r="BA121" s="6"/>
    </row>
    <row r="122" customFormat="false" ht="18" hidden="false" customHeight="true" outlineLevel="0" collapsed="false">
      <c r="C122" s="6"/>
      <c r="V122" s="7"/>
      <c r="W122" s="7"/>
      <c r="X122" s="7"/>
      <c r="Y122" s="7"/>
      <c r="Z122" s="7"/>
      <c r="AA122" s="7"/>
      <c r="AB122" s="7"/>
      <c r="AC122" s="7"/>
      <c r="AD122" s="7"/>
      <c r="AM122" s="8"/>
      <c r="AN122" s="7"/>
      <c r="AO122" s="8"/>
      <c r="AP122" s="8"/>
      <c r="AR122" s="8"/>
      <c r="AS122" s="9"/>
      <c r="AW122" s="9"/>
      <c r="AX122" s="7"/>
      <c r="AY122" s="8"/>
      <c r="BA122" s="6"/>
    </row>
    <row r="123" customFormat="false" ht="18" hidden="false" customHeight="true" outlineLevel="0" collapsed="false">
      <c r="C123" s="6"/>
      <c r="V123" s="7"/>
      <c r="W123" s="7"/>
      <c r="X123" s="7"/>
      <c r="Y123" s="7"/>
      <c r="Z123" s="7"/>
      <c r="AA123" s="7"/>
      <c r="AB123" s="7"/>
      <c r="AC123" s="7"/>
      <c r="AD123" s="7"/>
      <c r="AM123" s="8"/>
      <c r="AN123" s="7"/>
      <c r="AO123" s="8"/>
      <c r="AP123" s="8"/>
      <c r="AR123" s="8"/>
      <c r="AS123" s="9"/>
      <c r="AW123" s="9"/>
      <c r="AX123" s="7"/>
      <c r="AY123" s="8"/>
      <c r="BA123" s="6"/>
    </row>
    <row r="124" customFormat="false" ht="18" hidden="false" customHeight="true" outlineLevel="0" collapsed="false">
      <c r="C124" s="6"/>
      <c r="V124" s="7"/>
      <c r="W124" s="7"/>
      <c r="X124" s="7"/>
      <c r="Y124" s="7"/>
      <c r="Z124" s="7"/>
      <c r="AA124" s="7"/>
      <c r="AB124" s="7"/>
      <c r="AC124" s="7"/>
      <c r="AD124" s="7"/>
      <c r="AM124" s="8"/>
      <c r="AN124" s="7"/>
      <c r="AO124" s="8"/>
      <c r="AP124" s="8"/>
      <c r="AR124" s="8"/>
      <c r="AS124" s="9"/>
      <c r="AW124" s="9"/>
      <c r="AX124" s="7"/>
      <c r="AY124" s="8"/>
      <c r="BA124" s="6"/>
    </row>
    <row r="125" customFormat="false" ht="18" hidden="false" customHeight="true" outlineLevel="0" collapsed="false">
      <c r="C125" s="6"/>
      <c r="V125" s="7"/>
      <c r="W125" s="7"/>
      <c r="X125" s="7"/>
      <c r="Y125" s="7"/>
      <c r="Z125" s="7"/>
      <c r="AA125" s="7"/>
      <c r="AB125" s="7"/>
      <c r="AC125" s="7"/>
      <c r="AD125" s="7"/>
      <c r="AM125" s="8"/>
      <c r="AN125" s="7"/>
      <c r="AO125" s="8"/>
      <c r="AP125" s="8"/>
      <c r="AR125" s="8"/>
      <c r="AS125" s="9"/>
      <c r="AW125" s="9"/>
      <c r="AX125" s="7"/>
      <c r="AY125" s="8"/>
      <c r="BA125" s="6"/>
    </row>
    <row r="126" customFormat="false" ht="18" hidden="false" customHeight="true" outlineLevel="0" collapsed="false">
      <c r="C126" s="6"/>
      <c r="V126" s="7"/>
      <c r="W126" s="7"/>
      <c r="X126" s="7"/>
      <c r="Y126" s="7"/>
      <c r="Z126" s="7"/>
      <c r="AA126" s="7"/>
      <c r="AB126" s="7"/>
      <c r="AC126" s="7"/>
      <c r="AD126" s="7"/>
      <c r="AM126" s="8"/>
      <c r="AN126" s="7"/>
      <c r="AO126" s="8"/>
      <c r="AP126" s="8"/>
      <c r="AR126" s="8"/>
      <c r="AS126" s="9"/>
      <c r="AW126" s="9"/>
      <c r="AX126" s="7"/>
      <c r="AY126" s="8"/>
      <c r="BA126" s="6"/>
    </row>
    <row r="127" customFormat="false" ht="18" hidden="false" customHeight="true" outlineLevel="0" collapsed="false">
      <c r="C127" s="6"/>
      <c r="V127" s="7"/>
      <c r="W127" s="7"/>
      <c r="X127" s="7"/>
      <c r="Y127" s="7"/>
      <c r="Z127" s="7"/>
      <c r="AA127" s="7"/>
      <c r="AB127" s="7"/>
      <c r="AC127" s="7"/>
      <c r="AD127" s="7"/>
      <c r="AM127" s="8"/>
      <c r="AN127" s="7"/>
      <c r="AO127" s="8"/>
      <c r="AP127" s="8"/>
      <c r="AR127" s="8"/>
      <c r="AS127" s="9"/>
      <c r="AW127" s="9"/>
      <c r="AX127" s="7"/>
      <c r="AY127" s="8"/>
      <c r="BA127" s="6"/>
    </row>
    <row r="128" customFormat="false" ht="18" hidden="false" customHeight="true" outlineLevel="0" collapsed="false">
      <c r="C128" s="6"/>
      <c r="V128" s="7"/>
      <c r="W128" s="7"/>
      <c r="X128" s="7"/>
      <c r="Y128" s="7"/>
      <c r="Z128" s="7"/>
      <c r="AA128" s="7"/>
      <c r="AB128" s="7"/>
      <c r="AC128" s="7"/>
      <c r="AD128" s="7"/>
      <c r="AM128" s="8"/>
      <c r="AN128" s="7"/>
      <c r="AO128" s="8"/>
      <c r="AP128" s="8"/>
      <c r="AR128" s="8"/>
      <c r="AS128" s="9"/>
      <c r="AW128" s="9"/>
      <c r="AX128" s="7"/>
      <c r="AY128" s="8"/>
      <c r="BA128" s="6"/>
    </row>
    <row r="129" customFormat="false" ht="18" hidden="false" customHeight="true" outlineLevel="0" collapsed="false">
      <c r="C129" s="6"/>
      <c r="V129" s="7"/>
      <c r="W129" s="7"/>
      <c r="X129" s="7"/>
      <c r="Y129" s="7"/>
      <c r="Z129" s="7"/>
      <c r="AA129" s="7"/>
      <c r="AB129" s="7"/>
      <c r="AC129" s="7"/>
      <c r="AD129" s="7"/>
      <c r="AM129" s="8"/>
      <c r="AN129" s="7"/>
      <c r="AO129" s="8"/>
      <c r="AP129" s="8"/>
      <c r="AR129" s="8"/>
      <c r="AS129" s="9"/>
      <c r="AW129" s="9"/>
      <c r="AX129" s="7"/>
      <c r="AY129" s="8"/>
      <c r="BA129" s="6"/>
    </row>
    <row r="130" customFormat="false" ht="18" hidden="false" customHeight="true" outlineLevel="0" collapsed="false">
      <c r="C130" s="6"/>
      <c r="V130" s="7"/>
      <c r="W130" s="7"/>
      <c r="X130" s="7"/>
      <c r="Y130" s="7"/>
      <c r="Z130" s="7"/>
      <c r="AA130" s="7"/>
      <c r="AB130" s="7"/>
      <c r="AC130" s="7"/>
      <c r="AD130" s="7"/>
      <c r="AM130" s="8"/>
      <c r="AN130" s="7"/>
      <c r="AO130" s="8"/>
      <c r="AP130" s="8"/>
      <c r="AR130" s="8"/>
      <c r="AS130" s="9"/>
      <c r="AW130" s="9"/>
      <c r="AX130" s="7"/>
      <c r="AY130" s="8"/>
      <c r="BA130" s="6"/>
    </row>
    <row r="131" customFormat="false" ht="18" hidden="false" customHeight="true" outlineLevel="0" collapsed="false">
      <c r="C131" s="6"/>
      <c r="V131" s="7"/>
      <c r="W131" s="7"/>
      <c r="X131" s="7"/>
      <c r="Y131" s="7"/>
      <c r="Z131" s="7"/>
      <c r="AA131" s="7"/>
      <c r="AB131" s="7"/>
      <c r="AC131" s="7"/>
      <c r="AD131" s="7"/>
      <c r="AM131" s="8"/>
      <c r="AN131" s="7"/>
      <c r="AO131" s="8"/>
      <c r="AP131" s="8"/>
      <c r="AR131" s="8"/>
      <c r="AS131" s="9"/>
      <c r="AW131" s="9"/>
      <c r="AX131" s="7"/>
      <c r="AY131" s="8"/>
      <c r="BA131" s="6"/>
    </row>
    <row r="132" customFormat="false" ht="18" hidden="false" customHeight="true" outlineLevel="0" collapsed="false">
      <c r="C132" s="6"/>
      <c r="V132" s="7"/>
      <c r="W132" s="7"/>
      <c r="X132" s="7"/>
      <c r="Y132" s="7"/>
      <c r="Z132" s="7"/>
      <c r="AA132" s="7"/>
      <c r="AB132" s="7"/>
      <c r="AC132" s="7"/>
      <c r="AD132" s="7"/>
      <c r="AM132" s="8"/>
      <c r="AN132" s="7"/>
      <c r="AO132" s="8"/>
      <c r="AP132" s="8"/>
      <c r="AR132" s="8"/>
      <c r="AS132" s="9"/>
      <c r="AW132" s="9"/>
      <c r="AX132" s="7"/>
      <c r="AY132" s="8"/>
      <c r="BA132" s="6"/>
    </row>
    <row r="133" customFormat="false" ht="18" hidden="false" customHeight="true" outlineLevel="0" collapsed="false">
      <c r="C133" s="6"/>
      <c r="V133" s="7"/>
      <c r="W133" s="7"/>
      <c r="X133" s="7"/>
      <c r="Y133" s="7"/>
      <c r="Z133" s="7"/>
      <c r="AA133" s="7"/>
      <c r="AB133" s="7"/>
      <c r="AC133" s="7"/>
      <c r="AD133" s="7"/>
      <c r="AM133" s="8"/>
      <c r="AN133" s="7"/>
      <c r="AO133" s="8"/>
      <c r="AP133" s="8"/>
      <c r="AR133" s="8"/>
      <c r="AS133" s="9"/>
      <c r="AW133" s="9"/>
      <c r="AX133" s="7"/>
      <c r="AY133" s="8"/>
      <c r="BA133" s="6"/>
    </row>
    <row r="134" customFormat="false" ht="18" hidden="false" customHeight="true" outlineLevel="0" collapsed="false">
      <c r="C134" s="6"/>
      <c r="V134" s="7"/>
      <c r="W134" s="7"/>
      <c r="X134" s="7"/>
      <c r="Y134" s="7"/>
      <c r="Z134" s="7"/>
      <c r="AA134" s="7"/>
      <c r="AB134" s="7"/>
      <c r="AC134" s="7"/>
      <c r="AD134" s="7"/>
      <c r="AM134" s="8"/>
      <c r="AN134" s="7"/>
      <c r="AO134" s="8"/>
      <c r="AP134" s="8"/>
      <c r="AR134" s="8"/>
      <c r="AS134" s="9"/>
      <c r="AW134" s="9"/>
      <c r="AX134" s="7"/>
      <c r="AY134" s="8"/>
      <c r="BA134" s="6"/>
    </row>
    <row r="135" customFormat="false" ht="18" hidden="false" customHeight="true" outlineLevel="0" collapsed="false">
      <c r="C135" s="6"/>
      <c r="V135" s="7"/>
      <c r="W135" s="7"/>
      <c r="X135" s="7"/>
      <c r="Y135" s="7"/>
      <c r="Z135" s="7"/>
      <c r="AA135" s="7"/>
      <c r="AB135" s="7"/>
      <c r="AC135" s="7"/>
      <c r="AD135" s="7"/>
      <c r="AM135" s="8"/>
      <c r="AN135" s="7"/>
      <c r="AO135" s="8"/>
      <c r="AP135" s="8"/>
      <c r="AR135" s="8"/>
      <c r="AS135" s="9"/>
      <c r="AW135" s="9"/>
      <c r="AX135" s="7"/>
      <c r="AY135" s="8"/>
      <c r="BA135" s="6"/>
    </row>
    <row r="136" customFormat="false" ht="18" hidden="false" customHeight="true" outlineLevel="0" collapsed="false">
      <c r="C136" s="6"/>
      <c r="V136" s="7"/>
      <c r="W136" s="7"/>
      <c r="X136" s="7"/>
      <c r="Y136" s="7"/>
      <c r="Z136" s="7"/>
      <c r="AA136" s="7"/>
      <c r="AB136" s="7"/>
      <c r="AC136" s="7"/>
      <c r="AD136" s="7"/>
      <c r="AM136" s="8"/>
      <c r="AN136" s="7"/>
      <c r="AO136" s="8"/>
      <c r="AP136" s="8"/>
      <c r="AR136" s="8"/>
      <c r="AS136" s="9"/>
      <c r="AW136" s="9"/>
      <c r="AX136" s="7"/>
      <c r="AY136" s="8"/>
      <c r="BA136" s="6"/>
    </row>
    <row r="137" customFormat="false" ht="18" hidden="false" customHeight="true" outlineLevel="0" collapsed="false">
      <c r="C137" s="6"/>
      <c r="V137" s="7"/>
      <c r="W137" s="7"/>
      <c r="X137" s="7"/>
      <c r="Y137" s="7"/>
      <c r="Z137" s="7"/>
      <c r="AA137" s="7"/>
      <c r="AB137" s="7"/>
      <c r="AC137" s="7"/>
      <c r="AD137" s="7"/>
      <c r="AM137" s="8"/>
      <c r="AN137" s="7"/>
      <c r="AO137" s="8"/>
      <c r="AP137" s="8"/>
      <c r="AR137" s="8"/>
      <c r="AS137" s="9"/>
      <c r="AW137" s="9"/>
      <c r="AX137" s="7"/>
      <c r="AY137" s="8"/>
      <c r="BA137" s="6"/>
    </row>
    <row r="138" customFormat="false" ht="18" hidden="false" customHeight="true" outlineLevel="0" collapsed="false">
      <c r="C138" s="6"/>
      <c r="V138" s="7"/>
      <c r="W138" s="7"/>
      <c r="X138" s="7"/>
      <c r="Y138" s="7"/>
      <c r="Z138" s="7"/>
      <c r="AA138" s="7"/>
      <c r="AB138" s="7"/>
      <c r="AC138" s="7"/>
      <c r="AD138" s="7"/>
      <c r="AM138" s="8"/>
      <c r="AN138" s="7"/>
      <c r="AO138" s="8"/>
      <c r="AP138" s="8"/>
      <c r="AR138" s="8"/>
      <c r="AS138" s="9"/>
      <c r="AW138" s="9"/>
      <c r="AX138" s="7"/>
      <c r="AY138" s="8"/>
      <c r="BA138" s="6"/>
    </row>
    <row r="139" customFormat="false" ht="18" hidden="false" customHeight="true" outlineLevel="0" collapsed="false">
      <c r="C139" s="6"/>
      <c r="V139" s="7"/>
      <c r="W139" s="7"/>
      <c r="X139" s="7"/>
      <c r="Y139" s="7"/>
      <c r="Z139" s="7"/>
      <c r="AA139" s="7"/>
      <c r="AB139" s="7"/>
      <c r="AC139" s="7"/>
      <c r="AD139" s="7"/>
      <c r="AM139" s="8"/>
      <c r="AN139" s="7"/>
      <c r="AO139" s="8"/>
      <c r="AP139" s="8"/>
      <c r="AR139" s="8"/>
      <c r="AS139" s="9"/>
      <c r="AW139" s="9"/>
      <c r="AX139" s="7"/>
      <c r="AY139" s="8"/>
      <c r="BA139" s="6"/>
    </row>
    <row r="140" customFormat="false" ht="18" hidden="false" customHeight="true" outlineLevel="0" collapsed="false">
      <c r="C140" s="6"/>
      <c r="V140" s="7"/>
      <c r="W140" s="7"/>
      <c r="X140" s="7"/>
      <c r="Y140" s="7"/>
      <c r="Z140" s="7"/>
      <c r="AA140" s="7"/>
      <c r="AB140" s="7"/>
      <c r="AC140" s="7"/>
      <c r="AD140" s="7"/>
      <c r="AM140" s="8"/>
      <c r="AN140" s="7"/>
      <c r="AO140" s="8"/>
      <c r="AP140" s="8"/>
      <c r="AR140" s="8"/>
      <c r="AS140" s="9"/>
      <c r="AW140" s="9"/>
      <c r="AX140" s="7"/>
      <c r="AY140" s="8"/>
      <c r="BA140" s="6"/>
    </row>
    <row r="141" customFormat="false" ht="18" hidden="false" customHeight="true" outlineLevel="0" collapsed="false">
      <c r="C141" s="6"/>
      <c r="V141" s="7"/>
      <c r="W141" s="7"/>
      <c r="X141" s="7"/>
      <c r="Y141" s="7"/>
      <c r="Z141" s="7"/>
      <c r="AA141" s="7"/>
      <c r="AB141" s="7"/>
      <c r="AC141" s="7"/>
      <c r="AD141" s="7"/>
      <c r="AM141" s="8"/>
      <c r="AN141" s="7"/>
      <c r="AO141" s="8"/>
      <c r="AP141" s="8"/>
      <c r="AR141" s="8"/>
      <c r="AS141" s="9"/>
      <c r="AW141" s="9"/>
      <c r="AX141" s="7"/>
      <c r="AY141" s="8"/>
      <c r="BA141" s="6"/>
    </row>
    <row r="142" customFormat="false" ht="18" hidden="false" customHeight="true" outlineLevel="0" collapsed="false">
      <c r="C142" s="6"/>
      <c r="V142" s="7"/>
      <c r="W142" s="7"/>
      <c r="X142" s="7"/>
      <c r="Y142" s="7"/>
      <c r="Z142" s="7"/>
      <c r="AA142" s="7"/>
      <c r="AB142" s="7"/>
      <c r="AC142" s="7"/>
      <c r="AD142" s="7"/>
      <c r="AM142" s="8"/>
      <c r="AN142" s="7"/>
      <c r="AO142" s="8"/>
      <c r="AP142" s="8"/>
      <c r="AR142" s="8"/>
      <c r="AS142" s="9"/>
      <c r="AW142" s="9"/>
      <c r="AX142" s="7"/>
      <c r="AY142" s="8"/>
      <c r="BA142" s="6"/>
    </row>
    <row r="143" customFormat="false" ht="18" hidden="false" customHeight="true" outlineLevel="0" collapsed="false">
      <c r="C143" s="6"/>
      <c r="V143" s="7"/>
      <c r="W143" s="7"/>
      <c r="X143" s="7"/>
      <c r="Y143" s="7"/>
      <c r="Z143" s="7"/>
      <c r="AA143" s="7"/>
      <c r="AB143" s="7"/>
      <c r="AC143" s="7"/>
      <c r="AD143" s="7"/>
      <c r="AM143" s="8"/>
      <c r="AN143" s="7"/>
      <c r="AO143" s="8"/>
      <c r="AP143" s="8"/>
      <c r="AR143" s="8"/>
      <c r="AS143" s="9"/>
      <c r="AW143" s="9"/>
      <c r="AX143" s="7"/>
      <c r="AY143" s="8"/>
      <c r="BA143" s="6"/>
    </row>
    <row r="144" customFormat="false" ht="18" hidden="false" customHeight="true" outlineLevel="0" collapsed="false">
      <c r="C144" s="6"/>
      <c r="V144" s="7"/>
      <c r="W144" s="7"/>
      <c r="X144" s="7"/>
      <c r="Y144" s="7"/>
      <c r="Z144" s="7"/>
      <c r="AA144" s="7"/>
      <c r="AB144" s="7"/>
      <c r="AC144" s="7"/>
      <c r="AD144" s="7"/>
      <c r="AM144" s="8"/>
      <c r="AN144" s="7"/>
      <c r="AO144" s="8"/>
      <c r="AP144" s="8"/>
      <c r="AR144" s="8"/>
      <c r="AS144" s="9"/>
      <c r="AW144" s="9"/>
      <c r="AX144" s="7"/>
      <c r="AY144" s="8"/>
      <c r="BA144" s="6"/>
    </row>
    <row r="145" customFormat="false" ht="18" hidden="false" customHeight="true" outlineLevel="0" collapsed="false">
      <c r="C145" s="6"/>
      <c r="V145" s="7"/>
      <c r="W145" s="7"/>
      <c r="X145" s="7"/>
      <c r="Y145" s="7"/>
      <c r="Z145" s="7"/>
      <c r="AA145" s="7"/>
      <c r="AB145" s="7"/>
      <c r="AC145" s="7"/>
      <c r="AD145" s="7"/>
      <c r="AM145" s="8"/>
      <c r="AN145" s="7"/>
      <c r="AO145" s="8"/>
      <c r="AP145" s="8"/>
      <c r="AR145" s="8"/>
      <c r="AS145" s="9"/>
      <c r="AW145" s="9"/>
      <c r="AX145" s="7"/>
      <c r="AY145" s="8"/>
      <c r="BA145" s="6"/>
    </row>
    <row r="146" customFormat="false" ht="18" hidden="false" customHeight="true" outlineLevel="0" collapsed="false">
      <c r="C146" s="6"/>
      <c r="V146" s="7"/>
      <c r="W146" s="7"/>
      <c r="X146" s="7"/>
      <c r="Y146" s="7"/>
      <c r="Z146" s="7"/>
      <c r="AA146" s="7"/>
      <c r="AB146" s="7"/>
      <c r="AC146" s="7"/>
      <c r="AD146" s="7"/>
      <c r="AM146" s="8"/>
      <c r="AN146" s="7"/>
      <c r="AO146" s="8"/>
      <c r="AP146" s="8"/>
      <c r="AR146" s="8"/>
      <c r="AS146" s="9"/>
      <c r="AW146" s="9"/>
      <c r="AX146" s="7"/>
      <c r="AY146" s="8"/>
      <c r="BA146" s="6"/>
    </row>
    <row r="147" customFormat="false" ht="18" hidden="false" customHeight="true" outlineLevel="0" collapsed="false">
      <c r="C147" s="6"/>
      <c r="V147" s="7"/>
      <c r="W147" s="7"/>
      <c r="X147" s="7"/>
      <c r="Y147" s="7"/>
      <c r="Z147" s="7"/>
      <c r="AA147" s="7"/>
      <c r="AB147" s="7"/>
      <c r="AC147" s="7"/>
      <c r="AD147" s="7"/>
      <c r="AM147" s="8"/>
      <c r="AN147" s="7"/>
      <c r="AO147" s="8"/>
      <c r="AP147" s="8"/>
      <c r="AR147" s="8"/>
      <c r="AS147" s="9"/>
      <c r="AW147" s="9"/>
      <c r="AX147" s="7"/>
      <c r="AY147" s="8"/>
      <c r="BA147" s="6"/>
    </row>
    <row r="148" customFormat="false" ht="18" hidden="false" customHeight="true" outlineLevel="0" collapsed="false">
      <c r="C148" s="6"/>
      <c r="V148" s="7"/>
      <c r="W148" s="7"/>
      <c r="X148" s="7"/>
      <c r="Y148" s="7"/>
      <c r="Z148" s="7"/>
      <c r="AA148" s="7"/>
      <c r="AB148" s="7"/>
      <c r="AC148" s="7"/>
      <c r="AD148" s="7"/>
      <c r="AM148" s="8"/>
      <c r="AN148" s="7"/>
      <c r="AO148" s="8"/>
      <c r="AP148" s="8"/>
      <c r="AR148" s="8"/>
      <c r="AS148" s="9"/>
      <c r="AW148" s="9"/>
      <c r="AX148" s="7"/>
      <c r="AY148" s="8"/>
      <c r="BA148" s="6"/>
    </row>
    <row r="149" customFormat="false" ht="18" hidden="false" customHeight="true" outlineLevel="0" collapsed="false">
      <c r="C149" s="6"/>
      <c r="V149" s="7"/>
      <c r="W149" s="7"/>
      <c r="X149" s="7"/>
      <c r="Y149" s="7"/>
      <c r="Z149" s="7"/>
      <c r="AA149" s="7"/>
      <c r="AB149" s="7"/>
      <c r="AC149" s="7"/>
      <c r="AD149" s="7"/>
      <c r="AM149" s="8"/>
      <c r="AN149" s="7"/>
      <c r="AO149" s="8"/>
      <c r="AP149" s="8"/>
      <c r="AR149" s="8"/>
      <c r="AS149" s="9"/>
      <c r="AW149" s="9"/>
      <c r="AX149" s="7"/>
      <c r="AY149" s="8"/>
      <c r="BA149" s="6"/>
    </row>
    <row r="150" customFormat="false" ht="18" hidden="false" customHeight="true" outlineLevel="0" collapsed="false">
      <c r="C150" s="6"/>
      <c r="V150" s="7"/>
      <c r="W150" s="7"/>
      <c r="X150" s="7"/>
      <c r="Y150" s="7"/>
      <c r="Z150" s="7"/>
      <c r="AA150" s="7"/>
      <c r="AB150" s="7"/>
      <c r="AC150" s="7"/>
      <c r="AD150" s="7"/>
      <c r="AM150" s="8"/>
      <c r="AN150" s="7"/>
      <c r="AO150" s="8"/>
      <c r="AP150" s="8"/>
      <c r="AR150" s="8"/>
      <c r="AS150" s="9"/>
      <c r="AW150" s="9"/>
      <c r="AX150" s="7"/>
      <c r="AY150" s="8"/>
      <c r="BA150" s="6"/>
    </row>
    <row r="151" customFormat="false" ht="18" hidden="false" customHeight="true" outlineLevel="0" collapsed="false">
      <c r="C151" s="6"/>
      <c r="V151" s="7"/>
      <c r="W151" s="7"/>
      <c r="X151" s="7"/>
      <c r="Y151" s="7"/>
      <c r="Z151" s="7"/>
      <c r="AA151" s="7"/>
      <c r="AB151" s="7"/>
      <c r="AC151" s="7"/>
      <c r="AD151" s="7"/>
      <c r="AM151" s="8"/>
      <c r="AN151" s="7"/>
      <c r="AO151" s="8"/>
      <c r="AP151" s="8"/>
      <c r="AR151" s="8"/>
      <c r="AS151" s="9"/>
      <c r="AW151" s="9"/>
      <c r="AX151" s="7"/>
      <c r="AY151" s="8"/>
      <c r="BA151" s="6"/>
    </row>
    <row r="152" customFormat="false" ht="18" hidden="false" customHeight="true" outlineLevel="0" collapsed="false">
      <c r="C152" s="6"/>
      <c r="V152" s="7"/>
      <c r="W152" s="7"/>
      <c r="X152" s="7"/>
      <c r="Y152" s="7"/>
      <c r="Z152" s="7"/>
      <c r="AA152" s="7"/>
      <c r="AB152" s="7"/>
      <c r="AC152" s="7"/>
      <c r="AD152" s="7"/>
      <c r="AM152" s="8"/>
      <c r="AN152" s="7"/>
      <c r="AO152" s="8"/>
      <c r="AP152" s="8"/>
      <c r="AR152" s="8"/>
      <c r="AS152" s="9"/>
      <c r="AW152" s="9"/>
      <c r="AX152" s="7"/>
      <c r="AY152" s="8"/>
      <c r="BA152" s="6"/>
    </row>
    <row r="153" customFormat="false" ht="18" hidden="false" customHeight="true" outlineLevel="0" collapsed="false">
      <c r="C153" s="6"/>
      <c r="V153" s="7"/>
      <c r="W153" s="7"/>
      <c r="X153" s="7"/>
      <c r="Y153" s="7"/>
      <c r="Z153" s="7"/>
      <c r="AA153" s="7"/>
      <c r="AB153" s="7"/>
      <c r="AC153" s="7"/>
      <c r="AD153" s="7"/>
      <c r="AM153" s="8"/>
      <c r="AN153" s="7"/>
      <c r="AO153" s="8"/>
      <c r="AP153" s="8"/>
      <c r="AR153" s="8"/>
      <c r="AS153" s="9"/>
      <c r="AW153" s="9"/>
      <c r="AX153" s="7"/>
      <c r="AY153" s="8"/>
      <c r="BA153" s="6"/>
    </row>
    <row r="154" customFormat="false" ht="18" hidden="false" customHeight="true" outlineLevel="0" collapsed="false">
      <c r="C154" s="6"/>
      <c r="V154" s="7"/>
      <c r="W154" s="7"/>
      <c r="X154" s="7"/>
      <c r="Y154" s="7"/>
      <c r="Z154" s="7"/>
      <c r="AA154" s="7"/>
      <c r="AB154" s="7"/>
      <c r="AC154" s="7"/>
      <c r="AD154" s="7"/>
      <c r="AM154" s="8"/>
      <c r="AN154" s="7"/>
      <c r="AO154" s="8"/>
      <c r="AP154" s="8"/>
      <c r="AR154" s="8"/>
      <c r="AS154" s="9"/>
      <c r="AW154" s="9"/>
      <c r="AX154" s="7"/>
      <c r="AY154" s="8"/>
      <c r="BA154" s="6"/>
    </row>
    <row r="155" customFormat="false" ht="18" hidden="false" customHeight="true" outlineLevel="0" collapsed="false">
      <c r="C155" s="6"/>
      <c r="V155" s="7"/>
      <c r="W155" s="7"/>
      <c r="X155" s="7"/>
      <c r="Y155" s="7"/>
      <c r="Z155" s="7"/>
      <c r="AA155" s="7"/>
      <c r="AB155" s="7"/>
      <c r="AC155" s="7"/>
      <c r="AD155" s="7"/>
      <c r="AM155" s="8"/>
      <c r="AN155" s="7"/>
      <c r="AO155" s="8"/>
      <c r="AP155" s="8"/>
      <c r="AR155" s="8"/>
      <c r="AS155" s="9"/>
      <c r="AW155" s="9"/>
      <c r="AX155" s="7"/>
      <c r="AY155" s="8"/>
      <c r="BA155" s="6"/>
    </row>
    <row r="156" customFormat="false" ht="18" hidden="false" customHeight="true" outlineLevel="0" collapsed="false">
      <c r="C156" s="6"/>
      <c r="V156" s="7"/>
      <c r="W156" s="7"/>
      <c r="X156" s="7"/>
      <c r="Y156" s="7"/>
      <c r="Z156" s="7"/>
      <c r="AA156" s="7"/>
      <c r="AB156" s="7"/>
      <c r="AC156" s="7"/>
      <c r="AD156" s="7"/>
      <c r="AM156" s="8"/>
      <c r="AN156" s="7"/>
      <c r="AO156" s="8"/>
      <c r="AP156" s="8"/>
      <c r="AR156" s="8"/>
      <c r="AS156" s="9"/>
      <c r="AW156" s="9"/>
      <c r="AX156" s="7"/>
      <c r="AY156" s="8"/>
      <c r="BA156" s="6"/>
    </row>
    <row r="157" customFormat="false" ht="18" hidden="false" customHeight="true" outlineLevel="0" collapsed="false">
      <c r="C157" s="6"/>
      <c r="V157" s="7"/>
      <c r="W157" s="7"/>
      <c r="X157" s="7"/>
      <c r="Y157" s="7"/>
      <c r="Z157" s="7"/>
      <c r="AA157" s="7"/>
      <c r="AB157" s="7"/>
      <c r="AC157" s="7"/>
      <c r="AD157" s="7"/>
      <c r="AM157" s="8"/>
      <c r="AN157" s="7"/>
      <c r="AO157" s="8"/>
      <c r="AP157" s="8"/>
      <c r="AR157" s="8"/>
      <c r="AS157" s="9"/>
      <c r="AW157" s="9"/>
      <c r="AX157" s="7"/>
      <c r="AY157" s="8"/>
      <c r="BA157" s="6"/>
    </row>
    <row r="158" customFormat="false" ht="18" hidden="false" customHeight="true" outlineLevel="0" collapsed="false">
      <c r="C158" s="6"/>
      <c r="V158" s="7"/>
      <c r="W158" s="7"/>
      <c r="X158" s="7"/>
      <c r="Y158" s="7"/>
      <c r="Z158" s="7"/>
      <c r="AA158" s="7"/>
      <c r="AB158" s="7"/>
      <c r="AC158" s="7"/>
      <c r="AD158" s="7"/>
      <c r="AM158" s="8"/>
      <c r="AN158" s="7"/>
      <c r="AO158" s="8"/>
      <c r="AP158" s="8"/>
      <c r="AR158" s="8"/>
      <c r="AS158" s="9"/>
      <c r="AW158" s="9"/>
      <c r="AX158" s="7"/>
      <c r="AY158" s="8"/>
      <c r="BA158" s="6"/>
    </row>
    <row r="159" customFormat="false" ht="18" hidden="false" customHeight="true" outlineLevel="0" collapsed="false">
      <c r="C159" s="6"/>
      <c r="V159" s="7"/>
      <c r="W159" s="7"/>
      <c r="X159" s="7"/>
      <c r="Y159" s="7"/>
      <c r="Z159" s="7"/>
      <c r="AA159" s="7"/>
      <c r="AB159" s="7"/>
      <c r="AC159" s="7"/>
      <c r="AD159" s="7"/>
      <c r="AM159" s="8"/>
      <c r="AN159" s="7"/>
      <c r="AO159" s="8"/>
      <c r="AP159" s="8"/>
      <c r="AR159" s="8"/>
      <c r="AS159" s="9"/>
      <c r="AW159" s="9"/>
      <c r="AX159" s="7"/>
      <c r="AY159" s="8"/>
      <c r="BA159" s="6"/>
    </row>
    <row r="160" customFormat="false" ht="18" hidden="false" customHeight="true" outlineLevel="0" collapsed="false">
      <c r="C160" s="6"/>
      <c r="V160" s="7"/>
      <c r="W160" s="7"/>
      <c r="X160" s="7"/>
      <c r="Y160" s="7"/>
      <c r="Z160" s="7"/>
      <c r="AA160" s="7"/>
      <c r="AB160" s="7"/>
      <c r="AC160" s="7"/>
      <c r="AD160" s="7"/>
      <c r="AM160" s="8"/>
      <c r="AN160" s="7"/>
      <c r="AO160" s="8"/>
      <c r="AP160" s="8"/>
      <c r="AR160" s="8"/>
      <c r="AS160" s="9"/>
      <c r="AW160" s="9"/>
      <c r="AX160" s="7"/>
      <c r="AY160" s="8"/>
      <c r="BA160" s="6"/>
    </row>
    <row r="161" customFormat="false" ht="18" hidden="false" customHeight="true" outlineLevel="0" collapsed="false">
      <c r="C161" s="6"/>
      <c r="V161" s="7"/>
      <c r="W161" s="7"/>
      <c r="X161" s="7"/>
      <c r="Y161" s="7"/>
      <c r="Z161" s="7"/>
      <c r="AA161" s="7"/>
      <c r="AB161" s="7"/>
      <c r="AC161" s="7"/>
      <c r="AD161" s="7"/>
      <c r="AM161" s="8"/>
      <c r="AN161" s="7"/>
      <c r="AO161" s="8"/>
      <c r="AP161" s="8"/>
      <c r="AR161" s="8"/>
      <c r="AS161" s="9"/>
      <c r="AW161" s="9"/>
      <c r="AX161" s="7"/>
      <c r="AY161" s="8"/>
      <c r="BA161" s="6"/>
    </row>
    <row r="162" customFormat="false" ht="18" hidden="false" customHeight="true" outlineLevel="0" collapsed="false">
      <c r="C162" s="6"/>
      <c r="V162" s="7"/>
      <c r="W162" s="7"/>
      <c r="X162" s="7"/>
      <c r="Y162" s="7"/>
      <c r="Z162" s="7"/>
      <c r="AA162" s="7"/>
      <c r="AB162" s="7"/>
      <c r="AC162" s="7"/>
      <c r="AD162" s="7"/>
      <c r="AM162" s="8"/>
      <c r="AN162" s="7"/>
      <c r="AO162" s="8"/>
      <c r="AP162" s="8"/>
      <c r="AR162" s="8"/>
      <c r="AS162" s="9"/>
      <c r="AW162" s="9"/>
      <c r="AX162" s="7"/>
      <c r="AY162" s="8"/>
      <c r="BA162" s="6"/>
    </row>
    <row r="163" customFormat="false" ht="18" hidden="false" customHeight="true" outlineLevel="0" collapsed="false">
      <c r="C163" s="6"/>
      <c r="V163" s="7"/>
      <c r="W163" s="7"/>
      <c r="X163" s="7"/>
      <c r="Y163" s="7"/>
      <c r="Z163" s="7"/>
      <c r="AA163" s="7"/>
      <c r="AB163" s="7"/>
      <c r="AC163" s="7"/>
      <c r="AD163" s="7"/>
      <c r="AM163" s="8"/>
      <c r="AN163" s="7"/>
      <c r="AO163" s="8"/>
      <c r="AP163" s="8"/>
      <c r="AR163" s="8"/>
      <c r="AS163" s="9"/>
      <c r="AW163" s="9"/>
      <c r="AX163" s="7"/>
      <c r="AY163" s="8"/>
      <c r="BA163" s="6"/>
    </row>
    <row r="164" customFormat="false" ht="18" hidden="false" customHeight="true" outlineLevel="0" collapsed="false">
      <c r="C164" s="6"/>
      <c r="V164" s="7"/>
      <c r="W164" s="7"/>
      <c r="X164" s="7"/>
      <c r="Y164" s="7"/>
      <c r="Z164" s="7"/>
      <c r="AA164" s="7"/>
      <c r="AB164" s="7"/>
      <c r="AC164" s="7"/>
      <c r="AD164" s="7"/>
      <c r="AM164" s="8"/>
      <c r="AN164" s="7"/>
      <c r="AO164" s="8"/>
      <c r="AP164" s="8"/>
      <c r="AR164" s="8"/>
      <c r="AS164" s="9"/>
      <c r="AW164" s="9"/>
      <c r="AX164" s="7"/>
      <c r="AY164" s="8"/>
      <c r="BA164" s="6"/>
    </row>
    <row r="165" customFormat="false" ht="18" hidden="false" customHeight="true" outlineLevel="0" collapsed="false">
      <c r="C165" s="6"/>
      <c r="V165" s="7"/>
      <c r="W165" s="7"/>
      <c r="X165" s="7"/>
      <c r="Y165" s="7"/>
      <c r="Z165" s="7"/>
      <c r="AA165" s="7"/>
      <c r="AB165" s="7"/>
      <c r="AC165" s="7"/>
      <c r="AD165" s="7"/>
      <c r="AM165" s="8"/>
      <c r="AN165" s="7"/>
      <c r="AO165" s="8"/>
      <c r="AP165" s="8"/>
      <c r="AR165" s="8"/>
      <c r="AS165" s="9"/>
      <c r="AW165" s="9"/>
      <c r="AX165" s="7"/>
      <c r="AY165" s="8"/>
      <c r="BA165" s="6"/>
    </row>
    <row r="166" customFormat="false" ht="18" hidden="false" customHeight="true" outlineLevel="0" collapsed="false">
      <c r="C166" s="6"/>
      <c r="V166" s="7"/>
      <c r="W166" s="7"/>
      <c r="X166" s="7"/>
      <c r="Y166" s="7"/>
      <c r="Z166" s="7"/>
      <c r="AA166" s="7"/>
      <c r="AB166" s="7"/>
      <c r="AC166" s="7"/>
      <c r="AD166" s="7"/>
      <c r="AM166" s="8"/>
      <c r="AN166" s="7"/>
      <c r="AO166" s="8"/>
      <c r="AP166" s="8"/>
      <c r="AR166" s="8"/>
      <c r="AS166" s="9"/>
      <c r="AW166" s="9"/>
      <c r="AX166" s="7"/>
      <c r="AY166" s="8"/>
      <c r="BA166" s="6"/>
    </row>
    <row r="167" customFormat="false" ht="18" hidden="false" customHeight="true" outlineLevel="0" collapsed="false">
      <c r="C167" s="6"/>
      <c r="V167" s="7"/>
      <c r="W167" s="7"/>
      <c r="X167" s="7"/>
      <c r="Y167" s="7"/>
      <c r="Z167" s="7"/>
      <c r="AA167" s="7"/>
      <c r="AB167" s="7"/>
      <c r="AC167" s="7"/>
      <c r="AD167" s="7"/>
      <c r="AM167" s="8"/>
      <c r="AN167" s="7"/>
      <c r="AO167" s="8"/>
      <c r="AP167" s="8"/>
      <c r="AR167" s="8"/>
      <c r="AS167" s="9"/>
      <c r="AW167" s="9"/>
      <c r="AX167" s="7"/>
      <c r="AY167" s="8"/>
      <c r="BA167" s="6"/>
    </row>
    <row r="168" customFormat="false" ht="18" hidden="false" customHeight="true" outlineLevel="0" collapsed="false">
      <c r="C168" s="6"/>
      <c r="V168" s="7"/>
      <c r="W168" s="7"/>
      <c r="X168" s="7"/>
      <c r="Y168" s="7"/>
      <c r="Z168" s="7"/>
      <c r="AA168" s="7"/>
      <c r="AB168" s="7"/>
      <c r="AC168" s="7"/>
      <c r="AD168" s="7"/>
      <c r="AM168" s="8"/>
      <c r="AN168" s="7"/>
      <c r="AO168" s="8"/>
      <c r="AP168" s="8"/>
      <c r="AR168" s="8"/>
      <c r="AS168" s="9"/>
      <c r="AW168" s="9"/>
      <c r="AX168" s="7"/>
      <c r="AY168" s="8"/>
      <c r="BA168" s="6"/>
    </row>
    <row r="169" customFormat="false" ht="18" hidden="false" customHeight="true" outlineLevel="0" collapsed="false">
      <c r="C169" s="6"/>
      <c r="V169" s="7"/>
      <c r="W169" s="7"/>
      <c r="X169" s="7"/>
      <c r="Y169" s="7"/>
      <c r="Z169" s="7"/>
      <c r="AA169" s="7"/>
      <c r="AB169" s="7"/>
      <c r="AC169" s="7"/>
      <c r="AD169" s="7"/>
      <c r="AM169" s="8"/>
      <c r="AN169" s="7"/>
      <c r="AO169" s="8"/>
      <c r="AP169" s="8"/>
      <c r="AR169" s="8"/>
      <c r="AS169" s="9"/>
      <c r="AW169" s="9"/>
      <c r="AX169" s="7"/>
      <c r="AY169" s="8"/>
      <c r="BA169" s="6"/>
    </row>
    <row r="170" customFormat="false" ht="18" hidden="false" customHeight="true" outlineLevel="0" collapsed="false">
      <c r="C170" s="6"/>
      <c r="V170" s="7"/>
      <c r="W170" s="7"/>
      <c r="X170" s="7"/>
      <c r="Y170" s="7"/>
      <c r="Z170" s="7"/>
      <c r="AA170" s="7"/>
      <c r="AB170" s="7"/>
      <c r="AC170" s="7"/>
      <c r="AD170" s="7"/>
      <c r="AM170" s="8"/>
      <c r="AN170" s="7"/>
      <c r="AO170" s="8"/>
      <c r="AP170" s="8"/>
      <c r="AR170" s="8"/>
      <c r="AS170" s="9"/>
      <c r="AW170" s="9"/>
      <c r="AX170" s="7"/>
      <c r="AY170" s="8"/>
      <c r="BA170" s="6"/>
    </row>
    <row r="171" customFormat="false" ht="18" hidden="false" customHeight="true" outlineLevel="0" collapsed="false">
      <c r="C171" s="6"/>
      <c r="V171" s="7"/>
      <c r="W171" s="7"/>
      <c r="X171" s="7"/>
      <c r="Y171" s="7"/>
      <c r="Z171" s="7"/>
      <c r="AA171" s="7"/>
      <c r="AB171" s="7"/>
      <c r="AC171" s="7"/>
      <c r="AD171" s="7"/>
      <c r="AM171" s="8"/>
      <c r="AN171" s="7"/>
      <c r="AO171" s="8"/>
      <c r="AP171" s="8"/>
      <c r="AR171" s="8"/>
      <c r="AS171" s="9"/>
      <c r="AW171" s="9"/>
      <c r="AX171" s="7"/>
      <c r="AY171" s="8"/>
      <c r="BA171" s="6"/>
    </row>
    <row r="172" customFormat="false" ht="18" hidden="false" customHeight="true" outlineLevel="0" collapsed="false">
      <c r="C172" s="6"/>
      <c r="V172" s="7"/>
      <c r="W172" s="7"/>
      <c r="X172" s="7"/>
      <c r="Y172" s="7"/>
      <c r="Z172" s="7"/>
      <c r="AA172" s="7"/>
      <c r="AB172" s="7"/>
      <c r="AC172" s="7"/>
      <c r="AD172" s="7"/>
      <c r="AM172" s="8"/>
      <c r="AN172" s="7"/>
      <c r="AO172" s="8"/>
      <c r="AP172" s="8"/>
      <c r="AR172" s="8"/>
      <c r="AS172" s="9"/>
      <c r="AW172" s="9"/>
      <c r="AX172" s="7"/>
      <c r="AY172" s="8"/>
      <c r="BA172" s="6"/>
    </row>
    <row r="173" customFormat="false" ht="18" hidden="false" customHeight="true" outlineLevel="0" collapsed="false">
      <c r="C173" s="6"/>
      <c r="V173" s="7"/>
      <c r="W173" s="7"/>
      <c r="X173" s="7"/>
      <c r="Y173" s="7"/>
      <c r="Z173" s="7"/>
      <c r="AA173" s="7"/>
      <c r="AB173" s="7"/>
      <c r="AC173" s="7"/>
      <c r="AD173" s="7"/>
      <c r="AM173" s="8"/>
      <c r="AN173" s="7"/>
      <c r="AO173" s="8"/>
      <c r="AP173" s="8"/>
      <c r="AR173" s="8"/>
      <c r="AS173" s="9"/>
      <c r="AW173" s="9"/>
      <c r="AX173" s="7"/>
      <c r="AY173" s="8"/>
      <c r="BA173" s="6"/>
    </row>
    <row r="174" customFormat="false" ht="18" hidden="false" customHeight="true" outlineLevel="0" collapsed="false">
      <c r="C174" s="6"/>
      <c r="V174" s="7"/>
      <c r="W174" s="7"/>
      <c r="X174" s="7"/>
      <c r="Y174" s="7"/>
      <c r="Z174" s="7"/>
      <c r="AA174" s="7"/>
      <c r="AB174" s="7"/>
      <c r="AC174" s="7"/>
      <c r="AD174" s="7"/>
      <c r="AM174" s="8"/>
      <c r="AN174" s="7"/>
      <c r="AO174" s="8"/>
      <c r="AP174" s="8"/>
      <c r="AR174" s="8"/>
      <c r="AS174" s="9"/>
      <c r="AW174" s="9"/>
      <c r="AX174" s="7"/>
      <c r="AY174" s="8"/>
      <c r="BA174" s="6"/>
    </row>
    <row r="175" customFormat="false" ht="18" hidden="false" customHeight="true" outlineLevel="0" collapsed="false">
      <c r="C175" s="6"/>
      <c r="V175" s="7"/>
      <c r="W175" s="7"/>
      <c r="X175" s="7"/>
      <c r="Y175" s="7"/>
      <c r="Z175" s="7"/>
      <c r="AA175" s="7"/>
      <c r="AB175" s="7"/>
      <c r="AC175" s="7"/>
      <c r="AD175" s="7"/>
      <c r="AM175" s="8"/>
      <c r="AN175" s="7"/>
      <c r="AO175" s="8"/>
      <c r="AP175" s="8"/>
      <c r="AR175" s="8"/>
      <c r="AS175" s="9"/>
      <c r="AW175" s="9"/>
      <c r="AX175" s="7"/>
      <c r="AY175" s="8"/>
      <c r="BA175" s="6"/>
    </row>
    <row r="176" customFormat="false" ht="18" hidden="false" customHeight="true" outlineLevel="0" collapsed="false">
      <c r="C176" s="6"/>
      <c r="V176" s="7"/>
      <c r="W176" s="7"/>
      <c r="X176" s="7"/>
      <c r="Y176" s="7"/>
      <c r="Z176" s="7"/>
      <c r="AA176" s="7"/>
      <c r="AB176" s="7"/>
      <c r="AC176" s="7"/>
      <c r="AD176" s="7"/>
      <c r="AM176" s="8"/>
      <c r="AN176" s="7"/>
      <c r="AO176" s="8"/>
      <c r="AP176" s="8"/>
      <c r="AR176" s="8"/>
      <c r="AS176" s="9"/>
      <c r="AW176" s="9"/>
      <c r="AX176" s="7"/>
      <c r="AY176" s="8"/>
      <c r="BA176" s="6"/>
    </row>
    <row r="177" customFormat="false" ht="18" hidden="false" customHeight="true" outlineLevel="0" collapsed="false">
      <c r="C177" s="6"/>
      <c r="V177" s="7"/>
      <c r="W177" s="7"/>
      <c r="X177" s="7"/>
      <c r="Y177" s="7"/>
      <c r="Z177" s="7"/>
      <c r="AA177" s="7"/>
      <c r="AB177" s="7"/>
      <c r="AC177" s="7"/>
      <c r="AD177" s="7"/>
      <c r="AM177" s="8"/>
      <c r="AN177" s="7"/>
      <c r="AO177" s="8"/>
      <c r="AP177" s="8"/>
      <c r="AR177" s="8"/>
      <c r="AS177" s="9"/>
      <c r="AW177" s="9"/>
      <c r="AX177" s="7"/>
      <c r="AY177" s="8"/>
      <c r="BA177" s="6"/>
    </row>
    <row r="178" customFormat="false" ht="18" hidden="false" customHeight="true" outlineLevel="0" collapsed="false">
      <c r="C178" s="6"/>
      <c r="V178" s="7"/>
      <c r="W178" s="7"/>
      <c r="X178" s="7"/>
      <c r="Y178" s="7"/>
      <c r="Z178" s="7"/>
      <c r="AA178" s="7"/>
      <c r="AB178" s="7"/>
      <c r="AC178" s="7"/>
      <c r="AD178" s="7"/>
      <c r="AM178" s="8"/>
      <c r="AN178" s="7"/>
      <c r="AO178" s="8"/>
      <c r="AP178" s="8"/>
      <c r="AR178" s="8"/>
      <c r="AS178" s="9"/>
      <c r="AW178" s="9"/>
      <c r="AX178" s="7"/>
      <c r="AY178" s="8"/>
      <c r="BA178" s="6"/>
    </row>
    <row r="179" customFormat="false" ht="18" hidden="false" customHeight="true" outlineLevel="0" collapsed="false">
      <c r="C179" s="6"/>
      <c r="V179" s="7"/>
      <c r="W179" s="7"/>
      <c r="X179" s="7"/>
      <c r="Y179" s="7"/>
      <c r="Z179" s="7"/>
      <c r="AA179" s="7"/>
      <c r="AB179" s="7"/>
      <c r="AC179" s="7"/>
      <c r="AD179" s="7"/>
      <c r="AM179" s="8"/>
      <c r="AN179" s="7"/>
      <c r="AO179" s="8"/>
      <c r="AP179" s="8"/>
      <c r="AR179" s="8"/>
      <c r="AS179" s="9"/>
      <c r="AW179" s="9"/>
      <c r="AX179" s="7"/>
      <c r="AY179" s="8"/>
      <c r="BA179" s="6"/>
    </row>
    <row r="180" customFormat="false" ht="18" hidden="false" customHeight="true" outlineLevel="0" collapsed="false">
      <c r="C180" s="6"/>
      <c r="V180" s="7"/>
      <c r="W180" s="7"/>
      <c r="X180" s="7"/>
      <c r="Y180" s="7"/>
      <c r="Z180" s="7"/>
      <c r="AA180" s="7"/>
      <c r="AB180" s="7"/>
      <c r="AC180" s="7"/>
      <c r="AD180" s="7"/>
      <c r="AM180" s="8"/>
      <c r="AN180" s="7"/>
      <c r="AO180" s="8"/>
      <c r="AP180" s="8"/>
      <c r="AR180" s="8"/>
      <c r="AS180" s="9"/>
      <c r="AW180" s="9"/>
      <c r="AX180" s="7"/>
      <c r="AY180" s="8"/>
      <c r="BA180" s="6"/>
    </row>
    <row r="181" customFormat="false" ht="18" hidden="false" customHeight="true" outlineLevel="0" collapsed="false">
      <c r="C181" s="6"/>
      <c r="V181" s="7"/>
      <c r="W181" s="7"/>
      <c r="X181" s="7"/>
      <c r="Y181" s="7"/>
      <c r="Z181" s="7"/>
      <c r="AA181" s="7"/>
      <c r="AB181" s="7"/>
      <c r="AC181" s="7"/>
      <c r="AD181" s="7"/>
      <c r="AM181" s="8"/>
      <c r="AN181" s="7"/>
      <c r="AO181" s="8"/>
      <c r="AP181" s="8"/>
      <c r="AR181" s="8"/>
      <c r="AS181" s="9"/>
      <c r="AW181" s="9"/>
      <c r="AX181" s="7"/>
      <c r="AY181" s="8"/>
      <c r="BA181" s="6"/>
    </row>
    <row r="182" customFormat="false" ht="18" hidden="false" customHeight="true" outlineLevel="0" collapsed="false">
      <c r="C182" s="6"/>
      <c r="V182" s="7"/>
      <c r="W182" s="7"/>
      <c r="X182" s="7"/>
      <c r="Y182" s="7"/>
      <c r="Z182" s="7"/>
      <c r="AA182" s="7"/>
      <c r="AB182" s="7"/>
      <c r="AC182" s="7"/>
      <c r="AD182" s="7"/>
      <c r="AM182" s="8"/>
      <c r="AN182" s="7"/>
      <c r="AO182" s="8"/>
      <c r="AP182" s="8"/>
      <c r="AR182" s="8"/>
      <c r="AS182" s="9"/>
      <c r="AW182" s="9"/>
      <c r="AX182" s="7"/>
      <c r="AY182" s="8"/>
      <c r="BA182" s="6"/>
    </row>
    <row r="183" customFormat="false" ht="18" hidden="false" customHeight="true" outlineLevel="0" collapsed="false">
      <c r="C183" s="6"/>
      <c r="V183" s="7"/>
      <c r="W183" s="7"/>
      <c r="X183" s="7"/>
      <c r="Y183" s="7"/>
      <c r="Z183" s="7"/>
      <c r="AA183" s="7"/>
      <c r="AB183" s="7"/>
      <c r="AC183" s="7"/>
      <c r="AD183" s="7"/>
      <c r="AM183" s="8"/>
      <c r="AN183" s="7"/>
      <c r="AO183" s="8"/>
      <c r="AP183" s="8"/>
      <c r="AR183" s="8"/>
      <c r="AS183" s="9"/>
      <c r="AW183" s="9"/>
      <c r="AX183" s="7"/>
      <c r="AY183" s="8"/>
      <c r="BA183" s="6"/>
    </row>
    <row r="184" customFormat="false" ht="18" hidden="false" customHeight="true" outlineLevel="0" collapsed="false">
      <c r="C184" s="6"/>
      <c r="V184" s="7"/>
      <c r="W184" s="7"/>
      <c r="X184" s="7"/>
      <c r="Y184" s="7"/>
      <c r="Z184" s="7"/>
      <c r="AA184" s="7"/>
      <c r="AB184" s="7"/>
      <c r="AC184" s="7"/>
      <c r="AD184" s="7"/>
      <c r="AM184" s="8"/>
      <c r="AN184" s="7"/>
      <c r="AO184" s="8"/>
      <c r="AP184" s="8"/>
      <c r="AR184" s="8"/>
      <c r="AS184" s="9"/>
      <c r="AW184" s="9"/>
      <c r="AX184" s="7"/>
      <c r="AY184" s="8"/>
      <c r="BA184" s="6"/>
    </row>
    <row r="185" customFormat="false" ht="18" hidden="false" customHeight="true" outlineLevel="0" collapsed="false">
      <c r="C185" s="6"/>
      <c r="V185" s="7"/>
      <c r="W185" s="7"/>
      <c r="X185" s="7"/>
      <c r="Y185" s="7"/>
      <c r="Z185" s="7"/>
      <c r="AA185" s="7"/>
      <c r="AB185" s="7"/>
      <c r="AC185" s="7"/>
      <c r="AD185" s="7"/>
      <c r="AM185" s="8"/>
      <c r="AN185" s="7"/>
      <c r="AO185" s="8"/>
      <c r="AP185" s="8"/>
      <c r="AR185" s="8"/>
      <c r="AS185" s="9"/>
      <c r="AW185" s="9"/>
      <c r="AX185" s="7"/>
      <c r="AY185" s="8"/>
      <c r="BA185" s="6"/>
    </row>
    <row r="186" customFormat="false" ht="18" hidden="false" customHeight="true" outlineLevel="0" collapsed="false">
      <c r="C186" s="6"/>
      <c r="V186" s="7"/>
      <c r="W186" s="7"/>
      <c r="X186" s="7"/>
      <c r="Y186" s="7"/>
      <c r="Z186" s="7"/>
      <c r="AA186" s="7"/>
      <c r="AB186" s="7"/>
      <c r="AC186" s="7"/>
      <c r="AD186" s="7"/>
      <c r="AM186" s="8"/>
      <c r="AN186" s="7"/>
      <c r="AO186" s="8"/>
      <c r="AP186" s="8"/>
      <c r="AR186" s="8"/>
      <c r="AS186" s="9"/>
      <c r="AW186" s="9"/>
      <c r="AX186" s="7"/>
      <c r="AY186" s="8"/>
      <c r="BA186" s="6"/>
    </row>
    <row r="187" customFormat="false" ht="18" hidden="false" customHeight="true" outlineLevel="0" collapsed="false">
      <c r="C187" s="6"/>
      <c r="V187" s="7"/>
      <c r="W187" s="7"/>
      <c r="X187" s="7"/>
      <c r="Y187" s="7"/>
      <c r="Z187" s="7"/>
      <c r="AA187" s="7"/>
      <c r="AB187" s="7"/>
      <c r="AC187" s="7"/>
      <c r="AD187" s="7"/>
      <c r="AM187" s="8"/>
      <c r="AN187" s="7"/>
      <c r="AO187" s="8"/>
      <c r="AP187" s="8"/>
      <c r="AR187" s="8"/>
      <c r="AS187" s="9"/>
      <c r="AW187" s="9"/>
      <c r="AX187" s="7"/>
      <c r="AY187" s="8"/>
      <c r="BA187" s="6"/>
    </row>
    <row r="188" customFormat="false" ht="18" hidden="false" customHeight="true" outlineLevel="0" collapsed="false">
      <c r="C188" s="6"/>
      <c r="V188" s="7"/>
      <c r="W188" s="7"/>
      <c r="X188" s="7"/>
      <c r="Y188" s="7"/>
      <c r="Z188" s="7"/>
      <c r="AA188" s="7"/>
      <c r="AB188" s="7"/>
      <c r="AC188" s="7"/>
      <c r="AD188" s="7"/>
      <c r="AM188" s="8"/>
      <c r="AN188" s="7"/>
      <c r="AO188" s="8"/>
      <c r="AP188" s="8"/>
      <c r="AR188" s="8"/>
      <c r="AS188" s="9"/>
      <c r="AW188" s="9"/>
      <c r="AX188" s="7"/>
      <c r="AY188" s="8"/>
      <c r="BA188" s="6"/>
    </row>
    <row r="189" customFormat="false" ht="18" hidden="false" customHeight="true" outlineLevel="0" collapsed="false">
      <c r="C189" s="6"/>
      <c r="V189" s="7"/>
      <c r="W189" s="7"/>
      <c r="X189" s="7"/>
      <c r="Y189" s="7"/>
      <c r="Z189" s="7"/>
      <c r="AA189" s="7"/>
      <c r="AB189" s="7"/>
      <c r="AC189" s="7"/>
      <c r="AD189" s="7"/>
      <c r="AM189" s="8"/>
      <c r="AN189" s="7"/>
      <c r="AO189" s="8"/>
      <c r="AP189" s="8"/>
      <c r="AR189" s="8"/>
      <c r="AS189" s="9"/>
      <c r="AW189" s="9"/>
      <c r="AX189" s="7"/>
      <c r="AY189" s="8"/>
      <c r="BA189" s="6"/>
    </row>
    <row r="190" customFormat="false" ht="18" hidden="false" customHeight="true" outlineLevel="0" collapsed="false">
      <c r="C190" s="6"/>
      <c r="V190" s="7"/>
      <c r="W190" s="7"/>
      <c r="X190" s="7"/>
      <c r="Y190" s="7"/>
      <c r="Z190" s="7"/>
      <c r="AA190" s="7"/>
      <c r="AB190" s="7"/>
      <c r="AC190" s="7"/>
      <c r="AD190" s="7"/>
      <c r="AM190" s="8"/>
      <c r="AN190" s="7"/>
      <c r="AO190" s="8"/>
      <c r="AP190" s="8"/>
      <c r="AR190" s="8"/>
      <c r="AS190" s="9"/>
      <c r="AW190" s="9"/>
      <c r="AX190" s="7"/>
      <c r="AY190" s="8"/>
      <c r="BA190" s="6"/>
    </row>
    <row r="191" customFormat="false" ht="18" hidden="false" customHeight="true" outlineLevel="0" collapsed="false">
      <c r="C191" s="6"/>
      <c r="V191" s="7"/>
      <c r="W191" s="7"/>
      <c r="X191" s="7"/>
      <c r="Y191" s="7"/>
      <c r="Z191" s="7"/>
      <c r="AA191" s="7"/>
      <c r="AB191" s="7"/>
      <c r="AC191" s="7"/>
      <c r="AD191" s="7"/>
      <c r="AM191" s="8"/>
      <c r="AN191" s="7"/>
      <c r="AO191" s="8"/>
      <c r="AP191" s="8"/>
      <c r="AR191" s="8"/>
      <c r="AS191" s="9"/>
      <c r="AW191" s="9"/>
      <c r="AX191" s="7"/>
      <c r="AY191" s="8"/>
      <c r="BA191" s="6"/>
    </row>
    <row r="192" customFormat="false" ht="18" hidden="false" customHeight="true" outlineLevel="0" collapsed="false">
      <c r="C192" s="6"/>
      <c r="V192" s="7"/>
      <c r="W192" s="7"/>
      <c r="X192" s="7"/>
      <c r="Y192" s="7"/>
      <c r="Z192" s="7"/>
      <c r="AA192" s="7"/>
      <c r="AB192" s="7"/>
      <c r="AC192" s="7"/>
      <c r="AD192" s="7"/>
      <c r="AM192" s="8"/>
      <c r="AN192" s="7"/>
      <c r="AO192" s="8"/>
      <c r="AP192" s="8"/>
      <c r="AR192" s="8"/>
      <c r="AS192" s="9"/>
      <c r="AW192" s="9"/>
      <c r="AX192" s="7"/>
      <c r="AY192" s="8"/>
      <c r="BA192" s="6"/>
    </row>
    <row r="193" customFormat="false" ht="18" hidden="false" customHeight="true" outlineLevel="0" collapsed="false">
      <c r="C193" s="6"/>
      <c r="V193" s="7"/>
      <c r="W193" s="7"/>
      <c r="X193" s="7"/>
      <c r="Y193" s="7"/>
      <c r="Z193" s="7"/>
      <c r="AA193" s="7"/>
      <c r="AB193" s="7"/>
      <c r="AC193" s="7"/>
      <c r="AD193" s="7"/>
      <c r="AM193" s="8"/>
      <c r="AN193" s="7"/>
      <c r="AO193" s="8"/>
      <c r="AP193" s="8"/>
      <c r="AR193" s="8"/>
      <c r="AS193" s="9"/>
      <c r="AW193" s="9"/>
      <c r="AX193" s="7"/>
      <c r="AY193" s="8"/>
      <c r="BA193" s="6"/>
    </row>
    <row r="194" customFormat="false" ht="18" hidden="false" customHeight="true" outlineLevel="0" collapsed="false">
      <c r="C194" s="6"/>
      <c r="V194" s="7"/>
      <c r="W194" s="7"/>
      <c r="X194" s="7"/>
      <c r="Y194" s="7"/>
      <c r="Z194" s="7"/>
      <c r="AA194" s="7"/>
      <c r="AB194" s="7"/>
      <c r="AC194" s="7"/>
      <c r="AD194" s="7"/>
      <c r="AM194" s="8"/>
      <c r="AN194" s="7"/>
      <c r="AO194" s="8"/>
      <c r="AP194" s="8"/>
      <c r="AR194" s="8"/>
      <c r="AS194" s="9"/>
      <c r="AW194" s="9"/>
      <c r="AX194" s="7"/>
      <c r="AY194" s="8"/>
      <c r="BA194" s="6"/>
    </row>
    <row r="195" customFormat="false" ht="18" hidden="false" customHeight="true" outlineLevel="0" collapsed="false">
      <c r="C195" s="6"/>
      <c r="V195" s="7"/>
      <c r="W195" s="7"/>
      <c r="X195" s="7"/>
      <c r="Y195" s="7"/>
      <c r="Z195" s="7"/>
      <c r="AA195" s="7"/>
      <c r="AB195" s="7"/>
      <c r="AC195" s="7"/>
      <c r="AD195" s="7"/>
      <c r="AM195" s="8"/>
      <c r="AN195" s="7"/>
      <c r="AO195" s="8"/>
      <c r="AP195" s="8"/>
      <c r="AR195" s="8"/>
      <c r="AS195" s="9"/>
      <c r="AW195" s="9"/>
      <c r="AX195" s="7"/>
      <c r="AY195" s="8"/>
      <c r="BA195" s="6"/>
    </row>
    <row r="196" customFormat="false" ht="18" hidden="false" customHeight="true" outlineLevel="0" collapsed="false">
      <c r="C196" s="6"/>
      <c r="V196" s="7"/>
      <c r="W196" s="7"/>
      <c r="X196" s="7"/>
      <c r="Y196" s="7"/>
      <c r="Z196" s="7"/>
      <c r="AA196" s="7"/>
      <c r="AB196" s="7"/>
      <c r="AC196" s="7"/>
      <c r="AD196" s="7"/>
      <c r="AM196" s="8"/>
      <c r="AN196" s="7"/>
      <c r="AO196" s="8"/>
      <c r="AP196" s="8"/>
      <c r="AR196" s="8"/>
      <c r="AS196" s="9"/>
      <c r="AW196" s="9"/>
      <c r="AX196" s="7"/>
      <c r="AY196" s="8"/>
      <c r="BA196" s="6"/>
    </row>
    <row r="197" customFormat="false" ht="18" hidden="false" customHeight="true" outlineLevel="0" collapsed="false">
      <c r="C197" s="6"/>
      <c r="V197" s="7"/>
      <c r="W197" s="7"/>
      <c r="X197" s="7"/>
      <c r="Y197" s="7"/>
      <c r="Z197" s="7"/>
      <c r="AA197" s="7"/>
      <c r="AB197" s="7"/>
      <c r="AC197" s="7"/>
      <c r="AD197" s="7"/>
      <c r="AM197" s="8"/>
      <c r="AN197" s="7"/>
      <c r="AO197" s="8"/>
      <c r="AP197" s="8"/>
      <c r="AR197" s="8"/>
      <c r="AS197" s="9"/>
      <c r="AW197" s="9"/>
      <c r="AX197" s="7"/>
      <c r="AY197" s="8"/>
      <c r="BA197" s="6"/>
    </row>
    <row r="198" customFormat="false" ht="18" hidden="false" customHeight="true" outlineLevel="0" collapsed="false">
      <c r="C198" s="6"/>
      <c r="V198" s="7"/>
      <c r="W198" s="7"/>
      <c r="X198" s="7"/>
      <c r="Y198" s="7"/>
      <c r="Z198" s="7"/>
      <c r="AA198" s="7"/>
      <c r="AB198" s="7"/>
      <c r="AC198" s="7"/>
      <c r="AD198" s="7"/>
      <c r="AM198" s="8"/>
      <c r="AN198" s="7"/>
      <c r="AO198" s="8"/>
      <c r="AP198" s="8"/>
      <c r="AR198" s="8"/>
      <c r="AS198" s="9"/>
      <c r="AW198" s="9"/>
      <c r="AX198" s="7"/>
      <c r="AY198" s="8"/>
      <c r="BA198" s="6"/>
    </row>
    <row r="199" customFormat="false" ht="18" hidden="false" customHeight="true" outlineLevel="0" collapsed="false">
      <c r="C199" s="6"/>
      <c r="V199" s="7"/>
      <c r="W199" s="7"/>
      <c r="X199" s="7"/>
      <c r="Y199" s="7"/>
      <c r="Z199" s="7"/>
      <c r="AA199" s="7"/>
      <c r="AB199" s="7"/>
      <c r="AC199" s="7"/>
      <c r="AD199" s="7"/>
      <c r="AM199" s="8"/>
      <c r="AN199" s="7"/>
      <c r="AO199" s="8"/>
      <c r="AP199" s="8"/>
      <c r="AR199" s="8"/>
      <c r="AS199" s="9"/>
      <c r="AW199" s="9"/>
      <c r="AX199" s="7"/>
      <c r="AY199" s="8"/>
      <c r="BA199" s="6"/>
    </row>
    <row r="200" customFormat="false" ht="18" hidden="false" customHeight="true" outlineLevel="0" collapsed="false">
      <c r="C200" s="6"/>
      <c r="V200" s="7"/>
      <c r="W200" s="7"/>
      <c r="X200" s="7"/>
      <c r="Y200" s="7"/>
      <c r="Z200" s="7"/>
      <c r="AA200" s="7"/>
      <c r="AB200" s="7"/>
      <c r="AC200" s="7"/>
      <c r="AD200" s="7"/>
      <c r="AM200" s="8"/>
      <c r="AN200" s="7"/>
      <c r="AO200" s="8"/>
      <c r="AP200" s="8"/>
      <c r="AR200" s="8"/>
      <c r="AS200" s="9"/>
      <c r="AW200" s="9"/>
      <c r="AX200" s="7"/>
      <c r="AY200" s="8"/>
      <c r="BA200" s="6"/>
    </row>
    <row r="201" customFormat="false" ht="18" hidden="false" customHeight="true" outlineLevel="0" collapsed="false">
      <c r="C201" s="6"/>
      <c r="V201" s="7"/>
      <c r="W201" s="7"/>
      <c r="X201" s="7"/>
      <c r="Y201" s="7"/>
      <c r="Z201" s="7"/>
      <c r="AA201" s="7"/>
      <c r="AB201" s="7"/>
      <c r="AC201" s="7"/>
      <c r="AD201" s="7"/>
      <c r="AM201" s="8"/>
      <c r="AN201" s="7"/>
      <c r="AO201" s="8"/>
      <c r="AP201" s="8"/>
      <c r="AR201" s="8"/>
      <c r="AS201" s="9"/>
      <c r="AW201" s="9"/>
      <c r="AX201" s="7"/>
      <c r="AY201" s="8"/>
      <c r="BA201" s="6"/>
    </row>
    <row r="202" customFormat="false" ht="18" hidden="false" customHeight="true" outlineLevel="0" collapsed="false">
      <c r="C202" s="6"/>
      <c r="V202" s="7"/>
      <c r="W202" s="7"/>
      <c r="X202" s="7"/>
      <c r="Y202" s="7"/>
      <c r="Z202" s="7"/>
      <c r="AA202" s="7"/>
      <c r="AB202" s="7"/>
      <c r="AC202" s="7"/>
      <c r="AD202" s="7"/>
      <c r="AM202" s="8"/>
      <c r="AN202" s="7"/>
      <c r="AO202" s="8"/>
      <c r="AP202" s="8"/>
      <c r="AR202" s="8"/>
      <c r="AS202" s="9"/>
      <c r="AW202" s="9"/>
      <c r="AX202" s="7"/>
      <c r="AY202" s="8"/>
      <c r="BA202" s="6"/>
    </row>
    <row r="203" customFormat="false" ht="18" hidden="false" customHeight="true" outlineLevel="0" collapsed="false">
      <c r="C203" s="6"/>
      <c r="V203" s="7"/>
      <c r="W203" s="7"/>
      <c r="X203" s="7"/>
      <c r="Y203" s="7"/>
      <c r="Z203" s="7"/>
      <c r="AA203" s="7"/>
      <c r="AB203" s="7"/>
      <c r="AC203" s="7"/>
      <c r="AD203" s="7"/>
      <c r="AM203" s="8"/>
      <c r="AN203" s="7"/>
      <c r="AO203" s="8"/>
      <c r="AP203" s="8"/>
      <c r="AR203" s="8"/>
      <c r="AS203" s="9"/>
      <c r="AW203" s="9"/>
      <c r="AX203" s="7"/>
      <c r="AY203" s="8"/>
      <c r="BA203" s="6"/>
    </row>
    <row r="204" customFormat="false" ht="18" hidden="false" customHeight="true" outlineLevel="0" collapsed="false">
      <c r="C204" s="6"/>
      <c r="V204" s="7"/>
      <c r="W204" s="7"/>
      <c r="X204" s="7"/>
      <c r="Y204" s="7"/>
      <c r="Z204" s="7"/>
      <c r="AA204" s="7"/>
      <c r="AB204" s="7"/>
      <c r="AC204" s="7"/>
      <c r="AD204" s="7"/>
      <c r="AM204" s="8"/>
      <c r="AN204" s="7"/>
      <c r="AO204" s="8"/>
      <c r="AP204" s="8"/>
      <c r="AR204" s="8"/>
      <c r="AS204" s="9"/>
      <c r="AW204" s="9"/>
      <c r="AX204" s="7"/>
      <c r="AY204" s="8"/>
      <c r="BA204" s="6"/>
    </row>
    <row r="205" customFormat="false" ht="18" hidden="false" customHeight="true" outlineLevel="0" collapsed="false">
      <c r="C205" s="6"/>
      <c r="V205" s="7"/>
      <c r="W205" s="7"/>
      <c r="X205" s="7"/>
      <c r="Y205" s="7"/>
      <c r="Z205" s="7"/>
      <c r="AA205" s="7"/>
      <c r="AB205" s="7"/>
      <c r="AC205" s="7"/>
      <c r="AD205" s="7"/>
      <c r="AM205" s="8"/>
      <c r="AN205" s="7"/>
      <c r="AO205" s="8"/>
      <c r="AP205" s="8"/>
      <c r="AR205" s="8"/>
      <c r="AS205" s="9"/>
      <c r="AW205" s="9"/>
      <c r="AX205" s="7"/>
      <c r="AY205" s="8"/>
      <c r="BA205" s="6"/>
    </row>
    <row r="206" customFormat="false" ht="18" hidden="false" customHeight="true" outlineLevel="0" collapsed="false">
      <c r="C206" s="6"/>
      <c r="V206" s="7"/>
      <c r="W206" s="7"/>
      <c r="X206" s="7"/>
      <c r="Y206" s="7"/>
      <c r="Z206" s="7"/>
      <c r="AA206" s="7"/>
      <c r="AB206" s="7"/>
      <c r="AC206" s="7"/>
      <c r="AD206" s="7"/>
      <c r="AM206" s="8"/>
      <c r="AN206" s="7"/>
      <c r="AO206" s="8"/>
      <c r="AP206" s="8"/>
      <c r="AR206" s="8"/>
      <c r="AS206" s="9"/>
      <c r="AW206" s="9"/>
      <c r="AX206" s="7"/>
      <c r="AY206" s="8"/>
      <c r="BA206" s="6"/>
    </row>
    <row r="207" customFormat="false" ht="18" hidden="false" customHeight="true" outlineLevel="0" collapsed="false">
      <c r="C207" s="6"/>
      <c r="V207" s="7"/>
      <c r="W207" s="7"/>
      <c r="X207" s="7"/>
      <c r="Y207" s="7"/>
      <c r="Z207" s="7"/>
      <c r="AA207" s="7"/>
      <c r="AB207" s="7"/>
      <c r="AC207" s="7"/>
      <c r="AD207" s="7"/>
      <c r="AM207" s="8"/>
      <c r="AN207" s="7"/>
      <c r="AO207" s="8"/>
      <c r="AP207" s="8"/>
      <c r="AR207" s="8"/>
      <c r="AS207" s="9"/>
      <c r="AW207" s="9"/>
      <c r="AX207" s="7"/>
      <c r="AY207" s="8"/>
      <c r="BA207" s="6"/>
    </row>
    <row r="208" customFormat="false" ht="18" hidden="false" customHeight="true" outlineLevel="0" collapsed="false">
      <c r="C208" s="6"/>
      <c r="V208" s="7"/>
      <c r="W208" s="7"/>
      <c r="X208" s="7"/>
      <c r="Y208" s="7"/>
      <c r="Z208" s="7"/>
      <c r="AA208" s="7"/>
      <c r="AB208" s="7"/>
      <c r="AC208" s="7"/>
      <c r="AD208" s="7"/>
      <c r="AM208" s="8"/>
      <c r="AN208" s="7"/>
      <c r="AO208" s="8"/>
      <c r="AP208" s="8"/>
      <c r="AR208" s="8"/>
      <c r="AS208" s="9"/>
      <c r="AW208" s="9"/>
      <c r="AX208" s="7"/>
      <c r="AY208" s="8"/>
      <c r="BA208" s="6"/>
    </row>
    <row r="209" customFormat="false" ht="18" hidden="false" customHeight="true" outlineLevel="0" collapsed="false">
      <c r="C209" s="6"/>
      <c r="V209" s="7"/>
      <c r="W209" s="7"/>
      <c r="X209" s="7"/>
      <c r="Y209" s="7"/>
      <c r="Z209" s="7"/>
      <c r="AA209" s="7"/>
      <c r="AB209" s="7"/>
      <c r="AC209" s="7"/>
      <c r="AD209" s="7"/>
      <c r="AM209" s="8"/>
      <c r="AN209" s="7"/>
      <c r="AO209" s="8"/>
      <c r="AP209" s="8"/>
      <c r="AR209" s="8"/>
      <c r="AS209" s="9"/>
      <c r="AW209" s="9"/>
      <c r="AX209" s="7"/>
      <c r="AY209" s="8"/>
      <c r="BA209" s="6"/>
    </row>
    <row r="210" customFormat="false" ht="18" hidden="false" customHeight="true" outlineLevel="0" collapsed="false">
      <c r="C210" s="6"/>
      <c r="V210" s="7"/>
      <c r="W210" s="7"/>
      <c r="X210" s="7"/>
      <c r="Y210" s="7"/>
      <c r="Z210" s="7"/>
      <c r="AA210" s="7"/>
      <c r="AB210" s="7"/>
      <c r="AC210" s="7"/>
      <c r="AD210" s="7"/>
      <c r="AM210" s="8"/>
      <c r="AN210" s="7"/>
      <c r="AO210" s="8"/>
      <c r="AP210" s="8"/>
      <c r="AR210" s="8"/>
      <c r="AS210" s="9"/>
      <c r="AW210" s="9"/>
      <c r="AX210" s="7"/>
      <c r="AY210" s="8"/>
      <c r="BA210" s="6"/>
    </row>
    <row r="211" customFormat="false" ht="18" hidden="false" customHeight="true" outlineLevel="0" collapsed="false">
      <c r="C211" s="6"/>
      <c r="V211" s="7"/>
      <c r="W211" s="7"/>
      <c r="X211" s="7"/>
      <c r="Y211" s="7"/>
      <c r="Z211" s="7"/>
      <c r="AA211" s="7"/>
      <c r="AB211" s="7"/>
      <c r="AC211" s="7"/>
      <c r="AD211" s="7"/>
      <c r="AM211" s="8"/>
      <c r="AN211" s="7"/>
      <c r="AO211" s="8"/>
      <c r="AP211" s="8"/>
      <c r="AR211" s="8"/>
      <c r="AS211" s="9"/>
      <c r="AW211" s="9"/>
      <c r="AX211" s="7"/>
      <c r="AY211" s="8"/>
      <c r="BA211" s="6"/>
    </row>
    <row r="212" customFormat="false" ht="18" hidden="false" customHeight="true" outlineLevel="0" collapsed="false">
      <c r="C212" s="6"/>
      <c r="V212" s="7"/>
      <c r="W212" s="7"/>
      <c r="X212" s="7"/>
      <c r="Y212" s="7"/>
      <c r="Z212" s="7"/>
      <c r="AA212" s="7"/>
      <c r="AB212" s="7"/>
      <c r="AC212" s="7"/>
      <c r="AD212" s="7"/>
      <c r="AM212" s="8"/>
      <c r="AN212" s="7"/>
      <c r="AO212" s="8"/>
      <c r="AP212" s="8"/>
      <c r="AR212" s="8"/>
      <c r="AS212" s="9"/>
      <c r="AW212" s="9"/>
      <c r="AX212" s="7"/>
      <c r="AY212" s="8"/>
      <c r="BA212" s="6"/>
    </row>
    <row r="213" customFormat="false" ht="18" hidden="false" customHeight="true" outlineLevel="0" collapsed="false">
      <c r="C213" s="6"/>
      <c r="V213" s="7"/>
      <c r="W213" s="7"/>
      <c r="X213" s="7"/>
      <c r="Y213" s="7"/>
      <c r="Z213" s="7"/>
      <c r="AA213" s="7"/>
      <c r="AB213" s="7"/>
      <c r="AC213" s="7"/>
      <c r="AD213" s="7"/>
      <c r="AM213" s="8"/>
      <c r="AN213" s="7"/>
      <c r="AO213" s="8"/>
      <c r="AP213" s="8"/>
      <c r="AR213" s="8"/>
      <c r="AS213" s="9"/>
      <c r="AW213" s="9"/>
      <c r="AX213" s="7"/>
      <c r="AY213" s="8"/>
      <c r="BA213" s="6"/>
    </row>
    <row r="214" customFormat="false" ht="18" hidden="false" customHeight="true" outlineLevel="0" collapsed="false">
      <c r="C214" s="6"/>
      <c r="V214" s="7"/>
      <c r="W214" s="7"/>
      <c r="X214" s="7"/>
      <c r="Y214" s="7"/>
      <c r="Z214" s="7"/>
      <c r="AA214" s="7"/>
      <c r="AB214" s="7"/>
      <c r="AC214" s="7"/>
      <c r="AD214" s="7"/>
      <c r="AM214" s="8"/>
      <c r="AN214" s="7"/>
      <c r="AO214" s="8"/>
      <c r="AP214" s="8"/>
      <c r="AR214" s="8"/>
      <c r="AS214" s="9"/>
      <c r="AW214" s="9"/>
      <c r="AX214" s="7"/>
      <c r="AY214" s="8"/>
      <c r="BA214" s="6"/>
    </row>
    <row r="215" customFormat="false" ht="18" hidden="false" customHeight="true" outlineLevel="0" collapsed="false">
      <c r="C215" s="6"/>
      <c r="V215" s="7"/>
      <c r="W215" s="7"/>
      <c r="X215" s="7"/>
      <c r="Y215" s="7"/>
      <c r="Z215" s="7"/>
      <c r="AA215" s="7"/>
      <c r="AB215" s="7"/>
      <c r="AC215" s="7"/>
      <c r="AD215" s="7"/>
      <c r="AM215" s="8"/>
      <c r="AN215" s="7"/>
      <c r="AO215" s="8"/>
      <c r="AP215" s="8"/>
      <c r="AR215" s="8"/>
      <c r="AS215" s="9"/>
      <c r="AW215" s="9"/>
      <c r="AX215" s="7"/>
      <c r="AY215" s="8"/>
      <c r="BA215" s="6"/>
    </row>
    <row r="216" customFormat="false" ht="18" hidden="false" customHeight="true" outlineLevel="0" collapsed="false">
      <c r="C216" s="6"/>
      <c r="V216" s="7"/>
      <c r="W216" s="7"/>
      <c r="X216" s="7"/>
      <c r="Y216" s="7"/>
      <c r="Z216" s="7"/>
      <c r="AA216" s="7"/>
      <c r="AB216" s="7"/>
      <c r="AC216" s="7"/>
      <c r="AD216" s="7"/>
      <c r="AM216" s="8"/>
      <c r="AN216" s="7"/>
      <c r="AO216" s="8"/>
      <c r="AP216" s="8"/>
      <c r="AR216" s="8"/>
      <c r="AS216" s="9"/>
      <c r="AW216" s="9"/>
      <c r="AX216" s="7"/>
      <c r="AY216" s="8"/>
      <c r="BA216" s="6"/>
    </row>
    <row r="217" customFormat="false" ht="18" hidden="false" customHeight="true" outlineLevel="0" collapsed="false">
      <c r="C217" s="6"/>
      <c r="V217" s="7"/>
      <c r="W217" s="7"/>
      <c r="X217" s="7"/>
      <c r="Y217" s="7"/>
      <c r="Z217" s="7"/>
      <c r="AA217" s="7"/>
      <c r="AB217" s="7"/>
      <c r="AC217" s="7"/>
      <c r="AD217" s="7"/>
      <c r="AM217" s="8"/>
      <c r="AN217" s="7"/>
      <c r="AO217" s="8"/>
      <c r="AP217" s="8"/>
      <c r="AR217" s="8"/>
      <c r="AS217" s="9"/>
      <c r="AW217" s="9"/>
      <c r="AX217" s="7"/>
      <c r="AY217" s="8"/>
      <c r="BA217" s="6"/>
    </row>
    <row r="218" customFormat="false" ht="18" hidden="false" customHeight="true" outlineLevel="0" collapsed="false">
      <c r="C218" s="6"/>
      <c r="V218" s="7"/>
      <c r="W218" s="7"/>
      <c r="X218" s="7"/>
      <c r="Y218" s="7"/>
      <c r="Z218" s="7"/>
      <c r="AA218" s="7"/>
      <c r="AB218" s="7"/>
      <c r="AC218" s="7"/>
      <c r="AD218" s="7"/>
      <c r="AM218" s="8"/>
      <c r="AN218" s="7"/>
      <c r="AO218" s="8"/>
      <c r="AP218" s="8"/>
      <c r="AR218" s="8"/>
      <c r="AS218" s="9"/>
      <c r="AW218" s="9"/>
      <c r="AX218" s="7"/>
      <c r="AY218" s="8"/>
      <c r="BA218" s="6"/>
    </row>
    <row r="219" customFormat="false" ht="18" hidden="false" customHeight="true" outlineLevel="0" collapsed="false">
      <c r="C219" s="6"/>
      <c r="V219" s="7"/>
      <c r="W219" s="7"/>
      <c r="X219" s="7"/>
      <c r="Y219" s="7"/>
      <c r="Z219" s="7"/>
      <c r="AA219" s="7"/>
      <c r="AB219" s="7"/>
      <c r="AC219" s="7"/>
      <c r="AD219" s="7"/>
      <c r="AM219" s="8"/>
      <c r="AN219" s="7"/>
      <c r="AO219" s="8"/>
      <c r="AP219" s="8"/>
      <c r="AR219" s="8"/>
      <c r="AS219" s="9"/>
      <c r="AW219" s="9"/>
      <c r="AX219" s="7"/>
      <c r="AY219" s="8"/>
      <c r="BA219" s="6"/>
    </row>
    <row r="220" customFormat="false" ht="18" hidden="false" customHeight="true" outlineLevel="0" collapsed="false">
      <c r="C220" s="6"/>
      <c r="V220" s="7"/>
      <c r="W220" s="7"/>
      <c r="X220" s="7"/>
      <c r="Y220" s="7"/>
      <c r="Z220" s="7"/>
      <c r="AA220" s="7"/>
      <c r="AB220" s="7"/>
      <c r="AC220" s="7"/>
      <c r="AD220" s="7"/>
      <c r="AM220" s="8"/>
      <c r="AN220" s="7"/>
      <c r="AO220" s="8"/>
      <c r="AP220" s="8"/>
      <c r="AR220" s="8"/>
      <c r="AS220" s="9"/>
      <c r="AW220" s="9"/>
      <c r="AX220" s="7"/>
      <c r="AY220" s="8"/>
      <c r="BA220" s="6"/>
    </row>
    <row r="221" customFormat="false" ht="18" hidden="false" customHeight="true" outlineLevel="0" collapsed="false">
      <c r="C221" s="6"/>
      <c r="V221" s="7"/>
      <c r="W221" s="7"/>
      <c r="X221" s="7"/>
      <c r="Y221" s="7"/>
      <c r="Z221" s="7"/>
      <c r="AA221" s="7"/>
      <c r="AB221" s="7"/>
      <c r="AC221" s="7"/>
      <c r="AD221" s="7"/>
      <c r="AM221" s="8"/>
      <c r="AN221" s="7"/>
      <c r="AO221" s="8"/>
      <c r="AP221" s="8"/>
      <c r="AR221" s="8"/>
      <c r="AS221" s="9"/>
      <c r="AW221" s="9"/>
      <c r="AX221" s="7"/>
      <c r="AY221" s="8"/>
      <c r="BA221" s="6"/>
    </row>
    <row r="222" customFormat="false" ht="18" hidden="false" customHeight="true" outlineLevel="0" collapsed="false">
      <c r="C222" s="6"/>
      <c r="V222" s="7"/>
      <c r="W222" s="7"/>
      <c r="X222" s="7"/>
      <c r="Y222" s="7"/>
      <c r="Z222" s="7"/>
      <c r="AA222" s="7"/>
      <c r="AB222" s="7"/>
      <c r="AC222" s="7"/>
      <c r="AD222" s="7"/>
      <c r="AM222" s="8"/>
      <c r="AN222" s="7"/>
      <c r="AO222" s="8"/>
      <c r="AP222" s="8"/>
      <c r="AR222" s="8"/>
      <c r="AS222" s="9"/>
      <c r="AW222" s="9"/>
      <c r="AX222" s="7"/>
      <c r="AY222" s="8"/>
      <c r="BA222" s="6"/>
    </row>
    <row r="223" customFormat="false" ht="18" hidden="false" customHeight="true" outlineLevel="0" collapsed="false">
      <c r="C223" s="6"/>
      <c r="V223" s="7"/>
      <c r="W223" s="7"/>
      <c r="X223" s="7"/>
      <c r="Y223" s="7"/>
      <c r="Z223" s="7"/>
      <c r="AA223" s="7"/>
      <c r="AB223" s="7"/>
      <c r="AC223" s="7"/>
      <c r="AD223" s="7"/>
      <c r="AM223" s="8"/>
      <c r="AN223" s="7"/>
      <c r="AO223" s="8"/>
      <c r="AP223" s="8"/>
      <c r="AR223" s="8"/>
      <c r="AS223" s="9"/>
      <c r="AW223" s="9"/>
      <c r="AX223" s="7"/>
      <c r="AY223" s="8"/>
      <c r="BA223" s="6"/>
    </row>
    <row r="224" customFormat="false" ht="18" hidden="false" customHeight="true" outlineLevel="0" collapsed="false">
      <c r="C224" s="6"/>
      <c r="V224" s="7"/>
      <c r="W224" s="7"/>
      <c r="X224" s="7"/>
      <c r="Y224" s="7"/>
      <c r="Z224" s="7"/>
      <c r="AA224" s="7"/>
      <c r="AB224" s="7"/>
      <c r="AC224" s="7"/>
      <c r="AD224" s="7"/>
      <c r="AM224" s="8"/>
      <c r="AN224" s="7"/>
      <c r="AO224" s="8"/>
      <c r="AP224" s="8"/>
      <c r="AR224" s="8"/>
      <c r="AS224" s="9"/>
      <c r="AW224" s="9"/>
      <c r="AX224" s="7"/>
      <c r="AY224" s="8"/>
      <c r="BA224" s="6"/>
    </row>
    <row r="225" customFormat="false" ht="18" hidden="false" customHeight="true" outlineLevel="0" collapsed="false">
      <c r="C225" s="6"/>
      <c r="V225" s="7"/>
      <c r="W225" s="7"/>
      <c r="X225" s="7"/>
      <c r="Y225" s="7"/>
      <c r="Z225" s="7"/>
      <c r="AA225" s="7"/>
      <c r="AB225" s="7"/>
      <c r="AC225" s="7"/>
      <c r="AD225" s="7"/>
      <c r="AM225" s="8"/>
      <c r="AN225" s="7"/>
      <c r="AO225" s="8"/>
      <c r="AP225" s="8"/>
      <c r="AR225" s="8"/>
      <c r="AS225" s="9"/>
      <c r="AW225" s="9"/>
      <c r="AX225" s="7"/>
      <c r="AY225" s="8"/>
      <c r="BA225" s="6"/>
    </row>
    <row r="226" customFormat="false" ht="18" hidden="false" customHeight="true" outlineLevel="0" collapsed="false">
      <c r="C226" s="6"/>
      <c r="V226" s="7"/>
      <c r="W226" s="7"/>
      <c r="X226" s="7"/>
      <c r="Y226" s="7"/>
      <c r="Z226" s="7"/>
      <c r="AA226" s="7"/>
      <c r="AB226" s="7"/>
      <c r="AC226" s="7"/>
      <c r="AD226" s="7"/>
      <c r="AM226" s="8"/>
      <c r="AN226" s="7"/>
      <c r="AO226" s="8"/>
      <c r="AP226" s="8"/>
      <c r="AR226" s="8"/>
      <c r="AS226" s="9"/>
      <c r="AW226" s="9"/>
      <c r="AX226" s="7"/>
      <c r="AY226" s="8"/>
      <c r="BA226" s="6"/>
    </row>
    <row r="227" customFormat="false" ht="18" hidden="false" customHeight="true" outlineLevel="0" collapsed="false">
      <c r="C227" s="6"/>
      <c r="V227" s="7"/>
      <c r="W227" s="7"/>
      <c r="X227" s="7"/>
      <c r="Y227" s="7"/>
      <c r="Z227" s="7"/>
      <c r="AA227" s="7"/>
      <c r="AB227" s="7"/>
      <c r="AC227" s="7"/>
      <c r="AD227" s="7"/>
      <c r="AM227" s="8"/>
      <c r="AN227" s="7"/>
      <c r="AO227" s="8"/>
      <c r="AP227" s="8"/>
      <c r="AR227" s="8"/>
      <c r="AS227" s="9"/>
      <c r="AW227" s="9"/>
      <c r="AX227" s="7"/>
      <c r="AY227" s="8"/>
      <c r="BA227" s="6"/>
    </row>
    <row r="228" customFormat="false" ht="18" hidden="false" customHeight="true" outlineLevel="0" collapsed="false">
      <c r="C228" s="6"/>
      <c r="V228" s="7"/>
      <c r="W228" s="7"/>
      <c r="X228" s="7"/>
      <c r="Y228" s="7"/>
      <c r="Z228" s="7"/>
      <c r="AA228" s="7"/>
      <c r="AB228" s="7"/>
      <c r="AC228" s="7"/>
      <c r="AD228" s="7"/>
      <c r="AM228" s="8"/>
      <c r="AN228" s="7"/>
      <c r="AO228" s="8"/>
      <c r="AP228" s="8"/>
      <c r="AR228" s="8"/>
      <c r="AS228" s="9"/>
      <c r="AW228" s="9"/>
      <c r="AX228" s="7"/>
      <c r="AY228" s="8"/>
      <c r="BA228" s="6"/>
    </row>
    <row r="229" customFormat="false" ht="18" hidden="false" customHeight="true" outlineLevel="0" collapsed="false">
      <c r="C229" s="6"/>
      <c r="V229" s="7"/>
      <c r="W229" s="7"/>
      <c r="X229" s="7"/>
      <c r="Y229" s="7"/>
      <c r="Z229" s="7"/>
      <c r="AA229" s="7"/>
      <c r="AB229" s="7"/>
      <c r="AC229" s="7"/>
      <c r="AD229" s="7"/>
      <c r="AM229" s="8"/>
      <c r="AN229" s="7"/>
      <c r="AO229" s="8"/>
      <c r="AP229" s="8"/>
      <c r="AR229" s="8"/>
      <c r="AS229" s="9"/>
      <c r="AW229" s="9"/>
      <c r="AX229" s="7"/>
      <c r="AY229" s="8"/>
      <c r="BA229" s="6"/>
    </row>
    <row r="230" customFormat="false" ht="18" hidden="false" customHeight="true" outlineLevel="0" collapsed="false">
      <c r="C230" s="6"/>
      <c r="V230" s="7"/>
      <c r="W230" s="7"/>
      <c r="X230" s="7"/>
      <c r="Y230" s="7"/>
      <c r="Z230" s="7"/>
      <c r="AA230" s="7"/>
      <c r="AB230" s="7"/>
      <c r="AC230" s="7"/>
      <c r="AD230" s="7"/>
      <c r="AM230" s="8"/>
      <c r="AN230" s="7"/>
      <c r="AO230" s="8"/>
      <c r="AP230" s="8"/>
      <c r="AR230" s="8"/>
      <c r="AS230" s="9"/>
      <c r="AW230" s="9"/>
      <c r="AX230" s="7"/>
      <c r="AY230" s="8"/>
      <c r="BA230" s="6"/>
    </row>
    <row r="231" customFormat="false" ht="18" hidden="false" customHeight="true" outlineLevel="0" collapsed="false">
      <c r="C231" s="6"/>
      <c r="V231" s="7"/>
      <c r="W231" s="7"/>
      <c r="X231" s="7"/>
      <c r="Y231" s="7"/>
      <c r="Z231" s="7"/>
      <c r="AA231" s="7"/>
      <c r="AB231" s="7"/>
      <c r="AC231" s="7"/>
      <c r="AD231" s="7"/>
      <c r="AM231" s="8"/>
      <c r="AN231" s="7"/>
      <c r="AO231" s="8"/>
      <c r="AP231" s="8"/>
      <c r="AR231" s="8"/>
      <c r="AS231" s="9"/>
      <c r="AW231" s="9"/>
      <c r="AX231" s="7"/>
      <c r="AY231" s="8"/>
      <c r="BA231" s="6"/>
    </row>
    <row r="232" customFormat="false" ht="18" hidden="false" customHeight="true" outlineLevel="0" collapsed="false">
      <c r="C232" s="6"/>
      <c r="V232" s="7"/>
      <c r="W232" s="7"/>
      <c r="X232" s="7"/>
      <c r="Y232" s="7"/>
      <c r="Z232" s="7"/>
      <c r="AA232" s="7"/>
      <c r="AB232" s="7"/>
      <c r="AC232" s="7"/>
      <c r="AD232" s="7"/>
      <c r="AM232" s="8"/>
      <c r="AN232" s="7"/>
      <c r="AO232" s="8"/>
      <c r="AP232" s="8"/>
      <c r="AR232" s="8"/>
      <c r="AS232" s="9"/>
      <c r="AW232" s="9"/>
      <c r="AX232" s="7"/>
      <c r="AY232" s="8"/>
      <c r="BA232" s="6"/>
    </row>
    <row r="233" customFormat="false" ht="18" hidden="false" customHeight="true" outlineLevel="0" collapsed="false">
      <c r="C233" s="6"/>
      <c r="V233" s="7"/>
      <c r="W233" s="7"/>
      <c r="X233" s="7"/>
      <c r="Y233" s="7"/>
      <c r="Z233" s="7"/>
      <c r="AA233" s="7"/>
      <c r="AB233" s="7"/>
      <c r="AC233" s="7"/>
      <c r="AD233" s="7"/>
      <c r="AM233" s="8"/>
      <c r="AN233" s="7"/>
      <c r="AO233" s="8"/>
      <c r="AP233" s="8"/>
      <c r="AR233" s="8"/>
      <c r="AS233" s="9"/>
      <c r="AW233" s="9"/>
      <c r="AX233" s="7"/>
      <c r="AY233" s="8"/>
      <c r="BA233" s="6"/>
    </row>
    <row r="234" customFormat="false" ht="18" hidden="false" customHeight="true" outlineLevel="0" collapsed="false">
      <c r="C234" s="6"/>
      <c r="V234" s="7"/>
      <c r="W234" s="7"/>
      <c r="X234" s="7"/>
      <c r="Y234" s="7"/>
      <c r="Z234" s="7"/>
      <c r="AA234" s="7"/>
      <c r="AB234" s="7"/>
      <c r="AC234" s="7"/>
      <c r="AD234" s="7"/>
      <c r="AM234" s="8"/>
      <c r="AN234" s="7"/>
      <c r="AO234" s="8"/>
      <c r="AP234" s="8"/>
      <c r="AR234" s="8"/>
      <c r="AS234" s="9"/>
      <c r="AW234" s="9"/>
      <c r="AX234" s="7"/>
      <c r="AY234" s="8"/>
      <c r="BA234" s="6"/>
    </row>
    <row r="235" customFormat="false" ht="18" hidden="false" customHeight="true" outlineLevel="0" collapsed="false">
      <c r="C235" s="6"/>
      <c r="V235" s="7"/>
      <c r="W235" s="7"/>
      <c r="X235" s="7"/>
      <c r="Y235" s="7"/>
      <c r="Z235" s="7"/>
      <c r="AA235" s="7"/>
      <c r="AB235" s="7"/>
      <c r="AC235" s="7"/>
      <c r="AD235" s="7"/>
      <c r="AM235" s="8"/>
      <c r="AN235" s="7"/>
      <c r="AO235" s="8"/>
      <c r="AP235" s="8"/>
      <c r="AR235" s="8"/>
      <c r="AS235" s="9"/>
      <c r="AW235" s="9"/>
      <c r="AX235" s="7"/>
      <c r="AY235" s="8"/>
      <c r="BA235" s="6"/>
    </row>
    <row r="236" customFormat="false" ht="18" hidden="false" customHeight="true" outlineLevel="0" collapsed="false">
      <c r="C236" s="6"/>
      <c r="V236" s="7"/>
      <c r="W236" s="7"/>
      <c r="X236" s="7"/>
      <c r="Y236" s="7"/>
      <c r="Z236" s="7"/>
      <c r="AA236" s="7"/>
      <c r="AB236" s="7"/>
      <c r="AC236" s="7"/>
      <c r="AD236" s="7"/>
      <c r="AM236" s="8"/>
      <c r="AN236" s="7"/>
      <c r="AO236" s="8"/>
      <c r="AP236" s="8"/>
      <c r="AR236" s="8"/>
      <c r="AS236" s="9"/>
      <c r="AW236" s="9"/>
      <c r="AX236" s="7"/>
      <c r="AY236" s="8"/>
      <c r="BA236" s="6"/>
    </row>
    <row r="237" customFormat="false" ht="18" hidden="false" customHeight="true" outlineLevel="0" collapsed="false">
      <c r="C237" s="6"/>
      <c r="V237" s="7"/>
      <c r="W237" s="7"/>
      <c r="X237" s="7"/>
      <c r="Y237" s="7"/>
      <c r="Z237" s="7"/>
      <c r="AA237" s="7"/>
      <c r="AB237" s="7"/>
      <c r="AC237" s="7"/>
      <c r="AD237" s="7"/>
      <c r="AM237" s="8"/>
      <c r="AN237" s="7"/>
      <c r="AO237" s="8"/>
      <c r="AP237" s="8"/>
      <c r="AR237" s="8"/>
      <c r="AS237" s="9"/>
      <c r="AW237" s="9"/>
      <c r="AX237" s="7"/>
      <c r="AY237" s="8"/>
      <c r="BA237" s="6"/>
    </row>
    <row r="238" customFormat="false" ht="18" hidden="false" customHeight="true" outlineLevel="0" collapsed="false">
      <c r="C238" s="6"/>
      <c r="V238" s="7"/>
      <c r="W238" s="7"/>
      <c r="X238" s="7"/>
      <c r="Y238" s="7"/>
      <c r="Z238" s="7"/>
      <c r="AA238" s="7"/>
      <c r="AB238" s="7"/>
      <c r="AC238" s="7"/>
      <c r="AD238" s="7"/>
      <c r="AM238" s="8"/>
      <c r="AN238" s="7"/>
      <c r="AO238" s="8"/>
      <c r="AP238" s="8"/>
      <c r="AR238" s="8"/>
      <c r="AS238" s="9"/>
      <c r="AW238" s="9"/>
      <c r="AX238" s="7"/>
      <c r="AY238" s="8"/>
      <c r="BA238" s="6"/>
    </row>
    <row r="239" customFormat="false" ht="18" hidden="false" customHeight="true" outlineLevel="0" collapsed="false">
      <c r="C239" s="6"/>
      <c r="V239" s="7"/>
      <c r="W239" s="7"/>
      <c r="X239" s="7"/>
      <c r="Y239" s="7"/>
      <c r="Z239" s="7"/>
      <c r="AA239" s="7"/>
      <c r="AB239" s="7"/>
      <c r="AC239" s="7"/>
      <c r="AD239" s="7"/>
      <c r="AM239" s="8"/>
      <c r="AN239" s="7"/>
      <c r="AO239" s="8"/>
      <c r="AP239" s="8"/>
      <c r="AR239" s="8"/>
      <c r="AS239" s="9"/>
      <c r="AW239" s="9"/>
      <c r="AX239" s="7"/>
      <c r="AY239" s="8"/>
      <c r="BA239" s="6"/>
    </row>
    <row r="240" customFormat="false" ht="18" hidden="false" customHeight="true" outlineLevel="0" collapsed="false">
      <c r="C240" s="6"/>
      <c r="V240" s="7"/>
      <c r="W240" s="7"/>
      <c r="X240" s="7"/>
      <c r="Y240" s="7"/>
      <c r="Z240" s="7"/>
      <c r="AA240" s="7"/>
      <c r="AB240" s="7"/>
      <c r="AC240" s="7"/>
      <c r="AD240" s="7"/>
      <c r="AM240" s="8"/>
      <c r="AN240" s="7"/>
      <c r="AO240" s="8"/>
      <c r="AP240" s="8"/>
      <c r="AR240" s="8"/>
      <c r="AS240" s="9"/>
      <c r="AW240" s="9"/>
      <c r="AX240" s="7"/>
      <c r="AY240" s="8"/>
      <c r="BA240" s="6"/>
    </row>
    <row r="241" customFormat="false" ht="18" hidden="false" customHeight="true" outlineLevel="0" collapsed="false">
      <c r="C241" s="6"/>
      <c r="V241" s="7"/>
      <c r="W241" s="7"/>
      <c r="X241" s="7"/>
      <c r="Y241" s="7"/>
      <c r="Z241" s="7"/>
      <c r="AA241" s="7"/>
      <c r="AB241" s="7"/>
      <c r="AC241" s="7"/>
      <c r="AD241" s="7"/>
      <c r="AM241" s="8"/>
      <c r="AN241" s="7"/>
      <c r="AO241" s="8"/>
      <c r="AP241" s="8"/>
      <c r="AR241" s="8"/>
      <c r="AS241" s="9"/>
      <c r="AW241" s="9"/>
      <c r="AX241" s="7"/>
      <c r="AY241" s="8"/>
      <c r="BA241" s="6"/>
    </row>
    <row r="242" customFormat="false" ht="18" hidden="false" customHeight="true" outlineLevel="0" collapsed="false">
      <c r="C242" s="6"/>
      <c r="V242" s="7"/>
      <c r="W242" s="7"/>
      <c r="X242" s="7"/>
      <c r="Y242" s="7"/>
      <c r="Z242" s="7"/>
      <c r="AA242" s="7"/>
      <c r="AB242" s="7"/>
      <c r="AC242" s="7"/>
      <c r="AD242" s="7"/>
      <c r="AM242" s="8"/>
      <c r="AN242" s="7"/>
      <c r="AO242" s="8"/>
      <c r="AP242" s="8"/>
      <c r="AR242" s="8"/>
      <c r="AS242" s="9"/>
      <c r="AW242" s="9"/>
      <c r="AX242" s="7"/>
      <c r="AY242" s="8"/>
      <c r="BA242" s="6"/>
    </row>
    <row r="243" customFormat="false" ht="18" hidden="false" customHeight="true" outlineLevel="0" collapsed="false">
      <c r="C243" s="6"/>
      <c r="V243" s="7"/>
      <c r="W243" s="7"/>
      <c r="X243" s="7"/>
      <c r="Y243" s="7"/>
      <c r="Z243" s="7"/>
      <c r="AA243" s="7"/>
      <c r="AB243" s="7"/>
      <c r="AC243" s="7"/>
      <c r="AD243" s="7"/>
      <c r="AM243" s="8"/>
      <c r="AN243" s="7"/>
      <c r="AO243" s="8"/>
      <c r="AP243" s="8"/>
      <c r="AR243" s="8"/>
      <c r="AS243" s="9"/>
      <c r="AW243" s="9"/>
      <c r="AX243" s="7"/>
      <c r="AY243" s="8"/>
      <c r="BA243" s="6"/>
    </row>
    <row r="244" customFormat="false" ht="18" hidden="false" customHeight="true" outlineLevel="0" collapsed="false">
      <c r="C244" s="6"/>
      <c r="V244" s="7"/>
      <c r="W244" s="7"/>
      <c r="X244" s="7"/>
      <c r="Y244" s="7"/>
      <c r="Z244" s="7"/>
      <c r="AA244" s="7"/>
      <c r="AB244" s="7"/>
      <c r="AC244" s="7"/>
      <c r="AD244" s="7"/>
      <c r="AM244" s="8"/>
      <c r="AN244" s="7"/>
      <c r="AO244" s="8"/>
      <c r="AP244" s="8"/>
      <c r="AR244" s="8"/>
      <c r="AS244" s="9"/>
      <c r="AW244" s="9"/>
      <c r="AX244" s="7"/>
      <c r="AY244" s="8"/>
      <c r="BA244" s="6"/>
    </row>
    <row r="245" customFormat="false" ht="18" hidden="false" customHeight="true" outlineLevel="0" collapsed="false">
      <c r="C245" s="6"/>
      <c r="V245" s="7"/>
      <c r="W245" s="7"/>
      <c r="X245" s="7"/>
      <c r="Y245" s="7"/>
      <c r="Z245" s="7"/>
      <c r="AA245" s="7"/>
      <c r="AB245" s="7"/>
      <c r="AC245" s="7"/>
      <c r="AD245" s="7"/>
      <c r="AM245" s="8"/>
      <c r="AN245" s="7"/>
      <c r="AO245" s="8"/>
      <c r="AP245" s="8"/>
      <c r="AR245" s="8"/>
      <c r="AS245" s="9"/>
      <c r="AW245" s="9"/>
      <c r="AX245" s="7"/>
      <c r="AY245" s="8"/>
      <c r="BA245" s="6"/>
    </row>
    <row r="246" customFormat="false" ht="18" hidden="false" customHeight="true" outlineLevel="0" collapsed="false">
      <c r="C246" s="6"/>
      <c r="V246" s="7"/>
      <c r="W246" s="7"/>
      <c r="X246" s="7"/>
      <c r="Y246" s="7"/>
      <c r="Z246" s="7"/>
      <c r="AA246" s="7"/>
      <c r="AB246" s="7"/>
      <c r="AC246" s="7"/>
      <c r="AD246" s="7"/>
      <c r="AM246" s="8"/>
      <c r="AN246" s="7"/>
      <c r="AO246" s="8"/>
      <c r="AP246" s="8"/>
      <c r="AR246" s="8"/>
      <c r="AS246" s="9"/>
      <c r="AW246" s="9"/>
      <c r="AX246" s="7"/>
      <c r="AY246" s="8"/>
      <c r="BA246" s="6"/>
    </row>
    <row r="247" customFormat="false" ht="18" hidden="false" customHeight="true" outlineLevel="0" collapsed="false">
      <c r="C247" s="6"/>
      <c r="V247" s="7"/>
      <c r="W247" s="7"/>
      <c r="X247" s="7"/>
      <c r="Y247" s="7"/>
      <c r="Z247" s="7"/>
      <c r="AA247" s="7"/>
      <c r="AB247" s="7"/>
      <c r="AC247" s="7"/>
      <c r="AD247" s="7"/>
      <c r="AM247" s="8"/>
      <c r="AN247" s="7"/>
      <c r="AO247" s="8"/>
      <c r="AP247" s="8"/>
      <c r="AR247" s="8"/>
      <c r="AS247" s="9"/>
      <c r="AW247" s="9"/>
      <c r="AX247" s="7"/>
      <c r="AY247" s="8"/>
      <c r="BA247" s="6"/>
    </row>
    <row r="248" customFormat="false" ht="18" hidden="false" customHeight="true" outlineLevel="0" collapsed="false">
      <c r="C248" s="6"/>
      <c r="V248" s="7"/>
      <c r="W248" s="7"/>
      <c r="X248" s="7"/>
      <c r="Y248" s="7"/>
      <c r="Z248" s="7"/>
      <c r="AA248" s="7"/>
      <c r="AB248" s="7"/>
      <c r="AC248" s="7"/>
      <c r="AD248" s="7"/>
      <c r="AM248" s="8"/>
      <c r="AN248" s="7"/>
      <c r="AO248" s="8"/>
      <c r="AP248" s="8"/>
      <c r="AR248" s="8"/>
      <c r="AS248" s="9"/>
      <c r="AW248" s="9"/>
      <c r="AX248" s="7"/>
      <c r="AY248" s="8"/>
      <c r="BA248" s="6"/>
    </row>
    <row r="249" customFormat="false" ht="18" hidden="false" customHeight="true" outlineLevel="0" collapsed="false">
      <c r="C249" s="6"/>
      <c r="V249" s="7"/>
      <c r="W249" s="7"/>
      <c r="X249" s="7"/>
      <c r="Y249" s="7"/>
      <c r="Z249" s="7"/>
      <c r="AA249" s="7"/>
      <c r="AB249" s="7"/>
      <c r="AC249" s="7"/>
      <c r="AD249" s="7"/>
      <c r="AM249" s="8"/>
      <c r="AN249" s="7"/>
      <c r="AO249" s="8"/>
      <c r="AP249" s="8"/>
      <c r="AR249" s="8"/>
      <c r="AS249" s="9"/>
      <c r="AW249" s="9"/>
      <c r="AX249" s="7"/>
      <c r="AY249" s="8"/>
      <c r="BA249" s="6"/>
    </row>
    <row r="250" customFormat="false" ht="18" hidden="false" customHeight="true" outlineLevel="0" collapsed="false">
      <c r="C250" s="6"/>
      <c r="V250" s="7"/>
      <c r="W250" s="7"/>
      <c r="X250" s="7"/>
      <c r="Y250" s="7"/>
      <c r="Z250" s="7"/>
      <c r="AA250" s="7"/>
      <c r="AB250" s="7"/>
      <c r="AC250" s="7"/>
      <c r="AD250" s="7"/>
      <c r="AM250" s="8"/>
      <c r="AN250" s="7"/>
      <c r="AO250" s="8"/>
      <c r="AP250" s="8"/>
      <c r="AR250" s="8"/>
      <c r="AS250" s="9"/>
      <c r="AW250" s="9"/>
      <c r="AX250" s="7"/>
      <c r="AY250" s="8"/>
      <c r="BA250" s="6"/>
    </row>
    <row r="251" customFormat="false" ht="18" hidden="false" customHeight="true" outlineLevel="0" collapsed="false">
      <c r="C251" s="6"/>
      <c r="V251" s="7"/>
      <c r="W251" s="7"/>
      <c r="X251" s="7"/>
      <c r="Y251" s="7"/>
      <c r="Z251" s="7"/>
      <c r="AA251" s="7"/>
      <c r="AB251" s="7"/>
      <c r="AC251" s="7"/>
      <c r="AD251" s="7"/>
      <c r="AM251" s="8"/>
      <c r="AN251" s="7"/>
      <c r="AO251" s="8"/>
      <c r="AP251" s="8"/>
      <c r="AR251" s="8"/>
      <c r="AS251" s="9"/>
      <c r="AW251" s="9"/>
      <c r="AX251" s="7"/>
      <c r="AY251" s="8"/>
      <c r="BA251" s="6"/>
    </row>
    <row r="252" customFormat="false" ht="18" hidden="false" customHeight="true" outlineLevel="0" collapsed="false">
      <c r="C252" s="6"/>
      <c r="V252" s="7"/>
      <c r="W252" s="7"/>
      <c r="X252" s="7"/>
      <c r="Y252" s="7"/>
      <c r="Z252" s="7"/>
      <c r="AA252" s="7"/>
      <c r="AB252" s="7"/>
      <c r="AC252" s="7"/>
      <c r="AD252" s="7"/>
      <c r="AM252" s="8"/>
      <c r="AN252" s="7"/>
      <c r="AO252" s="8"/>
      <c r="AP252" s="8"/>
      <c r="AR252" s="8"/>
      <c r="AS252" s="9"/>
      <c r="AW252" s="9"/>
      <c r="AX252" s="7"/>
      <c r="AY252" s="8"/>
      <c r="BA252" s="6"/>
    </row>
    <row r="253" customFormat="false" ht="18" hidden="false" customHeight="true" outlineLevel="0" collapsed="false">
      <c r="C253" s="6"/>
      <c r="V253" s="7"/>
      <c r="W253" s="7"/>
      <c r="X253" s="7"/>
      <c r="Y253" s="7"/>
      <c r="Z253" s="7"/>
      <c r="AA253" s="7"/>
      <c r="AB253" s="7"/>
      <c r="AC253" s="7"/>
      <c r="AD253" s="7"/>
      <c r="AM253" s="8"/>
      <c r="AN253" s="7"/>
      <c r="AO253" s="8"/>
      <c r="AP253" s="8"/>
      <c r="AR253" s="8"/>
      <c r="AS253" s="9"/>
      <c r="AW253" s="9"/>
      <c r="AX253" s="7"/>
      <c r="AY253" s="8"/>
      <c r="BA253" s="6"/>
    </row>
    <row r="254" customFormat="false" ht="18" hidden="false" customHeight="true" outlineLevel="0" collapsed="false">
      <c r="C254" s="6"/>
      <c r="V254" s="7"/>
      <c r="W254" s="7"/>
      <c r="X254" s="7"/>
      <c r="Y254" s="7"/>
      <c r="Z254" s="7"/>
      <c r="AA254" s="7"/>
      <c r="AB254" s="7"/>
      <c r="AC254" s="7"/>
      <c r="AD254" s="7"/>
      <c r="AM254" s="8"/>
      <c r="AN254" s="7"/>
      <c r="AO254" s="8"/>
      <c r="AP254" s="8"/>
      <c r="AR254" s="8"/>
      <c r="AS254" s="9"/>
      <c r="AW254" s="9"/>
      <c r="AX254" s="7"/>
      <c r="AY254" s="8"/>
      <c r="BA254" s="6"/>
    </row>
    <row r="255" customFormat="false" ht="18" hidden="false" customHeight="true" outlineLevel="0" collapsed="false">
      <c r="C255" s="6"/>
      <c r="V255" s="7"/>
      <c r="W255" s="7"/>
      <c r="X255" s="7"/>
      <c r="Y255" s="7"/>
      <c r="Z255" s="7"/>
      <c r="AA255" s="7"/>
      <c r="AB255" s="7"/>
      <c r="AC255" s="7"/>
      <c r="AD255" s="7"/>
      <c r="AM255" s="8"/>
      <c r="AN255" s="7"/>
      <c r="AO255" s="8"/>
      <c r="AP255" s="8"/>
      <c r="AR255" s="8"/>
      <c r="AS255" s="9"/>
      <c r="AW255" s="9"/>
      <c r="AX255" s="7"/>
      <c r="AY255" s="8"/>
      <c r="BA255" s="6"/>
    </row>
    <row r="256" customFormat="false" ht="18" hidden="false" customHeight="true" outlineLevel="0" collapsed="false">
      <c r="C256" s="6"/>
      <c r="V256" s="7"/>
      <c r="W256" s="7"/>
      <c r="X256" s="7"/>
      <c r="Y256" s="7"/>
      <c r="Z256" s="7"/>
      <c r="AA256" s="7"/>
      <c r="AB256" s="7"/>
      <c r="AC256" s="7"/>
      <c r="AD256" s="7"/>
      <c r="AM256" s="8"/>
      <c r="AN256" s="7"/>
      <c r="AO256" s="8"/>
      <c r="AP256" s="8"/>
      <c r="AR256" s="8"/>
      <c r="AS256" s="9"/>
      <c r="AW256" s="9"/>
      <c r="AX256" s="7"/>
      <c r="AY256" s="8"/>
      <c r="BA256" s="6"/>
    </row>
    <row r="257" customFormat="false" ht="18" hidden="false" customHeight="true" outlineLevel="0" collapsed="false">
      <c r="C257" s="6"/>
      <c r="V257" s="7"/>
      <c r="W257" s="7"/>
      <c r="X257" s="7"/>
      <c r="Y257" s="7"/>
      <c r="Z257" s="7"/>
      <c r="AA257" s="7"/>
      <c r="AB257" s="7"/>
      <c r="AC257" s="7"/>
      <c r="AD257" s="7"/>
      <c r="AM257" s="8"/>
      <c r="AN257" s="7"/>
      <c r="AO257" s="8"/>
      <c r="AP257" s="8"/>
      <c r="AR257" s="8"/>
      <c r="AS257" s="9"/>
      <c r="AW257" s="9"/>
      <c r="AX257" s="7"/>
      <c r="AY257" s="8"/>
      <c r="BA257" s="6"/>
    </row>
    <row r="258" customFormat="false" ht="18" hidden="false" customHeight="true" outlineLevel="0" collapsed="false">
      <c r="C258" s="6"/>
      <c r="V258" s="7"/>
      <c r="W258" s="7"/>
      <c r="X258" s="7"/>
      <c r="Y258" s="7"/>
      <c r="Z258" s="7"/>
      <c r="AA258" s="7"/>
      <c r="AB258" s="7"/>
      <c r="AC258" s="7"/>
      <c r="AD258" s="7"/>
      <c r="AM258" s="8"/>
      <c r="AN258" s="7"/>
      <c r="AO258" s="8"/>
      <c r="AP258" s="8"/>
      <c r="AR258" s="8"/>
      <c r="AS258" s="9"/>
      <c r="AW258" s="9"/>
      <c r="AX258" s="7"/>
      <c r="AY258" s="8"/>
      <c r="BA258" s="6"/>
    </row>
    <row r="259" customFormat="false" ht="18" hidden="false" customHeight="true" outlineLevel="0" collapsed="false">
      <c r="C259" s="6"/>
      <c r="V259" s="7"/>
      <c r="W259" s="7"/>
      <c r="X259" s="7"/>
      <c r="Y259" s="7"/>
      <c r="Z259" s="7"/>
      <c r="AA259" s="7"/>
      <c r="AB259" s="7"/>
      <c r="AC259" s="7"/>
      <c r="AD259" s="7"/>
      <c r="AM259" s="8"/>
      <c r="AN259" s="7"/>
      <c r="AO259" s="8"/>
      <c r="AP259" s="8"/>
      <c r="AR259" s="8"/>
      <c r="AS259" s="9"/>
      <c r="AW259" s="9"/>
      <c r="AX259" s="7"/>
      <c r="AY259" s="8"/>
      <c r="BA259" s="6"/>
    </row>
    <row r="260" customFormat="false" ht="18" hidden="false" customHeight="true" outlineLevel="0" collapsed="false">
      <c r="C260" s="6"/>
      <c r="V260" s="7"/>
      <c r="W260" s="7"/>
      <c r="X260" s="7"/>
      <c r="Y260" s="7"/>
      <c r="Z260" s="7"/>
      <c r="AA260" s="7"/>
      <c r="AB260" s="7"/>
      <c r="AC260" s="7"/>
      <c r="AD260" s="7"/>
      <c r="AM260" s="8"/>
      <c r="AN260" s="7"/>
      <c r="AO260" s="8"/>
      <c r="AP260" s="8"/>
      <c r="AR260" s="8"/>
      <c r="AS260" s="9"/>
      <c r="AW260" s="9"/>
      <c r="AX260" s="7"/>
      <c r="AY260" s="8"/>
      <c r="BA260" s="6"/>
    </row>
    <row r="261" customFormat="false" ht="18" hidden="false" customHeight="true" outlineLevel="0" collapsed="false">
      <c r="C261" s="6"/>
      <c r="V261" s="7"/>
      <c r="W261" s="7"/>
      <c r="X261" s="7"/>
      <c r="Y261" s="7"/>
      <c r="Z261" s="7"/>
      <c r="AA261" s="7"/>
      <c r="AB261" s="7"/>
      <c r="AC261" s="7"/>
      <c r="AD261" s="7"/>
      <c r="AM261" s="8"/>
      <c r="AN261" s="7"/>
      <c r="AO261" s="8"/>
      <c r="AP261" s="8"/>
      <c r="AR261" s="8"/>
      <c r="AS261" s="9"/>
      <c r="AW261" s="9"/>
      <c r="AX261" s="7"/>
      <c r="AY261" s="8"/>
      <c r="BA261" s="6"/>
    </row>
    <row r="262" customFormat="false" ht="18" hidden="false" customHeight="true" outlineLevel="0" collapsed="false">
      <c r="C262" s="6"/>
      <c r="V262" s="7"/>
      <c r="W262" s="7"/>
      <c r="X262" s="7"/>
      <c r="Y262" s="7"/>
      <c r="Z262" s="7"/>
      <c r="AA262" s="7"/>
      <c r="AB262" s="7"/>
      <c r="AC262" s="7"/>
      <c r="AD262" s="7"/>
      <c r="AM262" s="8"/>
      <c r="AN262" s="7"/>
      <c r="AO262" s="8"/>
      <c r="AP262" s="8"/>
      <c r="AR262" s="8"/>
      <c r="AS262" s="9"/>
      <c r="AW262" s="9"/>
      <c r="AX262" s="7"/>
      <c r="AY262" s="8"/>
      <c r="BA262" s="6"/>
    </row>
    <row r="263" customFormat="false" ht="18" hidden="false" customHeight="true" outlineLevel="0" collapsed="false">
      <c r="C263" s="6"/>
      <c r="V263" s="7"/>
      <c r="W263" s="7"/>
      <c r="X263" s="7"/>
      <c r="Y263" s="7"/>
      <c r="Z263" s="7"/>
      <c r="AA263" s="7"/>
      <c r="AB263" s="7"/>
      <c r="AC263" s="7"/>
      <c r="AD263" s="7"/>
      <c r="AM263" s="8"/>
      <c r="AN263" s="7"/>
      <c r="AO263" s="8"/>
      <c r="AP263" s="8"/>
      <c r="AR263" s="8"/>
      <c r="AS263" s="9"/>
      <c r="AW263" s="9"/>
      <c r="AX263" s="7"/>
      <c r="AY263" s="8"/>
      <c r="BA263" s="6"/>
    </row>
    <row r="264" customFormat="false" ht="18" hidden="false" customHeight="true" outlineLevel="0" collapsed="false">
      <c r="C264" s="6"/>
      <c r="V264" s="7"/>
      <c r="W264" s="7"/>
      <c r="X264" s="7"/>
      <c r="Y264" s="7"/>
      <c r="Z264" s="7"/>
      <c r="AA264" s="7"/>
      <c r="AB264" s="7"/>
      <c r="AC264" s="7"/>
      <c r="AD264" s="7"/>
      <c r="AM264" s="8"/>
      <c r="AN264" s="7"/>
      <c r="AO264" s="8"/>
      <c r="AP264" s="8"/>
      <c r="AR264" s="8"/>
      <c r="AS264" s="9"/>
      <c r="AW264" s="9"/>
      <c r="AX264" s="7"/>
      <c r="AY264" s="8"/>
      <c r="BA264" s="6"/>
    </row>
    <row r="265" customFormat="false" ht="18" hidden="false" customHeight="true" outlineLevel="0" collapsed="false">
      <c r="C265" s="6"/>
      <c r="V265" s="7"/>
      <c r="W265" s="7"/>
      <c r="X265" s="7"/>
      <c r="Y265" s="7"/>
      <c r="Z265" s="7"/>
      <c r="AA265" s="7"/>
      <c r="AB265" s="7"/>
      <c r="AC265" s="7"/>
      <c r="AD265" s="7"/>
      <c r="AM265" s="8"/>
      <c r="AN265" s="7"/>
      <c r="AO265" s="8"/>
      <c r="AP265" s="8"/>
      <c r="AR265" s="8"/>
      <c r="AS265" s="9"/>
      <c r="AW265" s="9"/>
      <c r="AX265" s="7"/>
      <c r="AY265" s="8"/>
      <c r="BA265" s="6"/>
    </row>
    <row r="266" customFormat="false" ht="18" hidden="false" customHeight="true" outlineLevel="0" collapsed="false">
      <c r="C266" s="6"/>
      <c r="V266" s="7"/>
      <c r="W266" s="7"/>
      <c r="X266" s="7"/>
      <c r="Y266" s="7"/>
      <c r="Z266" s="7"/>
      <c r="AA266" s="7"/>
      <c r="AB266" s="7"/>
      <c r="AC266" s="7"/>
      <c r="AD266" s="7"/>
      <c r="AM266" s="8"/>
      <c r="AN266" s="7"/>
      <c r="AO266" s="8"/>
      <c r="AP266" s="8"/>
      <c r="AR266" s="8"/>
      <c r="AS266" s="9"/>
      <c r="AW266" s="9"/>
      <c r="AX266" s="7"/>
      <c r="AY266" s="8"/>
      <c r="BA266" s="6"/>
    </row>
    <row r="267" customFormat="false" ht="18" hidden="false" customHeight="true" outlineLevel="0" collapsed="false">
      <c r="C267" s="6"/>
      <c r="V267" s="7"/>
      <c r="W267" s="7"/>
      <c r="X267" s="7"/>
      <c r="Y267" s="7"/>
      <c r="Z267" s="7"/>
      <c r="AA267" s="7"/>
      <c r="AB267" s="7"/>
      <c r="AC267" s="7"/>
      <c r="AD267" s="7"/>
      <c r="AM267" s="8"/>
      <c r="AN267" s="7"/>
      <c r="AO267" s="8"/>
      <c r="AP267" s="8"/>
      <c r="AR267" s="8"/>
      <c r="AS267" s="9"/>
      <c r="AW267" s="9"/>
      <c r="AX267" s="7"/>
      <c r="AY267" s="8"/>
      <c r="BA267" s="6"/>
    </row>
    <row r="268" customFormat="false" ht="18" hidden="false" customHeight="true" outlineLevel="0" collapsed="false">
      <c r="C268" s="6"/>
      <c r="V268" s="7"/>
      <c r="W268" s="7"/>
      <c r="X268" s="7"/>
      <c r="Y268" s="7"/>
      <c r="Z268" s="7"/>
      <c r="AA268" s="7"/>
      <c r="AB268" s="7"/>
      <c r="AC268" s="7"/>
      <c r="AD268" s="7"/>
      <c r="AM268" s="8"/>
      <c r="AN268" s="7"/>
      <c r="AO268" s="8"/>
      <c r="AP268" s="8"/>
      <c r="AR268" s="8"/>
      <c r="AS268" s="9"/>
      <c r="AW268" s="9"/>
      <c r="AX268" s="7"/>
      <c r="AY268" s="8"/>
      <c r="BA268" s="6"/>
    </row>
    <row r="269" customFormat="false" ht="18" hidden="false" customHeight="true" outlineLevel="0" collapsed="false">
      <c r="C269" s="6"/>
      <c r="V269" s="7"/>
      <c r="W269" s="7"/>
      <c r="X269" s="7"/>
      <c r="Y269" s="7"/>
      <c r="Z269" s="7"/>
      <c r="AA269" s="7"/>
      <c r="AB269" s="7"/>
      <c r="AC269" s="7"/>
      <c r="AD269" s="7"/>
      <c r="AM269" s="8"/>
      <c r="AN269" s="7"/>
      <c r="AO269" s="8"/>
      <c r="AP269" s="8"/>
      <c r="AR269" s="8"/>
      <c r="AS269" s="9"/>
      <c r="AW269" s="9"/>
      <c r="AX269" s="7"/>
      <c r="AY269" s="8"/>
      <c r="BA269" s="6"/>
    </row>
    <row r="270" customFormat="false" ht="18" hidden="false" customHeight="true" outlineLevel="0" collapsed="false">
      <c r="C270" s="6"/>
      <c r="V270" s="7"/>
      <c r="W270" s="7"/>
      <c r="X270" s="7"/>
      <c r="Y270" s="7"/>
      <c r="Z270" s="7"/>
      <c r="AA270" s="7"/>
      <c r="AB270" s="7"/>
      <c r="AC270" s="7"/>
      <c r="AD270" s="7"/>
      <c r="AM270" s="8"/>
      <c r="AN270" s="7"/>
      <c r="AO270" s="8"/>
      <c r="AP270" s="8"/>
      <c r="AR270" s="8"/>
      <c r="AS270" s="9"/>
      <c r="AW270" s="9"/>
      <c r="AX270" s="7"/>
      <c r="AY270" s="8"/>
      <c r="BA270" s="6"/>
    </row>
    <row r="271" customFormat="false" ht="18" hidden="false" customHeight="true" outlineLevel="0" collapsed="false">
      <c r="C271" s="6"/>
      <c r="V271" s="7"/>
      <c r="W271" s="7"/>
      <c r="X271" s="7"/>
      <c r="Y271" s="7"/>
      <c r="Z271" s="7"/>
      <c r="AA271" s="7"/>
      <c r="AB271" s="7"/>
      <c r="AC271" s="7"/>
      <c r="AD271" s="7"/>
      <c r="AM271" s="8"/>
      <c r="AN271" s="7"/>
      <c r="AO271" s="8"/>
      <c r="AP271" s="8"/>
      <c r="AR271" s="8"/>
      <c r="AS271" s="9"/>
      <c r="AW271" s="9"/>
      <c r="AX271" s="7"/>
      <c r="AY271" s="8"/>
      <c r="BA271" s="6"/>
    </row>
    <row r="272" customFormat="false" ht="18" hidden="false" customHeight="true" outlineLevel="0" collapsed="false">
      <c r="C272" s="6"/>
      <c r="V272" s="7"/>
      <c r="W272" s="7"/>
      <c r="X272" s="7"/>
      <c r="Y272" s="7"/>
      <c r="Z272" s="7"/>
      <c r="AA272" s="7"/>
      <c r="AB272" s="7"/>
      <c r="AC272" s="7"/>
      <c r="AD272" s="7"/>
      <c r="AM272" s="8"/>
      <c r="AN272" s="7"/>
      <c r="AO272" s="8"/>
      <c r="AP272" s="8"/>
      <c r="AR272" s="8"/>
      <c r="AS272" s="9"/>
      <c r="AW272" s="9"/>
      <c r="AX272" s="7"/>
      <c r="AY272" s="8"/>
      <c r="BA272" s="6"/>
    </row>
    <row r="273" customFormat="false" ht="18" hidden="false" customHeight="true" outlineLevel="0" collapsed="false">
      <c r="C273" s="6"/>
      <c r="V273" s="7"/>
      <c r="W273" s="7"/>
      <c r="X273" s="7"/>
      <c r="Y273" s="7"/>
      <c r="Z273" s="7"/>
      <c r="AA273" s="7"/>
      <c r="AB273" s="7"/>
      <c r="AC273" s="7"/>
      <c r="AD273" s="7"/>
      <c r="AM273" s="8"/>
      <c r="AN273" s="7"/>
      <c r="AO273" s="8"/>
      <c r="AP273" s="8"/>
      <c r="AR273" s="8"/>
      <c r="AS273" s="9"/>
      <c r="AW273" s="9"/>
      <c r="AX273" s="7"/>
      <c r="AY273" s="8"/>
      <c r="BA273" s="6"/>
    </row>
    <row r="274" customFormat="false" ht="18" hidden="false" customHeight="true" outlineLevel="0" collapsed="false">
      <c r="C274" s="6"/>
      <c r="V274" s="7"/>
      <c r="W274" s="7"/>
      <c r="X274" s="7"/>
      <c r="Y274" s="7"/>
      <c r="Z274" s="7"/>
      <c r="AA274" s="7"/>
      <c r="AB274" s="7"/>
      <c r="AC274" s="7"/>
      <c r="AD274" s="7"/>
      <c r="AM274" s="8"/>
      <c r="AN274" s="7"/>
      <c r="AO274" s="8"/>
      <c r="AP274" s="8"/>
      <c r="AR274" s="8"/>
      <c r="AS274" s="9"/>
      <c r="AW274" s="9"/>
      <c r="AX274" s="7"/>
      <c r="AY274" s="8"/>
      <c r="BA274" s="6"/>
    </row>
    <row r="275" customFormat="false" ht="18" hidden="false" customHeight="true" outlineLevel="0" collapsed="false">
      <c r="C275" s="6"/>
      <c r="V275" s="7"/>
      <c r="W275" s="7"/>
      <c r="X275" s="7"/>
      <c r="Y275" s="7"/>
      <c r="Z275" s="7"/>
      <c r="AA275" s="7"/>
      <c r="AB275" s="7"/>
      <c r="AC275" s="7"/>
      <c r="AD275" s="7"/>
      <c r="AM275" s="8"/>
      <c r="AN275" s="7"/>
      <c r="AO275" s="8"/>
      <c r="AP275" s="8"/>
      <c r="AR275" s="8"/>
      <c r="AS275" s="9"/>
      <c r="AW275" s="9"/>
      <c r="AX275" s="7"/>
      <c r="AY275" s="8"/>
      <c r="BA275" s="6"/>
    </row>
    <row r="276" customFormat="false" ht="18" hidden="false" customHeight="true" outlineLevel="0" collapsed="false">
      <c r="C276" s="6"/>
      <c r="V276" s="7"/>
      <c r="W276" s="7"/>
      <c r="X276" s="7"/>
      <c r="Y276" s="7"/>
      <c r="Z276" s="7"/>
      <c r="AA276" s="7"/>
      <c r="AB276" s="7"/>
      <c r="AC276" s="7"/>
      <c r="AD276" s="7"/>
      <c r="AM276" s="8"/>
      <c r="AN276" s="7"/>
      <c r="AO276" s="8"/>
      <c r="AP276" s="8"/>
      <c r="AR276" s="8"/>
      <c r="AS276" s="9"/>
      <c r="AW276" s="9"/>
      <c r="AX276" s="7"/>
      <c r="AY276" s="8"/>
      <c r="BA276" s="6"/>
    </row>
    <row r="277" customFormat="false" ht="18" hidden="false" customHeight="true" outlineLevel="0" collapsed="false">
      <c r="C277" s="6"/>
      <c r="V277" s="7"/>
      <c r="W277" s="7"/>
      <c r="X277" s="7"/>
      <c r="Y277" s="7"/>
      <c r="Z277" s="7"/>
      <c r="AA277" s="7"/>
      <c r="AB277" s="7"/>
      <c r="AC277" s="7"/>
      <c r="AD277" s="7"/>
      <c r="AM277" s="8"/>
      <c r="AN277" s="7"/>
      <c r="AO277" s="8"/>
      <c r="AP277" s="8"/>
      <c r="AR277" s="8"/>
      <c r="AS277" s="9"/>
      <c r="AW277" s="9"/>
      <c r="AX277" s="7"/>
      <c r="AY277" s="8"/>
      <c r="BA277" s="6"/>
    </row>
    <row r="278" customFormat="false" ht="18" hidden="false" customHeight="true" outlineLevel="0" collapsed="false">
      <c r="C278" s="6"/>
      <c r="V278" s="7"/>
      <c r="W278" s="7"/>
      <c r="X278" s="7"/>
      <c r="Y278" s="7"/>
      <c r="Z278" s="7"/>
      <c r="AA278" s="7"/>
      <c r="AB278" s="7"/>
      <c r="AC278" s="7"/>
      <c r="AD278" s="7"/>
      <c r="AM278" s="8"/>
      <c r="AN278" s="7"/>
      <c r="AO278" s="8"/>
      <c r="AP278" s="8"/>
      <c r="AR278" s="8"/>
      <c r="AS278" s="9"/>
      <c r="AW278" s="9"/>
      <c r="AX278" s="7"/>
      <c r="AY278" s="8"/>
      <c r="BA278" s="6"/>
    </row>
    <row r="279" customFormat="false" ht="18" hidden="false" customHeight="true" outlineLevel="0" collapsed="false">
      <c r="C279" s="6"/>
      <c r="V279" s="7"/>
      <c r="W279" s="7"/>
      <c r="X279" s="7"/>
      <c r="Y279" s="7"/>
      <c r="Z279" s="7"/>
      <c r="AA279" s="7"/>
      <c r="AB279" s="7"/>
      <c r="AC279" s="7"/>
      <c r="AD279" s="7"/>
      <c r="AM279" s="8"/>
      <c r="AN279" s="7"/>
      <c r="AO279" s="8"/>
      <c r="AP279" s="8"/>
      <c r="AR279" s="8"/>
      <c r="AS279" s="9"/>
      <c r="AW279" s="9"/>
      <c r="AX279" s="7"/>
      <c r="AY279" s="8"/>
      <c r="BA279" s="6"/>
    </row>
    <row r="280" customFormat="false" ht="18" hidden="false" customHeight="true" outlineLevel="0" collapsed="false">
      <c r="C280" s="6"/>
      <c r="V280" s="7"/>
      <c r="W280" s="7"/>
      <c r="X280" s="7"/>
      <c r="Y280" s="7"/>
      <c r="Z280" s="7"/>
      <c r="AA280" s="7"/>
      <c r="AB280" s="7"/>
      <c r="AC280" s="7"/>
      <c r="AD280" s="7"/>
      <c r="AM280" s="8"/>
      <c r="AN280" s="7"/>
      <c r="AO280" s="8"/>
      <c r="AP280" s="8"/>
      <c r="AR280" s="8"/>
      <c r="AS280" s="9"/>
      <c r="AW280" s="9"/>
      <c r="AX280" s="7"/>
      <c r="AY280" s="8"/>
      <c r="BA280" s="6"/>
    </row>
    <row r="281" customFormat="false" ht="18" hidden="false" customHeight="true" outlineLevel="0" collapsed="false">
      <c r="C281" s="6"/>
      <c r="V281" s="7"/>
      <c r="W281" s="7"/>
      <c r="X281" s="7"/>
      <c r="Y281" s="7"/>
      <c r="Z281" s="7"/>
      <c r="AA281" s="7"/>
      <c r="AB281" s="7"/>
      <c r="AC281" s="7"/>
      <c r="AD281" s="7"/>
      <c r="AM281" s="8"/>
      <c r="AN281" s="7"/>
      <c r="AO281" s="8"/>
      <c r="AP281" s="8"/>
      <c r="AR281" s="8"/>
      <c r="AS281" s="9"/>
      <c r="AW281" s="9"/>
      <c r="AX281" s="7"/>
      <c r="AY281" s="8"/>
      <c r="BA281" s="6"/>
    </row>
    <row r="282" customFormat="false" ht="18" hidden="false" customHeight="true" outlineLevel="0" collapsed="false">
      <c r="C282" s="6"/>
      <c r="V282" s="7"/>
      <c r="W282" s="7"/>
      <c r="X282" s="7"/>
      <c r="Y282" s="7"/>
      <c r="Z282" s="7"/>
      <c r="AA282" s="7"/>
      <c r="AB282" s="7"/>
      <c r="AC282" s="7"/>
      <c r="AD282" s="7"/>
      <c r="AM282" s="8"/>
      <c r="AN282" s="7"/>
      <c r="AO282" s="8"/>
      <c r="AP282" s="8"/>
      <c r="AR282" s="8"/>
      <c r="AS282" s="9"/>
      <c r="AW282" s="9"/>
      <c r="AX282" s="7"/>
      <c r="AY282" s="8"/>
      <c r="BA282" s="6"/>
    </row>
    <row r="283" customFormat="false" ht="18" hidden="false" customHeight="true" outlineLevel="0" collapsed="false">
      <c r="C283" s="6"/>
      <c r="V283" s="7"/>
      <c r="W283" s="7"/>
      <c r="X283" s="7"/>
      <c r="Y283" s="7"/>
      <c r="Z283" s="7"/>
      <c r="AA283" s="7"/>
      <c r="AB283" s="7"/>
      <c r="AC283" s="7"/>
      <c r="AD283" s="7"/>
      <c r="AM283" s="8"/>
      <c r="AN283" s="7"/>
      <c r="AO283" s="8"/>
      <c r="AP283" s="8"/>
      <c r="AR283" s="8"/>
      <c r="AS283" s="9"/>
      <c r="AW283" s="9"/>
      <c r="AX283" s="7"/>
      <c r="AY283" s="8"/>
      <c r="BA283" s="6"/>
    </row>
    <row r="284" customFormat="false" ht="18" hidden="false" customHeight="true" outlineLevel="0" collapsed="false">
      <c r="C284" s="6"/>
      <c r="V284" s="7"/>
      <c r="W284" s="7"/>
      <c r="X284" s="7"/>
      <c r="Y284" s="7"/>
      <c r="Z284" s="7"/>
      <c r="AA284" s="7"/>
      <c r="AB284" s="7"/>
      <c r="AC284" s="7"/>
      <c r="AD284" s="7"/>
      <c r="AM284" s="8"/>
      <c r="AN284" s="7"/>
      <c r="AO284" s="8"/>
      <c r="AP284" s="8"/>
      <c r="AR284" s="8"/>
      <c r="AS284" s="9"/>
      <c r="AW284" s="9"/>
      <c r="AX284" s="7"/>
      <c r="AY284" s="8"/>
      <c r="BA284" s="6"/>
    </row>
    <row r="285" customFormat="false" ht="18" hidden="false" customHeight="true" outlineLevel="0" collapsed="false">
      <c r="C285" s="6"/>
      <c r="V285" s="7"/>
      <c r="W285" s="7"/>
      <c r="X285" s="7"/>
      <c r="Y285" s="7"/>
      <c r="Z285" s="7"/>
      <c r="AA285" s="7"/>
      <c r="AB285" s="7"/>
      <c r="AC285" s="7"/>
      <c r="AD285" s="7"/>
      <c r="AM285" s="8"/>
      <c r="AN285" s="7"/>
      <c r="AO285" s="8"/>
      <c r="AP285" s="8"/>
      <c r="AR285" s="8"/>
      <c r="AS285" s="9"/>
      <c r="AW285" s="9"/>
      <c r="AX285" s="7"/>
      <c r="AY285" s="8"/>
      <c r="BA285" s="6"/>
    </row>
    <row r="286" customFormat="false" ht="18" hidden="false" customHeight="true" outlineLevel="0" collapsed="false">
      <c r="C286" s="6"/>
      <c r="V286" s="7"/>
      <c r="W286" s="7"/>
      <c r="X286" s="7"/>
      <c r="Y286" s="7"/>
      <c r="Z286" s="7"/>
      <c r="AA286" s="7"/>
      <c r="AB286" s="7"/>
      <c r="AC286" s="7"/>
      <c r="AD286" s="7"/>
      <c r="AM286" s="8"/>
      <c r="AN286" s="7"/>
      <c r="AO286" s="8"/>
      <c r="AP286" s="8"/>
      <c r="AR286" s="8"/>
      <c r="AS286" s="9"/>
      <c r="AW286" s="9"/>
      <c r="AX286" s="7"/>
      <c r="AY286" s="8"/>
      <c r="BA286" s="6"/>
    </row>
    <row r="287" customFormat="false" ht="18" hidden="false" customHeight="true" outlineLevel="0" collapsed="false">
      <c r="C287" s="6"/>
      <c r="V287" s="7"/>
      <c r="W287" s="7"/>
      <c r="X287" s="7"/>
      <c r="Y287" s="7"/>
      <c r="Z287" s="7"/>
      <c r="AA287" s="7"/>
      <c r="AB287" s="7"/>
      <c r="AC287" s="7"/>
      <c r="AD287" s="7"/>
      <c r="AM287" s="8"/>
      <c r="AN287" s="7"/>
      <c r="AO287" s="8"/>
      <c r="AP287" s="8"/>
      <c r="AR287" s="8"/>
      <c r="AS287" s="9"/>
      <c r="AW287" s="9"/>
      <c r="AX287" s="7"/>
      <c r="AY287" s="8"/>
      <c r="BA287" s="6"/>
    </row>
    <row r="288" customFormat="false" ht="18" hidden="false" customHeight="true" outlineLevel="0" collapsed="false">
      <c r="C288" s="6"/>
      <c r="V288" s="7"/>
      <c r="W288" s="7"/>
      <c r="X288" s="7"/>
      <c r="Y288" s="7"/>
      <c r="Z288" s="7"/>
      <c r="AA288" s="7"/>
      <c r="AB288" s="7"/>
      <c r="AC288" s="7"/>
      <c r="AD288" s="7"/>
      <c r="AM288" s="8"/>
      <c r="AN288" s="7"/>
      <c r="AO288" s="8"/>
      <c r="AP288" s="8"/>
      <c r="AR288" s="8"/>
      <c r="AS288" s="9"/>
      <c r="AW288" s="9"/>
      <c r="AX288" s="7"/>
      <c r="AY288" s="8"/>
      <c r="BA288" s="6"/>
    </row>
    <row r="289" customFormat="false" ht="18" hidden="false" customHeight="true" outlineLevel="0" collapsed="false">
      <c r="C289" s="6"/>
      <c r="V289" s="7"/>
      <c r="W289" s="7"/>
      <c r="X289" s="7"/>
      <c r="Y289" s="7"/>
      <c r="Z289" s="7"/>
      <c r="AA289" s="7"/>
      <c r="AB289" s="7"/>
      <c r="AC289" s="7"/>
      <c r="AD289" s="7"/>
      <c r="AM289" s="8"/>
      <c r="AN289" s="7"/>
      <c r="AO289" s="8"/>
      <c r="AP289" s="8"/>
      <c r="AR289" s="8"/>
      <c r="AS289" s="9"/>
      <c r="AW289" s="9"/>
      <c r="AX289" s="7"/>
      <c r="AY289" s="8"/>
      <c r="BA289" s="6"/>
    </row>
    <row r="290" customFormat="false" ht="18" hidden="false" customHeight="true" outlineLevel="0" collapsed="false">
      <c r="C290" s="6"/>
      <c r="V290" s="7"/>
      <c r="W290" s="7"/>
      <c r="X290" s="7"/>
      <c r="Y290" s="7"/>
      <c r="Z290" s="7"/>
      <c r="AA290" s="7"/>
      <c r="AB290" s="7"/>
      <c r="AC290" s="7"/>
      <c r="AD290" s="7"/>
      <c r="AM290" s="8"/>
      <c r="AN290" s="7"/>
      <c r="AO290" s="8"/>
      <c r="AP290" s="8"/>
      <c r="AR290" s="8"/>
      <c r="AS290" s="9"/>
      <c r="AW290" s="9"/>
      <c r="AX290" s="7"/>
      <c r="AY290" s="8"/>
      <c r="BA290" s="6"/>
    </row>
    <row r="291" customFormat="false" ht="18" hidden="false" customHeight="true" outlineLevel="0" collapsed="false">
      <c r="C291" s="6"/>
      <c r="V291" s="7"/>
      <c r="W291" s="7"/>
      <c r="X291" s="7"/>
      <c r="Y291" s="7"/>
      <c r="Z291" s="7"/>
      <c r="AA291" s="7"/>
      <c r="AB291" s="7"/>
      <c r="AC291" s="7"/>
      <c r="AD291" s="7"/>
      <c r="AM291" s="8"/>
      <c r="AN291" s="7"/>
      <c r="AO291" s="8"/>
      <c r="AP291" s="8"/>
      <c r="AR291" s="8"/>
      <c r="AS291" s="9"/>
      <c r="AW291" s="9"/>
      <c r="AX291" s="7"/>
      <c r="AY291" s="8"/>
      <c r="BA291" s="6"/>
    </row>
    <row r="292" customFormat="false" ht="18" hidden="false" customHeight="true" outlineLevel="0" collapsed="false">
      <c r="C292" s="6"/>
      <c r="V292" s="7"/>
      <c r="W292" s="7"/>
      <c r="X292" s="7"/>
      <c r="Y292" s="7"/>
      <c r="Z292" s="7"/>
      <c r="AA292" s="7"/>
      <c r="AB292" s="7"/>
      <c r="AC292" s="7"/>
      <c r="AD292" s="7"/>
      <c r="AM292" s="8"/>
      <c r="AN292" s="7"/>
      <c r="AO292" s="8"/>
      <c r="AP292" s="8"/>
      <c r="AR292" s="8"/>
      <c r="AS292" s="9"/>
      <c r="AW292" s="9"/>
      <c r="AX292" s="7"/>
      <c r="AY292" s="8"/>
      <c r="BA292" s="6"/>
    </row>
    <row r="293" customFormat="false" ht="18" hidden="false" customHeight="true" outlineLevel="0" collapsed="false">
      <c r="C293" s="6"/>
      <c r="V293" s="7"/>
      <c r="W293" s="7"/>
      <c r="X293" s="7"/>
      <c r="Y293" s="7"/>
      <c r="Z293" s="7"/>
      <c r="AA293" s="7"/>
      <c r="AB293" s="7"/>
      <c r="AC293" s="7"/>
      <c r="AD293" s="7"/>
      <c r="AM293" s="8"/>
      <c r="AN293" s="7"/>
      <c r="AO293" s="8"/>
      <c r="AP293" s="8"/>
      <c r="AR293" s="8"/>
      <c r="AS293" s="9"/>
      <c r="AW293" s="9"/>
      <c r="AX293" s="7"/>
      <c r="AY293" s="8"/>
      <c r="BA293" s="6"/>
    </row>
    <row r="294" customFormat="false" ht="18" hidden="false" customHeight="true" outlineLevel="0" collapsed="false">
      <c r="C294" s="6"/>
      <c r="V294" s="7"/>
      <c r="W294" s="7"/>
      <c r="X294" s="7"/>
      <c r="Y294" s="7"/>
      <c r="Z294" s="7"/>
      <c r="AA294" s="7"/>
      <c r="AB294" s="7"/>
      <c r="AC294" s="7"/>
      <c r="AD294" s="7"/>
      <c r="AM294" s="8"/>
      <c r="AN294" s="7"/>
      <c r="AO294" s="8"/>
      <c r="AP294" s="8"/>
      <c r="AR294" s="8"/>
      <c r="AS294" s="9"/>
      <c r="AW294" s="9"/>
      <c r="AX294" s="7"/>
      <c r="AY294" s="8"/>
      <c r="BA294" s="6"/>
    </row>
    <row r="295" customFormat="false" ht="18" hidden="false" customHeight="true" outlineLevel="0" collapsed="false">
      <c r="C295" s="6"/>
      <c r="V295" s="7"/>
      <c r="W295" s="7"/>
      <c r="X295" s="7"/>
      <c r="Y295" s="7"/>
      <c r="Z295" s="7"/>
      <c r="AA295" s="7"/>
      <c r="AB295" s="7"/>
      <c r="AC295" s="7"/>
      <c r="AD295" s="7"/>
      <c r="AM295" s="8"/>
      <c r="AN295" s="7"/>
      <c r="AO295" s="8"/>
      <c r="AP295" s="8"/>
      <c r="AR295" s="8"/>
      <c r="AS295" s="9"/>
      <c r="AW295" s="9"/>
      <c r="AX295" s="7"/>
      <c r="AY295" s="8"/>
      <c r="BA295" s="6"/>
    </row>
    <row r="296" customFormat="false" ht="18" hidden="false" customHeight="true" outlineLevel="0" collapsed="false">
      <c r="C296" s="6"/>
      <c r="V296" s="7"/>
      <c r="W296" s="7"/>
      <c r="X296" s="7"/>
      <c r="Y296" s="7"/>
      <c r="Z296" s="7"/>
      <c r="AA296" s="7"/>
      <c r="AB296" s="7"/>
      <c r="AC296" s="7"/>
      <c r="AD296" s="7"/>
      <c r="AM296" s="8"/>
      <c r="AN296" s="7"/>
      <c r="AO296" s="8"/>
      <c r="AP296" s="8"/>
      <c r="AR296" s="8"/>
      <c r="AS296" s="9"/>
      <c r="AW296" s="9"/>
      <c r="AX296" s="7"/>
      <c r="AY296" s="8"/>
      <c r="BA296" s="6"/>
    </row>
    <row r="297" customFormat="false" ht="18" hidden="false" customHeight="true" outlineLevel="0" collapsed="false">
      <c r="C297" s="6"/>
      <c r="V297" s="7"/>
      <c r="W297" s="7"/>
      <c r="X297" s="7"/>
      <c r="Y297" s="7"/>
      <c r="Z297" s="7"/>
      <c r="AA297" s="7"/>
      <c r="AB297" s="7"/>
      <c r="AC297" s="7"/>
      <c r="AD297" s="7"/>
      <c r="AM297" s="8"/>
      <c r="AN297" s="7"/>
      <c r="AO297" s="8"/>
      <c r="AP297" s="8"/>
      <c r="AR297" s="8"/>
      <c r="AS297" s="9"/>
      <c r="AW297" s="9"/>
      <c r="AX297" s="7"/>
      <c r="AY297" s="8"/>
      <c r="BA297" s="6"/>
    </row>
    <row r="298" customFormat="false" ht="18" hidden="false" customHeight="true" outlineLevel="0" collapsed="false">
      <c r="C298" s="6"/>
      <c r="V298" s="7"/>
      <c r="W298" s="7"/>
      <c r="X298" s="7"/>
      <c r="Y298" s="7"/>
      <c r="Z298" s="7"/>
      <c r="AA298" s="7"/>
      <c r="AB298" s="7"/>
      <c r="AC298" s="7"/>
      <c r="AD298" s="7"/>
      <c r="AM298" s="8"/>
      <c r="AN298" s="7"/>
      <c r="AO298" s="8"/>
      <c r="AP298" s="8"/>
      <c r="AR298" s="8"/>
      <c r="AS298" s="9"/>
      <c r="AW298" s="9"/>
      <c r="AX298" s="7"/>
      <c r="AY298" s="8"/>
      <c r="BA298" s="6"/>
    </row>
    <row r="299" customFormat="false" ht="18" hidden="false" customHeight="true" outlineLevel="0" collapsed="false">
      <c r="C299" s="6"/>
      <c r="V299" s="7"/>
      <c r="W299" s="7"/>
      <c r="X299" s="7"/>
      <c r="Y299" s="7"/>
      <c r="Z299" s="7"/>
      <c r="AA299" s="7"/>
      <c r="AB299" s="7"/>
      <c r="AC299" s="7"/>
      <c r="AD299" s="7"/>
      <c r="AM299" s="8"/>
      <c r="AN299" s="7"/>
      <c r="AO299" s="8"/>
      <c r="AP299" s="8"/>
      <c r="AR299" s="8"/>
      <c r="AS299" s="9"/>
      <c r="AW299" s="9"/>
      <c r="AX299" s="7"/>
      <c r="AY299" s="8"/>
      <c r="BA299" s="6"/>
    </row>
    <row r="300" customFormat="false" ht="18" hidden="false" customHeight="true" outlineLevel="0" collapsed="false">
      <c r="C300" s="6"/>
      <c r="V300" s="7"/>
      <c r="W300" s="7"/>
      <c r="X300" s="7"/>
      <c r="Y300" s="7"/>
      <c r="Z300" s="7"/>
      <c r="AA300" s="7"/>
      <c r="AB300" s="7"/>
      <c r="AC300" s="7"/>
      <c r="AD300" s="7"/>
      <c r="AM300" s="8"/>
      <c r="AN300" s="7"/>
      <c r="AO300" s="8"/>
      <c r="AP300" s="8"/>
      <c r="AR300" s="8"/>
      <c r="AS300" s="9"/>
      <c r="AW300" s="9"/>
      <c r="AX300" s="7"/>
      <c r="AY300" s="8"/>
      <c r="BA300" s="6"/>
    </row>
    <row r="301" customFormat="false" ht="18" hidden="false" customHeight="true" outlineLevel="0" collapsed="false">
      <c r="C301" s="6"/>
      <c r="V301" s="7"/>
      <c r="W301" s="7"/>
      <c r="X301" s="7"/>
      <c r="Y301" s="7"/>
      <c r="Z301" s="7"/>
      <c r="AA301" s="7"/>
      <c r="AB301" s="7"/>
      <c r="AC301" s="7"/>
      <c r="AD301" s="7"/>
      <c r="AM301" s="8"/>
      <c r="AN301" s="7"/>
      <c r="AO301" s="8"/>
      <c r="AP301" s="8"/>
      <c r="AR301" s="8"/>
      <c r="AS301" s="9"/>
      <c r="AW301" s="9"/>
      <c r="AX301" s="7"/>
      <c r="AY301" s="8"/>
      <c r="BA301" s="6"/>
    </row>
    <row r="302" customFormat="false" ht="18" hidden="false" customHeight="true" outlineLevel="0" collapsed="false">
      <c r="C302" s="6"/>
      <c r="V302" s="7"/>
      <c r="W302" s="7"/>
      <c r="X302" s="7"/>
      <c r="Y302" s="7"/>
      <c r="Z302" s="7"/>
      <c r="AA302" s="7"/>
      <c r="AB302" s="7"/>
      <c r="AC302" s="7"/>
      <c r="AD302" s="7"/>
      <c r="AM302" s="8"/>
      <c r="AN302" s="7"/>
      <c r="AO302" s="8"/>
      <c r="AP302" s="8"/>
      <c r="AR302" s="8"/>
      <c r="AS302" s="9"/>
      <c r="AW302" s="9"/>
      <c r="AX302" s="7"/>
      <c r="AY302" s="8"/>
      <c r="BA302" s="6"/>
    </row>
    <row r="303" customFormat="false" ht="18" hidden="false" customHeight="true" outlineLevel="0" collapsed="false">
      <c r="C303" s="6"/>
      <c r="V303" s="7"/>
      <c r="W303" s="7"/>
      <c r="X303" s="7"/>
      <c r="Y303" s="7"/>
      <c r="Z303" s="7"/>
      <c r="AA303" s="7"/>
      <c r="AB303" s="7"/>
      <c r="AC303" s="7"/>
      <c r="AD303" s="7"/>
      <c r="AM303" s="8"/>
      <c r="AN303" s="7"/>
      <c r="AO303" s="8"/>
      <c r="AP303" s="8"/>
      <c r="AR303" s="8"/>
      <c r="AS303" s="9"/>
      <c r="AW303" s="9"/>
      <c r="AX303" s="7"/>
      <c r="AY303" s="8"/>
      <c r="BA303" s="6"/>
    </row>
    <row r="304" customFormat="false" ht="18" hidden="false" customHeight="true" outlineLevel="0" collapsed="false">
      <c r="C304" s="6"/>
      <c r="V304" s="7"/>
      <c r="W304" s="7"/>
      <c r="X304" s="7"/>
      <c r="Y304" s="7"/>
      <c r="Z304" s="7"/>
      <c r="AA304" s="7"/>
      <c r="AB304" s="7"/>
      <c r="AC304" s="7"/>
      <c r="AD304" s="7"/>
      <c r="AM304" s="8"/>
      <c r="AN304" s="7"/>
      <c r="AO304" s="8"/>
      <c r="AP304" s="8"/>
      <c r="AR304" s="8"/>
      <c r="AS304" s="9"/>
      <c r="AW304" s="9"/>
      <c r="AX304" s="7"/>
      <c r="AY304" s="8"/>
      <c r="BA304" s="6"/>
    </row>
    <row r="305" customFormat="false" ht="18" hidden="false" customHeight="true" outlineLevel="0" collapsed="false">
      <c r="C305" s="6"/>
      <c r="V305" s="7"/>
      <c r="W305" s="7"/>
      <c r="X305" s="7"/>
      <c r="Y305" s="7"/>
      <c r="Z305" s="7"/>
      <c r="AA305" s="7"/>
      <c r="AB305" s="7"/>
      <c r="AC305" s="7"/>
      <c r="AD305" s="7"/>
      <c r="AM305" s="8"/>
      <c r="AN305" s="7"/>
      <c r="AO305" s="8"/>
      <c r="AP305" s="8"/>
      <c r="AR305" s="8"/>
      <c r="AS305" s="9"/>
      <c r="AW305" s="9"/>
      <c r="AX305" s="7"/>
      <c r="AY305" s="8"/>
      <c r="BA305" s="6"/>
    </row>
    <row r="306" customFormat="false" ht="18" hidden="false" customHeight="true" outlineLevel="0" collapsed="false">
      <c r="C306" s="6"/>
      <c r="V306" s="7"/>
      <c r="W306" s="7"/>
      <c r="X306" s="7"/>
      <c r="Y306" s="7"/>
      <c r="Z306" s="7"/>
      <c r="AA306" s="7"/>
      <c r="AB306" s="7"/>
      <c r="AC306" s="7"/>
      <c r="AD306" s="7"/>
      <c r="AM306" s="8"/>
      <c r="AN306" s="7"/>
      <c r="AO306" s="8"/>
      <c r="AP306" s="8"/>
      <c r="AR306" s="8"/>
      <c r="AS306" s="9"/>
      <c r="AW306" s="9"/>
      <c r="AX306" s="7"/>
      <c r="AY306" s="8"/>
      <c r="BA306" s="6"/>
    </row>
    <row r="307" customFormat="false" ht="18" hidden="false" customHeight="true" outlineLevel="0" collapsed="false">
      <c r="C307" s="6"/>
      <c r="V307" s="7"/>
      <c r="W307" s="7"/>
      <c r="X307" s="7"/>
      <c r="Y307" s="7"/>
      <c r="Z307" s="7"/>
      <c r="AA307" s="7"/>
      <c r="AB307" s="7"/>
      <c r="AC307" s="7"/>
      <c r="AD307" s="7"/>
      <c r="AM307" s="8"/>
      <c r="AN307" s="7"/>
      <c r="AO307" s="8"/>
      <c r="AP307" s="8"/>
      <c r="AR307" s="8"/>
      <c r="AS307" s="9"/>
      <c r="AW307" s="9"/>
      <c r="AX307" s="7"/>
      <c r="AY307" s="8"/>
      <c r="BA307" s="6"/>
    </row>
    <row r="308" customFormat="false" ht="18" hidden="false" customHeight="true" outlineLevel="0" collapsed="false">
      <c r="C308" s="6"/>
      <c r="V308" s="7"/>
      <c r="W308" s="7"/>
      <c r="X308" s="7"/>
      <c r="Y308" s="7"/>
      <c r="Z308" s="7"/>
      <c r="AA308" s="7"/>
      <c r="AB308" s="7"/>
      <c r="AC308" s="7"/>
      <c r="AD308" s="7"/>
      <c r="AM308" s="8"/>
      <c r="AN308" s="7"/>
      <c r="AO308" s="8"/>
      <c r="AP308" s="8"/>
      <c r="AR308" s="8"/>
      <c r="AS308" s="9"/>
      <c r="AW308" s="9"/>
      <c r="AX308" s="7"/>
      <c r="AY308" s="8"/>
      <c r="BA308" s="6"/>
    </row>
    <row r="309" customFormat="false" ht="18" hidden="false" customHeight="true" outlineLevel="0" collapsed="false">
      <c r="C309" s="6"/>
      <c r="V309" s="7"/>
      <c r="W309" s="7"/>
      <c r="X309" s="7"/>
      <c r="Y309" s="7"/>
      <c r="Z309" s="7"/>
      <c r="AA309" s="7"/>
      <c r="AB309" s="7"/>
      <c r="AC309" s="7"/>
      <c r="AD309" s="7"/>
      <c r="AM309" s="8"/>
      <c r="AN309" s="7"/>
      <c r="AO309" s="8"/>
      <c r="AP309" s="8"/>
      <c r="AR309" s="8"/>
      <c r="AS309" s="9"/>
      <c r="AW309" s="9"/>
      <c r="AX309" s="7"/>
      <c r="AY309" s="8"/>
      <c r="BA309" s="6"/>
    </row>
    <row r="310" customFormat="false" ht="18" hidden="false" customHeight="true" outlineLevel="0" collapsed="false">
      <c r="C310" s="6"/>
      <c r="V310" s="7"/>
      <c r="W310" s="7"/>
      <c r="X310" s="7"/>
      <c r="Y310" s="7"/>
      <c r="Z310" s="7"/>
      <c r="AA310" s="7"/>
      <c r="AB310" s="7"/>
      <c r="AC310" s="7"/>
      <c r="AD310" s="7"/>
      <c r="AM310" s="8"/>
      <c r="AN310" s="7"/>
      <c r="AO310" s="8"/>
      <c r="AP310" s="8"/>
      <c r="AR310" s="8"/>
      <c r="AS310" s="9"/>
      <c r="AW310" s="9"/>
      <c r="AX310" s="7"/>
      <c r="AY310" s="8"/>
      <c r="BA310" s="6"/>
    </row>
    <row r="311" customFormat="false" ht="18" hidden="false" customHeight="true" outlineLevel="0" collapsed="false">
      <c r="C311" s="6"/>
      <c r="V311" s="7"/>
      <c r="W311" s="7"/>
      <c r="X311" s="7"/>
      <c r="Y311" s="7"/>
      <c r="Z311" s="7"/>
      <c r="AA311" s="7"/>
      <c r="AB311" s="7"/>
      <c r="AC311" s="7"/>
      <c r="AD311" s="7"/>
      <c r="AM311" s="8"/>
      <c r="AN311" s="7"/>
      <c r="AO311" s="8"/>
      <c r="AP311" s="8"/>
      <c r="AR311" s="8"/>
      <c r="AS311" s="9"/>
      <c r="AW311" s="9"/>
      <c r="AX311" s="7"/>
      <c r="AY311" s="8"/>
      <c r="BA311" s="6"/>
    </row>
    <row r="312" customFormat="false" ht="18" hidden="false" customHeight="true" outlineLevel="0" collapsed="false">
      <c r="C312" s="6"/>
      <c r="V312" s="7"/>
      <c r="W312" s="7"/>
      <c r="X312" s="7"/>
      <c r="Y312" s="7"/>
      <c r="Z312" s="7"/>
      <c r="AA312" s="7"/>
      <c r="AB312" s="7"/>
      <c r="AC312" s="7"/>
      <c r="AD312" s="7"/>
      <c r="AM312" s="8"/>
      <c r="AN312" s="7"/>
      <c r="AO312" s="8"/>
      <c r="AP312" s="8"/>
      <c r="AR312" s="8"/>
      <c r="AS312" s="9"/>
      <c r="AW312" s="9"/>
      <c r="AX312" s="7"/>
      <c r="AY312" s="8"/>
      <c r="BA312" s="6"/>
    </row>
    <row r="313" customFormat="false" ht="18" hidden="false" customHeight="true" outlineLevel="0" collapsed="false">
      <c r="C313" s="6"/>
      <c r="V313" s="7"/>
      <c r="W313" s="7"/>
      <c r="X313" s="7"/>
      <c r="Y313" s="7"/>
      <c r="Z313" s="7"/>
      <c r="AA313" s="7"/>
      <c r="AB313" s="7"/>
      <c r="AC313" s="7"/>
      <c r="AD313" s="7"/>
      <c r="AM313" s="8"/>
      <c r="AN313" s="7"/>
      <c r="AO313" s="8"/>
      <c r="AP313" s="8"/>
      <c r="AR313" s="8"/>
      <c r="AS313" s="9"/>
      <c r="AW313" s="9"/>
      <c r="AX313" s="7"/>
      <c r="AY313" s="8"/>
      <c r="BA313" s="6"/>
    </row>
    <row r="314" customFormat="false" ht="18" hidden="false" customHeight="true" outlineLevel="0" collapsed="false">
      <c r="C314" s="6"/>
      <c r="V314" s="7"/>
      <c r="W314" s="7"/>
      <c r="X314" s="7"/>
      <c r="Y314" s="7"/>
      <c r="Z314" s="7"/>
      <c r="AA314" s="7"/>
      <c r="AB314" s="7"/>
      <c r="AC314" s="7"/>
      <c r="AD314" s="7"/>
      <c r="AM314" s="8"/>
      <c r="AN314" s="7"/>
      <c r="AO314" s="8"/>
      <c r="AP314" s="8"/>
      <c r="AR314" s="8"/>
      <c r="AS314" s="9"/>
      <c r="AW314" s="9"/>
      <c r="AX314" s="7"/>
      <c r="AY314" s="8"/>
      <c r="BA314" s="6"/>
    </row>
    <row r="315" customFormat="false" ht="18" hidden="false" customHeight="true" outlineLevel="0" collapsed="false">
      <c r="C315" s="6"/>
      <c r="V315" s="7"/>
      <c r="W315" s="7"/>
      <c r="X315" s="7"/>
      <c r="Y315" s="7"/>
      <c r="Z315" s="7"/>
      <c r="AA315" s="7"/>
      <c r="AB315" s="7"/>
      <c r="AC315" s="7"/>
      <c r="AD315" s="7"/>
      <c r="AM315" s="8"/>
      <c r="AN315" s="7"/>
      <c r="AO315" s="8"/>
      <c r="AP315" s="8"/>
      <c r="AR315" s="8"/>
      <c r="AS315" s="9"/>
      <c r="AW315" s="9"/>
      <c r="AX315" s="7"/>
      <c r="AY315" s="8"/>
      <c r="BA315" s="6"/>
    </row>
    <row r="316" customFormat="false" ht="18" hidden="false" customHeight="true" outlineLevel="0" collapsed="false">
      <c r="C316" s="6"/>
      <c r="V316" s="7"/>
      <c r="W316" s="7"/>
      <c r="X316" s="7"/>
      <c r="Y316" s="7"/>
      <c r="Z316" s="7"/>
      <c r="AA316" s="7"/>
      <c r="AB316" s="7"/>
      <c r="AC316" s="7"/>
      <c r="AD316" s="7"/>
      <c r="AM316" s="8"/>
      <c r="AN316" s="7"/>
      <c r="AO316" s="8"/>
      <c r="AP316" s="8"/>
      <c r="AR316" s="8"/>
      <c r="AS316" s="9"/>
      <c r="AW316" s="9"/>
      <c r="AX316" s="7"/>
      <c r="AY316" s="8"/>
      <c r="BA316" s="6"/>
    </row>
    <row r="317" customFormat="false" ht="18" hidden="false" customHeight="true" outlineLevel="0" collapsed="false">
      <c r="C317" s="6"/>
      <c r="V317" s="7"/>
      <c r="W317" s="7"/>
      <c r="X317" s="7"/>
      <c r="Y317" s="7"/>
      <c r="Z317" s="7"/>
      <c r="AA317" s="7"/>
      <c r="AB317" s="7"/>
      <c r="AC317" s="7"/>
      <c r="AD317" s="7"/>
      <c r="AM317" s="8"/>
      <c r="AN317" s="7"/>
      <c r="AO317" s="8"/>
      <c r="AP317" s="8"/>
      <c r="AR317" s="8"/>
      <c r="AS317" s="9"/>
      <c r="AW317" s="9"/>
      <c r="AX317" s="7"/>
      <c r="AY317" s="8"/>
      <c r="BA317" s="6"/>
    </row>
    <row r="318" customFormat="false" ht="18" hidden="false" customHeight="true" outlineLevel="0" collapsed="false">
      <c r="C318" s="6"/>
      <c r="V318" s="7"/>
      <c r="W318" s="7"/>
      <c r="X318" s="7"/>
      <c r="Y318" s="7"/>
      <c r="Z318" s="7"/>
      <c r="AA318" s="7"/>
      <c r="AB318" s="7"/>
      <c r="AC318" s="7"/>
      <c r="AD318" s="7"/>
      <c r="AM318" s="8"/>
      <c r="AN318" s="7"/>
      <c r="AO318" s="8"/>
      <c r="AP318" s="8"/>
      <c r="AR318" s="8"/>
      <c r="AS318" s="9"/>
      <c r="AW318" s="9"/>
      <c r="AX318" s="7"/>
      <c r="AY318" s="8"/>
      <c r="BA318" s="6"/>
    </row>
    <row r="319" customFormat="false" ht="18" hidden="false" customHeight="true" outlineLevel="0" collapsed="false">
      <c r="C319" s="6"/>
      <c r="V319" s="7"/>
      <c r="W319" s="7"/>
      <c r="X319" s="7"/>
      <c r="Y319" s="7"/>
      <c r="Z319" s="7"/>
      <c r="AA319" s="7"/>
      <c r="AB319" s="7"/>
      <c r="AC319" s="7"/>
      <c r="AD319" s="7"/>
      <c r="AM319" s="8"/>
      <c r="AN319" s="7"/>
      <c r="AO319" s="8"/>
      <c r="AP319" s="8"/>
      <c r="AR319" s="8"/>
      <c r="AS319" s="9"/>
      <c r="AW319" s="9"/>
      <c r="AX319" s="7"/>
      <c r="AY319" s="8"/>
      <c r="BA319" s="6"/>
    </row>
    <row r="320" customFormat="false" ht="18" hidden="false" customHeight="true" outlineLevel="0" collapsed="false">
      <c r="C320" s="6"/>
      <c r="V320" s="7"/>
      <c r="W320" s="7"/>
      <c r="X320" s="7"/>
      <c r="Y320" s="7"/>
      <c r="Z320" s="7"/>
      <c r="AA320" s="7"/>
      <c r="AB320" s="7"/>
      <c r="AC320" s="7"/>
      <c r="AD320" s="7"/>
      <c r="AM320" s="8"/>
      <c r="AN320" s="7"/>
      <c r="AO320" s="8"/>
      <c r="AP320" s="8"/>
      <c r="AR320" s="8"/>
      <c r="AS320" s="9"/>
      <c r="AW320" s="9"/>
      <c r="AX320" s="7"/>
      <c r="AY320" s="8"/>
      <c r="BA320" s="6"/>
    </row>
    <row r="321" customFormat="false" ht="18" hidden="false" customHeight="true" outlineLevel="0" collapsed="false">
      <c r="C321" s="6"/>
      <c r="V321" s="7"/>
      <c r="W321" s="7"/>
      <c r="X321" s="7"/>
      <c r="Y321" s="7"/>
      <c r="Z321" s="7"/>
      <c r="AA321" s="7"/>
      <c r="AB321" s="7"/>
      <c r="AC321" s="7"/>
      <c r="AD321" s="7"/>
      <c r="AM321" s="8"/>
      <c r="AN321" s="7"/>
      <c r="AO321" s="8"/>
      <c r="AP321" s="8"/>
      <c r="AR321" s="8"/>
      <c r="AS321" s="9"/>
      <c r="AW321" s="9"/>
      <c r="AX321" s="7"/>
      <c r="AY321" s="8"/>
      <c r="BA321" s="6"/>
    </row>
    <row r="322" customFormat="false" ht="18" hidden="false" customHeight="true" outlineLevel="0" collapsed="false">
      <c r="C322" s="6"/>
      <c r="V322" s="7"/>
      <c r="W322" s="7"/>
      <c r="X322" s="7"/>
      <c r="Y322" s="7"/>
      <c r="Z322" s="7"/>
      <c r="AA322" s="7"/>
      <c r="AB322" s="7"/>
      <c r="AC322" s="7"/>
      <c r="AD322" s="7"/>
      <c r="AM322" s="8"/>
      <c r="AN322" s="7"/>
      <c r="AO322" s="8"/>
      <c r="AP322" s="8"/>
      <c r="AR322" s="8"/>
      <c r="AS322" s="9"/>
      <c r="AW322" s="9"/>
      <c r="AX322" s="7"/>
      <c r="AY322" s="8"/>
      <c r="BA322" s="6"/>
    </row>
    <row r="323" customFormat="false" ht="18" hidden="false" customHeight="true" outlineLevel="0" collapsed="false">
      <c r="C323" s="6"/>
      <c r="V323" s="7"/>
      <c r="W323" s="7"/>
      <c r="X323" s="7"/>
      <c r="Y323" s="7"/>
      <c r="Z323" s="7"/>
      <c r="AA323" s="7"/>
      <c r="AB323" s="7"/>
      <c r="AC323" s="7"/>
      <c r="AD323" s="7"/>
      <c r="AM323" s="8"/>
      <c r="AN323" s="7"/>
      <c r="AO323" s="8"/>
      <c r="AP323" s="8"/>
      <c r="AR323" s="8"/>
      <c r="AS323" s="9"/>
      <c r="AW323" s="9"/>
      <c r="AX323" s="7"/>
      <c r="AY323" s="8"/>
      <c r="BA323" s="6"/>
    </row>
    <row r="324" customFormat="false" ht="18" hidden="false" customHeight="true" outlineLevel="0" collapsed="false">
      <c r="C324" s="6"/>
      <c r="V324" s="7"/>
      <c r="W324" s="7"/>
      <c r="X324" s="7"/>
      <c r="Y324" s="7"/>
      <c r="Z324" s="7"/>
      <c r="AA324" s="7"/>
      <c r="AB324" s="7"/>
      <c r="AC324" s="7"/>
      <c r="AD324" s="7"/>
      <c r="AM324" s="8"/>
      <c r="AN324" s="7"/>
      <c r="AO324" s="8"/>
      <c r="AP324" s="8"/>
      <c r="AR324" s="8"/>
      <c r="AS324" s="9"/>
      <c r="AW324" s="9"/>
      <c r="AX324" s="7"/>
      <c r="AY324" s="8"/>
      <c r="BA324" s="6"/>
    </row>
    <row r="325" customFormat="false" ht="18" hidden="false" customHeight="true" outlineLevel="0" collapsed="false">
      <c r="C325" s="6"/>
      <c r="V325" s="7"/>
      <c r="W325" s="7"/>
      <c r="X325" s="7"/>
      <c r="Y325" s="7"/>
      <c r="Z325" s="7"/>
      <c r="AA325" s="7"/>
      <c r="AB325" s="7"/>
      <c r="AC325" s="7"/>
      <c r="AD325" s="7"/>
      <c r="AM325" s="8"/>
      <c r="AN325" s="7"/>
      <c r="AO325" s="8"/>
      <c r="AP325" s="8"/>
      <c r="AR325" s="8"/>
      <c r="AS325" s="9"/>
      <c r="AW325" s="9"/>
      <c r="AX325" s="7"/>
      <c r="AY325" s="8"/>
      <c r="BA325" s="6"/>
    </row>
    <row r="326" customFormat="false" ht="18" hidden="false" customHeight="true" outlineLevel="0" collapsed="false">
      <c r="C326" s="6"/>
      <c r="V326" s="7"/>
      <c r="W326" s="7"/>
      <c r="X326" s="7"/>
      <c r="Y326" s="7"/>
      <c r="Z326" s="7"/>
      <c r="AA326" s="7"/>
      <c r="AB326" s="7"/>
      <c r="AC326" s="7"/>
      <c r="AD326" s="7"/>
      <c r="AM326" s="8"/>
      <c r="AN326" s="7"/>
      <c r="AO326" s="8"/>
      <c r="AP326" s="8"/>
      <c r="AR326" s="8"/>
      <c r="AS326" s="9"/>
      <c r="AW326" s="9"/>
      <c r="AX326" s="7"/>
      <c r="AY326" s="8"/>
      <c r="BA326" s="6"/>
    </row>
    <row r="327" customFormat="false" ht="18" hidden="false" customHeight="true" outlineLevel="0" collapsed="false">
      <c r="C327" s="6"/>
      <c r="V327" s="7"/>
      <c r="W327" s="7"/>
      <c r="X327" s="7"/>
      <c r="Y327" s="7"/>
      <c r="Z327" s="7"/>
      <c r="AA327" s="7"/>
      <c r="AB327" s="7"/>
      <c r="AC327" s="7"/>
      <c r="AD327" s="7"/>
      <c r="AM327" s="8"/>
      <c r="AN327" s="7"/>
      <c r="AO327" s="8"/>
      <c r="AP327" s="8"/>
      <c r="AR327" s="8"/>
      <c r="AS327" s="9"/>
      <c r="AW327" s="9"/>
      <c r="AX327" s="7"/>
      <c r="AY327" s="8"/>
      <c r="BA327" s="6"/>
    </row>
    <row r="328" customFormat="false" ht="18" hidden="false" customHeight="true" outlineLevel="0" collapsed="false">
      <c r="C328" s="6"/>
      <c r="V328" s="7"/>
      <c r="W328" s="7"/>
      <c r="X328" s="7"/>
      <c r="Y328" s="7"/>
      <c r="Z328" s="7"/>
      <c r="AA328" s="7"/>
      <c r="AB328" s="7"/>
      <c r="AC328" s="7"/>
      <c r="AD328" s="7"/>
      <c r="AM328" s="8"/>
      <c r="AN328" s="7"/>
      <c r="AO328" s="8"/>
      <c r="AP328" s="8"/>
      <c r="AR328" s="8"/>
      <c r="AS328" s="9"/>
      <c r="AW328" s="9"/>
      <c r="AX328" s="7"/>
      <c r="AY328" s="8"/>
      <c r="BA328" s="6"/>
    </row>
    <row r="329" customFormat="false" ht="18" hidden="false" customHeight="true" outlineLevel="0" collapsed="false">
      <c r="C329" s="6"/>
      <c r="V329" s="7"/>
      <c r="W329" s="7"/>
      <c r="X329" s="7"/>
      <c r="Y329" s="7"/>
      <c r="Z329" s="7"/>
      <c r="AA329" s="7"/>
      <c r="AB329" s="7"/>
      <c r="AC329" s="7"/>
      <c r="AD329" s="7"/>
      <c r="AM329" s="8"/>
      <c r="AN329" s="7"/>
      <c r="AO329" s="8"/>
      <c r="AP329" s="8"/>
      <c r="AR329" s="8"/>
      <c r="AS329" s="9"/>
      <c r="AW329" s="9"/>
      <c r="AX329" s="7"/>
      <c r="AY329" s="8"/>
      <c r="BA329" s="6"/>
    </row>
    <row r="330" customFormat="false" ht="18" hidden="false" customHeight="true" outlineLevel="0" collapsed="false">
      <c r="C330" s="6"/>
      <c r="V330" s="7"/>
      <c r="W330" s="7"/>
      <c r="X330" s="7"/>
      <c r="Y330" s="7"/>
      <c r="Z330" s="7"/>
      <c r="AA330" s="7"/>
      <c r="AB330" s="7"/>
      <c r="AC330" s="7"/>
      <c r="AD330" s="7"/>
      <c r="AM330" s="8"/>
      <c r="AN330" s="7"/>
      <c r="AO330" s="8"/>
      <c r="AP330" s="8"/>
      <c r="AR330" s="8"/>
      <c r="AS330" s="9"/>
      <c r="AW330" s="9"/>
      <c r="AX330" s="7"/>
      <c r="AY330" s="8"/>
      <c r="BA330" s="6"/>
    </row>
    <row r="331" customFormat="false" ht="18" hidden="false" customHeight="true" outlineLevel="0" collapsed="false">
      <c r="C331" s="6"/>
      <c r="V331" s="7"/>
      <c r="W331" s="7"/>
      <c r="X331" s="7"/>
      <c r="Y331" s="7"/>
      <c r="Z331" s="7"/>
      <c r="AA331" s="7"/>
      <c r="AB331" s="7"/>
      <c r="AC331" s="7"/>
      <c r="AD331" s="7"/>
      <c r="AM331" s="8"/>
      <c r="AN331" s="7"/>
      <c r="AO331" s="8"/>
      <c r="AP331" s="8"/>
      <c r="AR331" s="8"/>
      <c r="AS331" s="9"/>
      <c r="AW331" s="9"/>
      <c r="AX331" s="7"/>
      <c r="AY331" s="8"/>
      <c r="BA331" s="6"/>
    </row>
    <row r="332" customFormat="false" ht="18" hidden="false" customHeight="true" outlineLevel="0" collapsed="false">
      <c r="C332" s="6"/>
      <c r="V332" s="7"/>
      <c r="W332" s="7"/>
      <c r="X332" s="7"/>
      <c r="Y332" s="7"/>
      <c r="Z332" s="7"/>
      <c r="AA332" s="7"/>
      <c r="AB332" s="7"/>
      <c r="AC332" s="7"/>
      <c r="AD332" s="7"/>
      <c r="AM332" s="8"/>
      <c r="AN332" s="7"/>
      <c r="AO332" s="8"/>
      <c r="AP332" s="8"/>
      <c r="AR332" s="8"/>
      <c r="AS332" s="9"/>
      <c r="AW332" s="9"/>
      <c r="AX332" s="7"/>
      <c r="AY332" s="8"/>
      <c r="BA332" s="6"/>
    </row>
    <row r="333" customFormat="false" ht="18" hidden="false" customHeight="true" outlineLevel="0" collapsed="false">
      <c r="C333" s="6"/>
      <c r="V333" s="7"/>
      <c r="W333" s="7"/>
      <c r="X333" s="7"/>
      <c r="Y333" s="7"/>
      <c r="Z333" s="7"/>
      <c r="AA333" s="7"/>
      <c r="AB333" s="7"/>
      <c r="AC333" s="7"/>
      <c r="AD333" s="7"/>
      <c r="AM333" s="8"/>
      <c r="AN333" s="7"/>
      <c r="AO333" s="8"/>
      <c r="AP333" s="8"/>
      <c r="AR333" s="8"/>
      <c r="AS333" s="9"/>
      <c r="AW333" s="9"/>
      <c r="AX333" s="7"/>
      <c r="AY333" s="8"/>
      <c r="BA333" s="6"/>
    </row>
    <row r="334" customFormat="false" ht="18" hidden="false" customHeight="true" outlineLevel="0" collapsed="false">
      <c r="C334" s="6"/>
      <c r="V334" s="7"/>
      <c r="W334" s="7"/>
      <c r="X334" s="7"/>
      <c r="Y334" s="7"/>
      <c r="Z334" s="7"/>
      <c r="AA334" s="7"/>
      <c r="AB334" s="7"/>
      <c r="AC334" s="7"/>
      <c r="AD334" s="7"/>
      <c r="AM334" s="8"/>
      <c r="AN334" s="7"/>
      <c r="AO334" s="8"/>
      <c r="AP334" s="8"/>
      <c r="AR334" s="8"/>
      <c r="AS334" s="9"/>
      <c r="AW334" s="9"/>
      <c r="AX334" s="7"/>
      <c r="AY334" s="8"/>
      <c r="BA334" s="6"/>
    </row>
    <row r="335" customFormat="false" ht="18" hidden="false" customHeight="true" outlineLevel="0" collapsed="false">
      <c r="C335" s="6"/>
      <c r="V335" s="7"/>
      <c r="W335" s="7"/>
      <c r="X335" s="7"/>
      <c r="Y335" s="7"/>
      <c r="Z335" s="7"/>
      <c r="AA335" s="7"/>
      <c r="AB335" s="7"/>
      <c r="AC335" s="7"/>
      <c r="AD335" s="7"/>
      <c r="AM335" s="8"/>
      <c r="AN335" s="7"/>
      <c r="AO335" s="8"/>
      <c r="AP335" s="8"/>
      <c r="AR335" s="8"/>
      <c r="AS335" s="9"/>
      <c r="AW335" s="9"/>
      <c r="AX335" s="7"/>
      <c r="AY335" s="8"/>
      <c r="BA335" s="6"/>
    </row>
    <row r="336" customFormat="false" ht="18" hidden="false" customHeight="true" outlineLevel="0" collapsed="false">
      <c r="C336" s="6"/>
      <c r="V336" s="7"/>
      <c r="W336" s="7"/>
      <c r="X336" s="7"/>
      <c r="Y336" s="7"/>
      <c r="Z336" s="7"/>
      <c r="AA336" s="7"/>
      <c r="AB336" s="7"/>
      <c r="AC336" s="7"/>
      <c r="AD336" s="7"/>
      <c r="AM336" s="8"/>
      <c r="AN336" s="7"/>
      <c r="AO336" s="8"/>
      <c r="AP336" s="8"/>
      <c r="AR336" s="8"/>
      <c r="AS336" s="9"/>
      <c r="AW336" s="9"/>
      <c r="AX336" s="7"/>
      <c r="AY336" s="8"/>
      <c r="BA336" s="6"/>
    </row>
    <row r="337" customFormat="false" ht="18" hidden="false" customHeight="true" outlineLevel="0" collapsed="false">
      <c r="C337" s="6"/>
      <c r="V337" s="7"/>
      <c r="W337" s="7"/>
      <c r="X337" s="7"/>
      <c r="Y337" s="7"/>
      <c r="Z337" s="7"/>
      <c r="AA337" s="7"/>
      <c r="AB337" s="7"/>
      <c r="AC337" s="7"/>
      <c r="AD337" s="7"/>
      <c r="AM337" s="8"/>
      <c r="AN337" s="7"/>
      <c r="AO337" s="8"/>
      <c r="AP337" s="8"/>
      <c r="AR337" s="8"/>
      <c r="AS337" s="9"/>
      <c r="AW337" s="9"/>
      <c r="AX337" s="7"/>
      <c r="AY337" s="8"/>
      <c r="BA337" s="6"/>
    </row>
    <row r="338" customFormat="false" ht="18" hidden="false" customHeight="true" outlineLevel="0" collapsed="false">
      <c r="C338" s="6"/>
      <c r="V338" s="7"/>
      <c r="W338" s="7"/>
      <c r="X338" s="7"/>
      <c r="Y338" s="7"/>
      <c r="Z338" s="7"/>
      <c r="AA338" s="7"/>
      <c r="AB338" s="7"/>
      <c r="AC338" s="7"/>
      <c r="AD338" s="7"/>
      <c r="AM338" s="8"/>
      <c r="AN338" s="7"/>
      <c r="AO338" s="8"/>
      <c r="AP338" s="8"/>
      <c r="AR338" s="8"/>
      <c r="AS338" s="9"/>
      <c r="AW338" s="9"/>
      <c r="AX338" s="7"/>
      <c r="AY338" s="8"/>
      <c r="BA338" s="6"/>
    </row>
    <row r="339" customFormat="false" ht="18" hidden="false" customHeight="true" outlineLevel="0" collapsed="false">
      <c r="C339" s="6"/>
      <c r="V339" s="7"/>
      <c r="W339" s="7"/>
      <c r="X339" s="7"/>
      <c r="Y339" s="7"/>
      <c r="Z339" s="7"/>
      <c r="AA339" s="7"/>
      <c r="AB339" s="7"/>
      <c r="AC339" s="7"/>
      <c r="AD339" s="7"/>
      <c r="AM339" s="8"/>
      <c r="AN339" s="7"/>
      <c r="AO339" s="8"/>
      <c r="AP339" s="8"/>
      <c r="AR339" s="8"/>
      <c r="AS339" s="9"/>
      <c r="AW339" s="9"/>
      <c r="AX339" s="7"/>
      <c r="AY339" s="8"/>
      <c r="BA339" s="6"/>
    </row>
    <row r="340" customFormat="false" ht="18" hidden="false" customHeight="true" outlineLevel="0" collapsed="false">
      <c r="C340" s="6"/>
      <c r="V340" s="7"/>
      <c r="W340" s="7"/>
      <c r="X340" s="7"/>
      <c r="Y340" s="7"/>
      <c r="Z340" s="7"/>
      <c r="AA340" s="7"/>
      <c r="AB340" s="7"/>
      <c r="AC340" s="7"/>
      <c r="AD340" s="7"/>
      <c r="AM340" s="8"/>
      <c r="AN340" s="7"/>
      <c r="AO340" s="8"/>
      <c r="AP340" s="8"/>
      <c r="AR340" s="8"/>
      <c r="AS340" s="9"/>
      <c r="AW340" s="9"/>
      <c r="AX340" s="7"/>
      <c r="AY340" s="8"/>
      <c r="BA340" s="6"/>
    </row>
    <row r="341" customFormat="false" ht="18" hidden="false" customHeight="true" outlineLevel="0" collapsed="false">
      <c r="C341" s="6"/>
      <c r="V341" s="7"/>
      <c r="W341" s="7"/>
      <c r="X341" s="7"/>
      <c r="Y341" s="7"/>
      <c r="Z341" s="7"/>
      <c r="AA341" s="7"/>
      <c r="AB341" s="7"/>
      <c r="AC341" s="7"/>
      <c r="AD341" s="7"/>
      <c r="AM341" s="8"/>
      <c r="AN341" s="7"/>
      <c r="AO341" s="8"/>
      <c r="AP341" s="8"/>
      <c r="AR341" s="8"/>
      <c r="AS341" s="9"/>
      <c r="AW341" s="9"/>
      <c r="AX341" s="7"/>
      <c r="AY341" s="8"/>
      <c r="BA341" s="6"/>
    </row>
    <row r="342" customFormat="false" ht="18" hidden="false" customHeight="true" outlineLevel="0" collapsed="false">
      <c r="C342" s="6"/>
      <c r="V342" s="7"/>
      <c r="W342" s="7"/>
      <c r="X342" s="7"/>
      <c r="Y342" s="7"/>
      <c r="Z342" s="7"/>
      <c r="AA342" s="7"/>
      <c r="AB342" s="7"/>
      <c r="AC342" s="7"/>
      <c r="AD342" s="7"/>
      <c r="AM342" s="8"/>
      <c r="AN342" s="7"/>
      <c r="AO342" s="8"/>
      <c r="AP342" s="8"/>
      <c r="AR342" s="8"/>
      <c r="AS342" s="9"/>
      <c r="AW342" s="9"/>
      <c r="AX342" s="7"/>
      <c r="AY342" s="8"/>
      <c r="BA342" s="6"/>
    </row>
    <row r="343" customFormat="false" ht="18" hidden="false" customHeight="true" outlineLevel="0" collapsed="false">
      <c r="C343" s="6"/>
      <c r="V343" s="7"/>
      <c r="W343" s="7"/>
      <c r="X343" s="7"/>
      <c r="Y343" s="7"/>
      <c r="Z343" s="7"/>
      <c r="AA343" s="7"/>
      <c r="AB343" s="7"/>
      <c r="AC343" s="7"/>
      <c r="AD343" s="7"/>
      <c r="AM343" s="8"/>
      <c r="AN343" s="7"/>
      <c r="AO343" s="8"/>
      <c r="AP343" s="8"/>
      <c r="AR343" s="8"/>
      <c r="AS343" s="9"/>
      <c r="AW343" s="9"/>
      <c r="AX343" s="7"/>
      <c r="AY343" s="8"/>
      <c r="BA343" s="6"/>
    </row>
    <row r="344" customFormat="false" ht="18" hidden="false" customHeight="true" outlineLevel="0" collapsed="false">
      <c r="C344" s="6"/>
      <c r="V344" s="7"/>
      <c r="W344" s="7"/>
      <c r="X344" s="7"/>
      <c r="Y344" s="7"/>
      <c r="Z344" s="7"/>
      <c r="AA344" s="7"/>
      <c r="AB344" s="7"/>
      <c r="AC344" s="7"/>
      <c r="AD344" s="7"/>
      <c r="AM344" s="8"/>
      <c r="AN344" s="7"/>
      <c r="AO344" s="8"/>
      <c r="AP344" s="8"/>
      <c r="AR344" s="8"/>
      <c r="AS344" s="9"/>
      <c r="AW344" s="9"/>
      <c r="AX344" s="7"/>
      <c r="AY344" s="8"/>
      <c r="BA344" s="6"/>
    </row>
    <row r="345" customFormat="false" ht="18" hidden="false" customHeight="true" outlineLevel="0" collapsed="false">
      <c r="C345" s="6"/>
      <c r="V345" s="7"/>
      <c r="W345" s="7"/>
      <c r="X345" s="7"/>
      <c r="Y345" s="7"/>
      <c r="Z345" s="7"/>
      <c r="AA345" s="7"/>
      <c r="AB345" s="7"/>
      <c r="AC345" s="7"/>
      <c r="AD345" s="7"/>
      <c r="AM345" s="8"/>
      <c r="AN345" s="7"/>
      <c r="AO345" s="8"/>
      <c r="AP345" s="8"/>
      <c r="AR345" s="8"/>
      <c r="AS345" s="9"/>
      <c r="AW345" s="9"/>
      <c r="AX345" s="7"/>
      <c r="AY345" s="8"/>
      <c r="BA345" s="6"/>
    </row>
    <row r="346" customFormat="false" ht="18" hidden="false" customHeight="true" outlineLevel="0" collapsed="false">
      <c r="C346" s="6"/>
      <c r="V346" s="7"/>
      <c r="W346" s="7"/>
      <c r="X346" s="7"/>
      <c r="Y346" s="7"/>
      <c r="Z346" s="7"/>
      <c r="AA346" s="7"/>
      <c r="AB346" s="7"/>
      <c r="AC346" s="7"/>
      <c r="AD346" s="7"/>
      <c r="AM346" s="8"/>
      <c r="AN346" s="7"/>
      <c r="AO346" s="8"/>
      <c r="AP346" s="8"/>
      <c r="AR346" s="8"/>
      <c r="AS346" s="9"/>
      <c r="AW346" s="9"/>
      <c r="AX346" s="7"/>
      <c r="AY346" s="8"/>
      <c r="BA346" s="6"/>
    </row>
    <row r="347" customFormat="false" ht="18" hidden="false" customHeight="true" outlineLevel="0" collapsed="false">
      <c r="C347" s="6"/>
      <c r="V347" s="7"/>
      <c r="W347" s="7"/>
      <c r="X347" s="7"/>
      <c r="Y347" s="7"/>
      <c r="Z347" s="7"/>
      <c r="AA347" s="7"/>
      <c r="AB347" s="7"/>
      <c r="AC347" s="7"/>
      <c r="AD347" s="7"/>
      <c r="AM347" s="8"/>
      <c r="AN347" s="7"/>
      <c r="AO347" s="8"/>
      <c r="AP347" s="8"/>
      <c r="AR347" s="8"/>
      <c r="AS347" s="9"/>
      <c r="AW347" s="9"/>
      <c r="AX347" s="7"/>
      <c r="AY347" s="8"/>
      <c r="BA347" s="6"/>
    </row>
    <row r="348" customFormat="false" ht="18" hidden="false" customHeight="true" outlineLevel="0" collapsed="false">
      <c r="C348" s="6"/>
      <c r="V348" s="7"/>
      <c r="W348" s="7"/>
      <c r="X348" s="7"/>
      <c r="Y348" s="7"/>
      <c r="Z348" s="7"/>
      <c r="AA348" s="7"/>
      <c r="AB348" s="7"/>
      <c r="AC348" s="7"/>
      <c r="AD348" s="7"/>
      <c r="AM348" s="8"/>
      <c r="AN348" s="7"/>
      <c r="AO348" s="8"/>
      <c r="AP348" s="8"/>
      <c r="AR348" s="8"/>
      <c r="AS348" s="9"/>
      <c r="AW348" s="9"/>
      <c r="AX348" s="7"/>
      <c r="AY348" s="8"/>
      <c r="BA348" s="6"/>
    </row>
    <row r="349" customFormat="false" ht="18" hidden="false" customHeight="true" outlineLevel="0" collapsed="false">
      <c r="C349" s="6"/>
      <c r="V349" s="7"/>
      <c r="W349" s="7"/>
      <c r="X349" s="7"/>
      <c r="Y349" s="7"/>
      <c r="Z349" s="7"/>
      <c r="AA349" s="7"/>
      <c r="AB349" s="7"/>
      <c r="AC349" s="7"/>
      <c r="AD349" s="7"/>
      <c r="AM349" s="8"/>
      <c r="AN349" s="7"/>
      <c r="AO349" s="8"/>
      <c r="AP349" s="8"/>
      <c r="AR349" s="8"/>
      <c r="AS349" s="9"/>
      <c r="AW349" s="9"/>
      <c r="AX349" s="7"/>
      <c r="AY349" s="8"/>
      <c r="BA349" s="6"/>
    </row>
    <row r="350" customFormat="false" ht="18" hidden="false" customHeight="true" outlineLevel="0" collapsed="false">
      <c r="C350" s="6"/>
      <c r="V350" s="7"/>
      <c r="W350" s="7"/>
      <c r="X350" s="7"/>
      <c r="Y350" s="7"/>
      <c r="Z350" s="7"/>
      <c r="AA350" s="7"/>
      <c r="AB350" s="7"/>
      <c r="AC350" s="7"/>
      <c r="AD350" s="7"/>
      <c r="AM350" s="8"/>
      <c r="AN350" s="7"/>
      <c r="AO350" s="8"/>
      <c r="AP350" s="8"/>
      <c r="AR350" s="8"/>
      <c r="AS350" s="9"/>
      <c r="AW350" s="9"/>
      <c r="AX350" s="7"/>
      <c r="AY350" s="8"/>
      <c r="BA350" s="6"/>
    </row>
    <row r="351" customFormat="false" ht="18" hidden="false" customHeight="true" outlineLevel="0" collapsed="false">
      <c r="C351" s="6"/>
      <c r="V351" s="7"/>
      <c r="W351" s="7"/>
      <c r="X351" s="7"/>
      <c r="Y351" s="7"/>
      <c r="Z351" s="7"/>
      <c r="AA351" s="7"/>
      <c r="AB351" s="7"/>
      <c r="AC351" s="7"/>
      <c r="AD351" s="7"/>
      <c r="AM351" s="8"/>
      <c r="AN351" s="7"/>
      <c r="AO351" s="8"/>
      <c r="AP351" s="8"/>
      <c r="AR351" s="8"/>
      <c r="AS351" s="9"/>
      <c r="AW351" s="9"/>
      <c r="AX351" s="7"/>
      <c r="AY351" s="8"/>
      <c r="BA351" s="6"/>
    </row>
    <row r="352" customFormat="false" ht="18" hidden="false" customHeight="true" outlineLevel="0" collapsed="false">
      <c r="C352" s="6"/>
      <c r="V352" s="7"/>
      <c r="W352" s="7"/>
      <c r="X352" s="7"/>
      <c r="Y352" s="7"/>
      <c r="Z352" s="7"/>
      <c r="AA352" s="7"/>
      <c r="AB352" s="7"/>
      <c r="AC352" s="7"/>
      <c r="AD352" s="7"/>
      <c r="AM352" s="8"/>
      <c r="AN352" s="7"/>
      <c r="AO352" s="8"/>
      <c r="AP352" s="8"/>
      <c r="AR352" s="8"/>
      <c r="AS352" s="9"/>
      <c r="AW352" s="9"/>
      <c r="AX352" s="7"/>
      <c r="AY352" s="8"/>
      <c r="BA352" s="6"/>
    </row>
    <row r="353" customFormat="false" ht="18" hidden="false" customHeight="true" outlineLevel="0" collapsed="false">
      <c r="C353" s="6"/>
      <c r="V353" s="7"/>
      <c r="W353" s="7"/>
      <c r="X353" s="7"/>
      <c r="Y353" s="7"/>
      <c r="Z353" s="7"/>
      <c r="AA353" s="7"/>
      <c r="AB353" s="7"/>
      <c r="AC353" s="7"/>
      <c r="AD353" s="7"/>
      <c r="AM353" s="8"/>
      <c r="AN353" s="7"/>
      <c r="AO353" s="8"/>
      <c r="AP353" s="8"/>
      <c r="AR353" s="8"/>
      <c r="AS353" s="9"/>
      <c r="AW353" s="9"/>
      <c r="AX353" s="7"/>
      <c r="AY353" s="8"/>
      <c r="BA353" s="6"/>
    </row>
    <row r="354" customFormat="false" ht="18" hidden="false" customHeight="true" outlineLevel="0" collapsed="false">
      <c r="C354" s="6"/>
      <c r="V354" s="7"/>
      <c r="W354" s="7"/>
      <c r="X354" s="7"/>
      <c r="Y354" s="7"/>
      <c r="Z354" s="7"/>
      <c r="AA354" s="7"/>
      <c r="AB354" s="7"/>
      <c r="AC354" s="7"/>
      <c r="AD354" s="7"/>
      <c r="AM354" s="8"/>
      <c r="AN354" s="7"/>
      <c r="AO354" s="8"/>
      <c r="AP354" s="8"/>
      <c r="AR354" s="8"/>
      <c r="AS354" s="9"/>
      <c r="AW354" s="9"/>
      <c r="AX354" s="7"/>
      <c r="AY354" s="8"/>
      <c r="BA354" s="6"/>
    </row>
    <row r="355" customFormat="false" ht="18" hidden="false" customHeight="true" outlineLevel="0" collapsed="false">
      <c r="C355" s="6"/>
      <c r="V355" s="7"/>
      <c r="W355" s="7"/>
      <c r="X355" s="7"/>
      <c r="Y355" s="7"/>
      <c r="Z355" s="7"/>
      <c r="AA355" s="7"/>
      <c r="AB355" s="7"/>
      <c r="AC355" s="7"/>
      <c r="AD355" s="7"/>
      <c r="AM355" s="8"/>
      <c r="AN355" s="7"/>
      <c r="AO355" s="8"/>
      <c r="AP355" s="8"/>
      <c r="AR355" s="8"/>
      <c r="AS355" s="9"/>
      <c r="AW355" s="9"/>
      <c r="AX355" s="7"/>
      <c r="AY355" s="8"/>
      <c r="BA355" s="6"/>
    </row>
    <row r="356" customFormat="false" ht="18" hidden="false" customHeight="true" outlineLevel="0" collapsed="false">
      <c r="C356" s="6"/>
      <c r="V356" s="7"/>
      <c r="W356" s="7"/>
      <c r="X356" s="7"/>
      <c r="Y356" s="7"/>
      <c r="Z356" s="7"/>
      <c r="AA356" s="7"/>
      <c r="AB356" s="7"/>
      <c r="AC356" s="7"/>
      <c r="AD356" s="7"/>
      <c r="AM356" s="8"/>
      <c r="AN356" s="7"/>
      <c r="AO356" s="8"/>
      <c r="AP356" s="8"/>
      <c r="AR356" s="8"/>
      <c r="AS356" s="9"/>
      <c r="AW356" s="9"/>
      <c r="AX356" s="7"/>
      <c r="AY356" s="8"/>
      <c r="BA356" s="6"/>
    </row>
    <row r="357" customFormat="false" ht="18" hidden="false" customHeight="true" outlineLevel="0" collapsed="false">
      <c r="C357" s="6"/>
      <c r="V357" s="7"/>
      <c r="W357" s="7"/>
      <c r="X357" s="7"/>
      <c r="Y357" s="7"/>
      <c r="Z357" s="7"/>
      <c r="AA357" s="7"/>
      <c r="AB357" s="7"/>
      <c r="AC357" s="7"/>
      <c r="AD357" s="7"/>
      <c r="AM357" s="8"/>
      <c r="AN357" s="7"/>
      <c r="AO357" s="8"/>
      <c r="AP357" s="8"/>
      <c r="AR357" s="8"/>
      <c r="AS357" s="9"/>
      <c r="AW357" s="9"/>
      <c r="AX357" s="7"/>
      <c r="AY357" s="8"/>
      <c r="BA357" s="6"/>
    </row>
    <row r="358" customFormat="false" ht="18" hidden="false" customHeight="true" outlineLevel="0" collapsed="false">
      <c r="C358" s="6"/>
      <c r="V358" s="7"/>
      <c r="W358" s="7"/>
      <c r="X358" s="7"/>
      <c r="Y358" s="7"/>
      <c r="Z358" s="7"/>
      <c r="AA358" s="7"/>
      <c r="AB358" s="7"/>
      <c r="AC358" s="7"/>
      <c r="AD358" s="7"/>
      <c r="AM358" s="8"/>
      <c r="AN358" s="7"/>
      <c r="AO358" s="8"/>
      <c r="AP358" s="8"/>
      <c r="AR358" s="8"/>
      <c r="AS358" s="9"/>
      <c r="AW358" s="9"/>
      <c r="AX358" s="7"/>
      <c r="AY358" s="8"/>
      <c r="BA358" s="6"/>
    </row>
    <row r="359" customFormat="false" ht="18" hidden="false" customHeight="true" outlineLevel="0" collapsed="false">
      <c r="C359" s="6"/>
      <c r="V359" s="7"/>
      <c r="W359" s="7"/>
      <c r="X359" s="7"/>
      <c r="Y359" s="7"/>
      <c r="Z359" s="7"/>
      <c r="AA359" s="7"/>
      <c r="AB359" s="7"/>
      <c r="AC359" s="7"/>
      <c r="AD359" s="7"/>
      <c r="AM359" s="8"/>
      <c r="AN359" s="7"/>
      <c r="AO359" s="8"/>
      <c r="AP359" s="8"/>
      <c r="AR359" s="8"/>
      <c r="AS359" s="9"/>
      <c r="AW359" s="9"/>
      <c r="AX359" s="7"/>
      <c r="AY359" s="8"/>
      <c r="BA359" s="6"/>
    </row>
    <row r="360" customFormat="false" ht="18" hidden="false" customHeight="true" outlineLevel="0" collapsed="false">
      <c r="C360" s="6"/>
      <c r="V360" s="7"/>
      <c r="W360" s="7"/>
      <c r="X360" s="7"/>
      <c r="Y360" s="7"/>
      <c r="Z360" s="7"/>
      <c r="AA360" s="7"/>
      <c r="AB360" s="7"/>
      <c r="AC360" s="7"/>
      <c r="AD360" s="7"/>
      <c r="AM360" s="8"/>
      <c r="AN360" s="7"/>
      <c r="AO360" s="8"/>
      <c r="AP360" s="8"/>
      <c r="AR360" s="8"/>
      <c r="AS360" s="9"/>
      <c r="AW360" s="9"/>
      <c r="AX360" s="7"/>
      <c r="AY360" s="8"/>
      <c r="BA360" s="6"/>
    </row>
    <row r="361" customFormat="false" ht="18" hidden="false" customHeight="true" outlineLevel="0" collapsed="false">
      <c r="C361" s="6"/>
      <c r="V361" s="7"/>
      <c r="W361" s="7"/>
      <c r="X361" s="7"/>
      <c r="Y361" s="7"/>
      <c r="Z361" s="7"/>
      <c r="AA361" s="7"/>
      <c r="AB361" s="7"/>
      <c r="AC361" s="7"/>
      <c r="AD361" s="7"/>
      <c r="AM361" s="8"/>
      <c r="AN361" s="7"/>
      <c r="AO361" s="8"/>
      <c r="AP361" s="8"/>
      <c r="AR361" s="8"/>
      <c r="AS361" s="9"/>
      <c r="AW361" s="9"/>
      <c r="AX361" s="7"/>
      <c r="AY361" s="8"/>
      <c r="BA361" s="6"/>
    </row>
    <row r="362" customFormat="false" ht="18" hidden="false" customHeight="true" outlineLevel="0" collapsed="false">
      <c r="C362" s="6"/>
      <c r="V362" s="7"/>
      <c r="W362" s="7"/>
      <c r="X362" s="7"/>
      <c r="Y362" s="7"/>
      <c r="Z362" s="7"/>
      <c r="AA362" s="7"/>
      <c r="AB362" s="7"/>
      <c r="AC362" s="7"/>
      <c r="AD362" s="7"/>
      <c r="AM362" s="8"/>
      <c r="AN362" s="7"/>
      <c r="AO362" s="8"/>
      <c r="AP362" s="8"/>
      <c r="AR362" s="8"/>
      <c r="AS362" s="9"/>
      <c r="AW362" s="9"/>
      <c r="AX362" s="7"/>
      <c r="AY362" s="8"/>
      <c r="BA362" s="6"/>
    </row>
    <row r="363" customFormat="false" ht="18" hidden="false" customHeight="true" outlineLevel="0" collapsed="false">
      <c r="C363" s="6"/>
      <c r="V363" s="7"/>
      <c r="W363" s="7"/>
      <c r="X363" s="7"/>
      <c r="Y363" s="7"/>
      <c r="Z363" s="7"/>
      <c r="AA363" s="7"/>
      <c r="AB363" s="7"/>
      <c r="AC363" s="7"/>
      <c r="AD363" s="7"/>
      <c r="AM363" s="8"/>
      <c r="AN363" s="7"/>
      <c r="AO363" s="8"/>
      <c r="AP363" s="8"/>
      <c r="AR363" s="8"/>
      <c r="AS363" s="9"/>
      <c r="AW363" s="9"/>
      <c r="AX363" s="7"/>
      <c r="AY363" s="8"/>
      <c r="BA363" s="6"/>
    </row>
    <row r="364" customFormat="false" ht="18" hidden="false" customHeight="true" outlineLevel="0" collapsed="false">
      <c r="C364" s="6"/>
      <c r="V364" s="7"/>
      <c r="W364" s="7"/>
      <c r="X364" s="7"/>
      <c r="Y364" s="7"/>
      <c r="Z364" s="7"/>
      <c r="AA364" s="7"/>
      <c r="AB364" s="7"/>
      <c r="AC364" s="7"/>
      <c r="AD364" s="7"/>
      <c r="AM364" s="8"/>
      <c r="AN364" s="7"/>
      <c r="AO364" s="8"/>
      <c r="AP364" s="8"/>
      <c r="AR364" s="8"/>
      <c r="AS364" s="9"/>
      <c r="AW364" s="9"/>
      <c r="AX364" s="7"/>
      <c r="AY364" s="8"/>
      <c r="BA364" s="6"/>
    </row>
    <row r="365" customFormat="false" ht="18" hidden="false" customHeight="true" outlineLevel="0" collapsed="false">
      <c r="C365" s="6"/>
      <c r="V365" s="7"/>
      <c r="W365" s="7"/>
      <c r="X365" s="7"/>
      <c r="Y365" s="7"/>
      <c r="Z365" s="7"/>
      <c r="AA365" s="7"/>
      <c r="AB365" s="7"/>
      <c r="AC365" s="7"/>
      <c r="AD365" s="7"/>
      <c r="AM365" s="8"/>
      <c r="AN365" s="7"/>
      <c r="AO365" s="8"/>
      <c r="AP365" s="8"/>
      <c r="AR365" s="8"/>
      <c r="AS365" s="9"/>
      <c r="AW365" s="9"/>
      <c r="AX365" s="7"/>
      <c r="AY365" s="8"/>
      <c r="BA365" s="6"/>
    </row>
    <row r="366" customFormat="false" ht="18" hidden="false" customHeight="true" outlineLevel="0" collapsed="false">
      <c r="C366" s="6"/>
      <c r="V366" s="7"/>
      <c r="W366" s="7"/>
      <c r="X366" s="7"/>
      <c r="Y366" s="7"/>
      <c r="Z366" s="7"/>
      <c r="AA366" s="7"/>
      <c r="AB366" s="7"/>
      <c r="AC366" s="7"/>
      <c r="AD366" s="7"/>
      <c r="AM366" s="8"/>
      <c r="AN366" s="7"/>
      <c r="AO366" s="8"/>
      <c r="AP366" s="8"/>
      <c r="AR366" s="8"/>
      <c r="AS366" s="9"/>
      <c r="AW366" s="9"/>
      <c r="AX366" s="7"/>
      <c r="AY366" s="8"/>
      <c r="BA366" s="6"/>
    </row>
    <row r="367" customFormat="false" ht="18" hidden="false" customHeight="true" outlineLevel="0" collapsed="false">
      <c r="C367" s="6"/>
      <c r="V367" s="7"/>
      <c r="W367" s="7"/>
      <c r="X367" s="7"/>
      <c r="Y367" s="7"/>
      <c r="Z367" s="7"/>
      <c r="AA367" s="7"/>
      <c r="AB367" s="7"/>
      <c r="AC367" s="7"/>
      <c r="AD367" s="7"/>
      <c r="AM367" s="8"/>
      <c r="AN367" s="7"/>
      <c r="AO367" s="8"/>
      <c r="AP367" s="8"/>
      <c r="AR367" s="8"/>
      <c r="AS367" s="9"/>
      <c r="AW367" s="9"/>
      <c r="AX367" s="7"/>
      <c r="AY367" s="8"/>
      <c r="BA367" s="6"/>
    </row>
    <row r="368" customFormat="false" ht="18" hidden="false" customHeight="true" outlineLevel="0" collapsed="false">
      <c r="C368" s="6"/>
      <c r="V368" s="7"/>
      <c r="W368" s="7"/>
      <c r="X368" s="7"/>
      <c r="Y368" s="7"/>
      <c r="Z368" s="7"/>
      <c r="AA368" s="7"/>
      <c r="AB368" s="7"/>
      <c r="AC368" s="7"/>
      <c r="AD368" s="7"/>
      <c r="AM368" s="8"/>
      <c r="AN368" s="7"/>
      <c r="AO368" s="8"/>
      <c r="AP368" s="8"/>
      <c r="AR368" s="8"/>
      <c r="AS368" s="9"/>
      <c r="AW368" s="9"/>
      <c r="AX368" s="7"/>
      <c r="AY368" s="8"/>
      <c r="BA368" s="6"/>
    </row>
    <row r="369" customFormat="false" ht="18" hidden="false" customHeight="true" outlineLevel="0" collapsed="false">
      <c r="C369" s="6"/>
      <c r="V369" s="7"/>
      <c r="W369" s="7"/>
      <c r="X369" s="7"/>
      <c r="Y369" s="7"/>
      <c r="Z369" s="7"/>
      <c r="AA369" s="7"/>
      <c r="AB369" s="7"/>
      <c r="AC369" s="7"/>
      <c r="AD369" s="7"/>
      <c r="AM369" s="8"/>
      <c r="AN369" s="7"/>
      <c r="AO369" s="8"/>
      <c r="AP369" s="8"/>
      <c r="AR369" s="8"/>
      <c r="AS369" s="9"/>
      <c r="AW369" s="9"/>
      <c r="AX369" s="7"/>
      <c r="AY369" s="8"/>
      <c r="BA369" s="6"/>
    </row>
    <row r="370" customFormat="false" ht="18" hidden="false" customHeight="true" outlineLevel="0" collapsed="false">
      <c r="C370" s="6"/>
      <c r="V370" s="7"/>
      <c r="W370" s="7"/>
      <c r="X370" s="7"/>
      <c r="Y370" s="7"/>
      <c r="Z370" s="7"/>
      <c r="AA370" s="7"/>
      <c r="AB370" s="7"/>
      <c r="AC370" s="7"/>
      <c r="AD370" s="7"/>
      <c r="AM370" s="8"/>
      <c r="AN370" s="7"/>
      <c r="AO370" s="8"/>
      <c r="AP370" s="8"/>
      <c r="AR370" s="8"/>
      <c r="AS370" s="9"/>
      <c r="AW370" s="9"/>
      <c r="AX370" s="7"/>
      <c r="AY370" s="8"/>
      <c r="BA370" s="6"/>
    </row>
    <row r="371" customFormat="false" ht="18" hidden="false" customHeight="true" outlineLevel="0" collapsed="false">
      <c r="C371" s="6"/>
      <c r="V371" s="7"/>
      <c r="W371" s="7"/>
      <c r="X371" s="7"/>
      <c r="Y371" s="7"/>
      <c r="Z371" s="7"/>
      <c r="AA371" s="7"/>
      <c r="AB371" s="7"/>
      <c r="AC371" s="7"/>
      <c r="AD371" s="7"/>
      <c r="AM371" s="8"/>
      <c r="AN371" s="7"/>
      <c r="AO371" s="8"/>
      <c r="AP371" s="8"/>
      <c r="AR371" s="8"/>
      <c r="AS371" s="9"/>
      <c r="AW371" s="9"/>
      <c r="AX371" s="7"/>
      <c r="AY371" s="8"/>
      <c r="BA371" s="6"/>
    </row>
    <row r="372" customFormat="false" ht="18" hidden="false" customHeight="true" outlineLevel="0" collapsed="false">
      <c r="C372" s="6"/>
      <c r="V372" s="7"/>
      <c r="W372" s="7"/>
      <c r="X372" s="7"/>
      <c r="Y372" s="7"/>
      <c r="Z372" s="7"/>
      <c r="AA372" s="7"/>
      <c r="AB372" s="7"/>
      <c r="AC372" s="7"/>
      <c r="AD372" s="7"/>
      <c r="AM372" s="8"/>
      <c r="AN372" s="7"/>
      <c r="AO372" s="8"/>
      <c r="AP372" s="8"/>
      <c r="AR372" s="8"/>
      <c r="AS372" s="9"/>
      <c r="AW372" s="9"/>
      <c r="AX372" s="7"/>
      <c r="AY372" s="8"/>
      <c r="BA372" s="6"/>
    </row>
    <row r="373" customFormat="false" ht="18" hidden="false" customHeight="true" outlineLevel="0" collapsed="false">
      <c r="C373" s="6"/>
      <c r="V373" s="7"/>
      <c r="W373" s="7"/>
      <c r="X373" s="7"/>
      <c r="Y373" s="7"/>
      <c r="Z373" s="7"/>
      <c r="AA373" s="7"/>
      <c r="AB373" s="7"/>
      <c r="AC373" s="7"/>
      <c r="AD373" s="7"/>
      <c r="AM373" s="8"/>
      <c r="AN373" s="7"/>
      <c r="AO373" s="8"/>
      <c r="AP373" s="8"/>
      <c r="AR373" s="8"/>
      <c r="AS373" s="9"/>
      <c r="AW373" s="9"/>
      <c r="AX373" s="7"/>
      <c r="AY373" s="8"/>
      <c r="BA373" s="6"/>
    </row>
    <row r="374" customFormat="false" ht="18" hidden="false" customHeight="true" outlineLevel="0" collapsed="false">
      <c r="C374" s="6"/>
      <c r="V374" s="7"/>
      <c r="W374" s="7"/>
      <c r="X374" s="7"/>
      <c r="Y374" s="7"/>
      <c r="Z374" s="7"/>
      <c r="AA374" s="7"/>
      <c r="AB374" s="7"/>
      <c r="AC374" s="7"/>
      <c r="AD374" s="7"/>
      <c r="AM374" s="8"/>
      <c r="AN374" s="7"/>
      <c r="AO374" s="8"/>
      <c r="AP374" s="8"/>
      <c r="AR374" s="8"/>
      <c r="AS374" s="9"/>
      <c r="AW374" s="9"/>
      <c r="AX374" s="7"/>
      <c r="AY374" s="8"/>
      <c r="BA374" s="6"/>
    </row>
    <row r="375" customFormat="false" ht="18" hidden="false" customHeight="true" outlineLevel="0" collapsed="false">
      <c r="C375" s="6"/>
      <c r="V375" s="7"/>
      <c r="W375" s="7"/>
      <c r="X375" s="7"/>
      <c r="Y375" s="7"/>
      <c r="Z375" s="7"/>
      <c r="AA375" s="7"/>
      <c r="AB375" s="7"/>
      <c r="AC375" s="7"/>
      <c r="AD375" s="7"/>
      <c r="AM375" s="8"/>
      <c r="AN375" s="7"/>
      <c r="AO375" s="8"/>
      <c r="AP375" s="8"/>
      <c r="AR375" s="8"/>
      <c r="AS375" s="9"/>
      <c r="AW375" s="9"/>
      <c r="AX375" s="7"/>
      <c r="AY375" s="8"/>
      <c r="BA375" s="6"/>
    </row>
    <row r="376" customFormat="false" ht="18" hidden="false" customHeight="true" outlineLevel="0" collapsed="false">
      <c r="C376" s="6"/>
      <c r="V376" s="7"/>
      <c r="W376" s="7"/>
      <c r="X376" s="7"/>
      <c r="Y376" s="7"/>
      <c r="Z376" s="7"/>
      <c r="AA376" s="7"/>
      <c r="AB376" s="7"/>
      <c r="AC376" s="7"/>
      <c r="AD376" s="7"/>
      <c r="AM376" s="8"/>
      <c r="AN376" s="7"/>
      <c r="AO376" s="8"/>
      <c r="AP376" s="8"/>
      <c r="AR376" s="8"/>
      <c r="AS376" s="9"/>
      <c r="AW376" s="9"/>
      <c r="AX376" s="7"/>
      <c r="AY376" s="8"/>
      <c r="BA376" s="6"/>
    </row>
    <row r="377" customFormat="false" ht="18" hidden="false" customHeight="true" outlineLevel="0" collapsed="false">
      <c r="C377" s="6"/>
      <c r="V377" s="7"/>
      <c r="W377" s="7"/>
      <c r="X377" s="7"/>
      <c r="Y377" s="7"/>
      <c r="Z377" s="7"/>
      <c r="AA377" s="7"/>
      <c r="AB377" s="7"/>
      <c r="AC377" s="7"/>
      <c r="AD377" s="7"/>
      <c r="AM377" s="8"/>
      <c r="AN377" s="7"/>
      <c r="AO377" s="8"/>
      <c r="AP377" s="8"/>
      <c r="AR377" s="8"/>
      <c r="AS377" s="9"/>
      <c r="AW377" s="9"/>
      <c r="AX377" s="7"/>
      <c r="AY377" s="8"/>
      <c r="BA377" s="6"/>
    </row>
    <row r="378" customFormat="false" ht="18" hidden="false" customHeight="true" outlineLevel="0" collapsed="false">
      <c r="C378" s="6"/>
      <c r="V378" s="7"/>
      <c r="W378" s="7"/>
      <c r="X378" s="7"/>
      <c r="Y378" s="7"/>
      <c r="Z378" s="7"/>
      <c r="AA378" s="7"/>
      <c r="AB378" s="7"/>
      <c r="AC378" s="7"/>
      <c r="AD378" s="7"/>
      <c r="AM378" s="8"/>
      <c r="AN378" s="7"/>
      <c r="AO378" s="8"/>
      <c r="AP378" s="8"/>
      <c r="AR378" s="8"/>
      <c r="AS378" s="9"/>
      <c r="AW378" s="9"/>
      <c r="AX378" s="7"/>
      <c r="AY378" s="8"/>
      <c r="BA378" s="6"/>
    </row>
    <row r="379" customFormat="false" ht="18" hidden="false" customHeight="true" outlineLevel="0" collapsed="false">
      <c r="C379" s="6"/>
      <c r="V379" s="7"/>
      <c r="W379" s="7"/>
      <c r="X379" s="7"/>
      <c r="Y379" s="7"/>
      <c r="Z379" s="7"/>
      <c r="AA379" s="7"/>
      <c r="AB379" s="7"/>
      <c r="AC379" s="7"/>
      <c r="AD379" s="7"/>
      <c r="AM379" s="8"/>
      <c r="AN379" s="7"/>
      <c r="AO379" s="8"/>
      <c r="AP379" s="8"/>
      <c r="AR379" s="8"/>
      <c r="AS379" s="9"/>
      <c r="AW379" s="9"/>
      <c r="AX379" s="7"/>
      <c r="AY379" s="8"/>
      <c r="BA379" s="6"/>
    </row>
    <row r="380" customFormat="false" ht="18" hidden="false" customHeight="true" outlineLevel="0" collapsed="false">
      <c r="C380" s="6"/>
      <c r="V380" s="7"/>
      <c r="W380" s="7"/>
      <c r="X380" s="7"/>
      <c r="Y380" s="7"/>
      <c r="Z380" s="7"/>
      <c r="AA380" s="7"/>
      <c r="AB380" s="7"/>
      <c r="AC380" s="7"/>
      <c r="AD380" s="7"/>
      <c r="AM380" s="8"/>
      <c r="AN380" s="7"/>
      <c r="AO380" s="8"/>
      <c r="AP380" s="8"/>
      <c r="AR380" s="8"/>
      <c r="AS380" s="9"/>
      <c r="AW380" s="9"/>
      <c r="AX380" s="7"/>
      <c r="AY380" s="8"/>
      <c r="BA380" s="6"/>
    </row>
    <row r="381" customFormat="false" ht="18" hidden="false" customHeight="true" outlineLevel="0" collapsed="false">
      <c r="C381" s="6"/>
      <c r="V381" s="7"/>
      <c r="W381" s="7"/>
      <c r="X381" s="7"/>
      <c r="Y381" s="7"/>
      <c r="Z381" s="7"/>
      <c r="AA381" s="7"/>
      <c r="AB381" s="7"/>
      <c r="AC381" s="7"/>
      <c r="AD381" s="7"/>
      <c r="AM381" s="8"/>
      <c r="AN381" s="7"/>
      <c r="AO381" s="8"/>
      <c r="AP381" s="8"/>
      <c r="AR381" s="8"/>
      <c r="AS381" s="9"/>
      <c r="AW381" s="9"/>
      <c r="AX381" s="7"/>
      <c r="AY381" s="8"/>
      <c r="BA381" s="6"/>
    </row>
    <row r="382" customFormat="false" ht="18" hidden="false" customHeight="true" outlineLevel="0" collapsed="false">
      <c r="C382" s="6"/>
      <c r="V382" s="7"/>
      <c r="W382" s="7"/>
      <c r="X382" s="7"/>
      <c r="Y382" s="7"/>
      <c r="Z382" s="7"/>
      <c r="AA382" s="7"/>
      <c r="AB382" s="7"/>
      <c r="AC382" s="7"/>
      <c r="AD382" s="7"/>
      <c r="AM382" s="8"/>
      <c r="AN382" s="7"/>
      <c r="AO382" s="8"/>
      <c r="AP382" s="8"/>
      <c r="AR382" s="8"/>
      <c r="AS382" s="9"/>
      <c r="AW382" s="9"/>
      <c r="AX382" s="7"/>
      <c r="AY382" s="8"/>
      <c r="BA382" s="6"/>
    </row>
    <row r="383" customFormat="false" ht="18" hidden="false" customHeight="true" outlineLevel="0" collapsed="false">
      <c r="C383" s="6"/>
      <c r="V383" s="7"/>
      <c r="W383" s="7"/>
      <c r="X383" s="7"/>
      <c r="Y383" s="7"/>
      <c r="Z383" s="7"/>
      <c r="AA383" s="7"/>
      <c r="AB383" s="7"/>
      <c r="AC383" s="7"/>
      <c r="AD383" s="7"/>
      <c r="AM383" s="8"/>
      <c r="AN383" s="7"/>
      <c r="AO383" s="8"/>
      <c r="AP383" s="8"/>
      <c r="AR383" s="8"/>
      <c r="AS383" s="9"/>
      <c r="AW383" s="9"/>
      <c r="AX383" s="7"/>
      <c r="AY383" s="8"/>
      <c r="BA383" s="6"/>
    </row>
    <row r="384" customFormat="false" ht="18" hidden="false" customHeight="true" outlineLevel="0" collapsed="false">
      <c r="C384" s="6"/>
      <c r="V384" s="7"/>
      <c r="W384" s="7"/>
      <c r="X384" s="7"/>
      <c r="Y384" s="7"/>
      <c r="Z384" s="7"/>
      <c r="AA384" s="7"/>
      <c r="AB384" s="7"/>
      <c r="AC384" s="7"/>
      <c r="AD384" s="7"/>
      <c r="AM384" s="8"/>
      <c r="AN384" s="7"/>
      <c r="AO384" s="8"/>
      <c r="AP384" s="8"/>
      <c r="AR384" s="8"/>
      <c r="AS384" s="9"/>
      <c r="AW384" s="9"/>
      <c r="AX384" s="7"/>
      <c r="AY384" s="8"/>
      <c r="BA384" s="6"/>
    </row>
    <row r="385" customFormat="false" ht="18" hidden="false" customHeight="true" outlineLevel="0" collapsed="false">
      <c r="C385" s="6"/>
      <c r="V385" s="7"/>
      <c r="W385" s="7"/>
      <c r="X385" s="7"/>
      <c r="Y385" s="7"/>
      <c r="Z385" s="7"/>
      <c r="AA385" s="7"/>
      <c r="AB385" s="7"/>
      <c r="AC385" s="7"/>
      <c r="AD385" s="7"/>
      <c r="AM385" s="8"/>
      <c r="AN385" s="7"/>
      <c r="AO385" s="8"/>
      <c r="AP385" s="8"/>
      <c r="AR385" s="8"/>
      <c r="AS385" s="9"/>
      <c r="AW385" s="9"/>
      <c r="AX385" s="7"/>
      <c r="AY385" s="8"/>
      <c r="BA385" s="6"/>
    </row>
    <row r="386" customFormat="false" ht="18" hidden="false" customHeight="true" outlineLevel="0" collapsed="false">
      <c r="C386" s="6"/>
      <c r="V386" s="7"/>
      <c r="W386" s="7"/>
      <c r="X386" s="7"/>
      <c r="Y386" s="7"/>
      <c r="Z386" s="7"/>
      <c r="AA386" s="7"/>
      <c r="AB386" s="7"/>
      <c r="AC386" s="7"/>
      <c r="AD386" s="7"/>
      <c r="AM386" s="8"/>
      <c r="AN386" s="7"/>
      <c r="AO386" s="8"/>
      <c r="AP386" s="8"/>
      <c r="AR386" s="8"/>
      <c r="AS386" s="9"/>
      <c r="AW386" s="9"/>
      <c r="AX386" s="7"/>
      <c r="AY386" s="8"/>
      <c r="BA386" s="6"/>
    </row>
    <row r="387" customFormat="false" ht="18" hidden="false" customHeight="true" outlineLevel="0" collapsed="false">
      <c r="C387" s="6"/>
      <c r="V387" s="7"/>
      <c r="W387" s="7"/>
      <c r="X387" s="7"/>
      <c r="Y387" s="7"/>
      <c r="Z387" s="7"/>
      <c r="AA387" s="7"/>
      <c r="AB387" s="7"/>
      <c r="AC387" s="7"/>
      <c r="AD387" s="7"/>
      <c r="AM387" s="8"/>
      <c r="AN387" s="7"/>
      <c r="AO387" s="8"/>
      <c r="AP387" s="8"/>
      <c r="AR387" s="8"/>
      <c r="AS387" s="9"/>
      <c r="AW387" s="9"/>
      <c r="AX387" s="7"/>
      <c r="AY387" s="8"/>
      <c r="BA387" s="6"/>
    </row>
    <row r="388" customFormat="false" ht="18" hidden="false" customHeight="true" outlineLevel="0" collapsed="false">
      <c r="C388" s="6"/>
      <c r="V388" s="7"/>
      <c r="W388" s="7"/>
      <c r="X388" s="7"/>
      <c r="Y388" s="7"/>
      <c r="Z388" s="7"/>
      <c r="AA388" s="7"/>
      <c r="AB388" s="7"/>
      <c r="AC388" s="7"/>
      <c r="AD388" s="7"/>
      <c r="AM388" s="8"/>
      <c r="AN388" s="7"/>
      <c r="AO388" s="8"/>
      <c r="AP388" s="8"/>
      <c r="AR388" s="8"/>
      <c r="AS388" s="9"/>
      <c r="AW388" s="9"/>
      <c r="AX388" s="7"/>
      <c r="AY388" s="8"/>
      <c r="BA388" s="6"/>
    </row>
    <row r="389" customFormat="false" ht="18" hidden="false" customHeight="true" outlineLevel="0" collapsed="false">
      <c r="C389" s="6"/>
      <c r="V389" s="7"/>
      <c r="W389" s="7"/>
      <c r="X389" s="7"/>
      <c r="Y389" s="7"/>
      <c r="Z389" s="7"/>
      <c r="AA389" s="7"/>
      <c r="AB389" s="7"/>
      <c r="AC389" s="7"/>
      <c r="AD389" s="7"/>
      <c r="AM389" s="8"/>
      <c r="AN389" s="7"/>
      <c r="AO389" s="8"/>
      <c r="AP389" s="8"/>
      <c r="AR389" s="8"/>
      <c r="AS389" s="9"/>
      <c r="AW389" s="9"/>
      <c r="AX389" s="7"/>
      <c r="AY389" s="8"/>
      <c r="BA389" s="6"/>
    </row>
    <row r="390" customFormat="false" ht="18" hidden="false" customHeight="true" outlineLevel="0" collapsed="false">
      <c r="C390" s="6"/>
      <c r="V390" s="7"/>
      <c r="W390" s="7"/>
      <c r="X390" s="7"/>
      <c r="Y390" s="7"/>
      <c r="Z390" s="7"/>
      <c r="AA390" s="7"/>
      <c r="AB390" s="7"/>
      <c r="AC390" s="7"/>
      <c r="AD390" s="7"/>
      <c r="AM390" s="8"/>
      <c r="AN390" s="7"/>
      <c r="AO390" s="8"/>
      <c r="AP390" s="8"/>
      <c r="AR390" s="8"/>
      <c r="AS390" s="9"/>
      <c r="AW390" s="9"/>
      <c r="AX390" s="7"/>
      <c r="AY390" s="8"/>
      <c r="BA390" s="6"/>
    </row>
    <row r="391" customFormat="false" ht="18" hidden="false" customHeight="true" outlineLevel="0" collapsed="false">
      <c r="C391" s="6"/>
      <c r="V391" s="7"/>
      <c r="W391" s="7"/>
      <c r="X391" s="7"/>
      <c r="Y391" s="7"/>
      <c r="Z391" s="7"/>
      <c r="AA391" s="7"/>
      <c r="AB391" s="7"/>
      <c r="AC391" s="7"/>
      <c r="AD391" s="7"/>
      <c r="AM391" s="8"/>
      <c r="AN391" s="7"/>
      <c r="AO391" s="8"/>
      <c r="AP391" s="8"/>
      <c r="AR391" s="8"/>
      <c r="AS391" s="9"/>
      <c r="AW391" s="9"/>
      <c r="AX391" s="7"/>
      <c r="AY391" s="8"/>
      <c r="BA391" s="6"/>
    </row>
    <row r="392" customFormat="false" ht="18" hidden="false" customHeight="true" outlineLevel="0" collapsed="false">
      <c r="C392" s="6"/>
      <c r="V392" s="7"/>
      <c r="W392" s="7"/>
      <c r="X392" s="7"/>
      <c r="Y392" s="7"/>
      <c r="Z392" s="7"/>
      <c r="AA392" s="7"/>
      <c r="AB392" s="7"/>
      <c r="AC392" s="7"/>
      <c r="AD392" s="7"/>
      <c r="AM392" s="8"/>
      <c r="AN392" s="7"/>
      <c r="AO392" s="8"/>
      <c r="AP392" s="8"/>
      <c r="AR392" s="8"/>
      <c r="AS392" s="9"/>
      <c r="AW392" s="9"/>
      <c r="AX392" s="7"/>
      <c r="AY392" s="8"/>
      <c r="BA392" s="6"/>
    </row>
    <row r="393" customFormat="false" ht="18" hidden="false" customHeight="true" outlineLevel="0" collapsed="false">
      <c r="C393" s="6"/>
      <c r="V393" s="7"/>
      <c r="W393" s="7"/>
      <c r="X393" s="7"/>
      <c r="Y393" s="7"/>
      <c r="Z393" s="7"/>
      <c r="AA393" s="7"/>
      <c r="AB393" s="7"/>
      <c r="AC393" s="7"/>
      <c r="AD393" s="7"/>
      <c r="AM393" s="8"/>
      <c r="AN393" s="7"/>
      <c r="AO393" s="8"/>
      <c r="AP393" s="8"/>
      <c r="AR393" s="8"/>
      <c r="AS393" s="9"/>
      <c r="AW393" s="9"/>
      <c r="AX393" s="7"/>
      <c r="AY393" s="8"/>
      <c r="BA393" s="6"/>
    </row>
    <row r="394" customFormat="false" ht="18" hidden="false" customHeight="true" outlineLevel="0" collapsed="false">
      <c r="C394" s="6"/>
      <c r="V394" s="7"/>
      <c r="W394" s="7"/>
      <c r="X394" s="7"/>
      <c r="Y394" s="7"/>
      <c r="Z394" s="7"/>
      <c r="AA394" s="7"/>
      <c r="AB394" s="7"/>
      <c r="AC394" s="7"/>
      <c r="AD394" s="7"/>
      <c r="AM394" s="8"/>
      <c r="AN394" s="7"/>
      <c r="AO394" s="8"/>
      <c r="AP394" s="8"/>
      <c r="AR394" s="8"/>
      <c r="AS394" s="9"/>
      <c r="AW394" s="9"/>
      <c r="AX394" s="7"/>
      <c r="AY394" s="8"/>
      <c r="BA394" s="6"/>
    </row>
    <row r="395" customFormat="false" ht="18" hidden="false" customHeight="true" outlineLevel="0" collapsed="false">
      <c r="C395" s="6"/>
      <c r="V395" s="7"/>
      <c r="W395" s="7"/>
      <c r="X395" s="7"/>
      <c r="Y395" s="7"/>
      <c r="Z395" s="7"/>
      <c r="AA395" s="7"/>
      <c r="AB395" s="7"/>
      <c r="AC395" s="7"/>
      <c r="AD395" s="7"/>
      <c r="AM395" s="8"/>
      <c r="AN395" s="7"/>
      <c r="AO395" s="8"/>
      <c r="AP395" s="8"/>
      <c r="AR395" s="8"/>
      <c r="AS395" s="9"/>
      <c r="AW395" s="9"/>
      <c r="AX395" s="7"/>
      <c r="AY395" s="8"/>
      <c r="BA395" s="6"/>
    </row>
    <row r="396" customFormat="false" ht="18" hidden="false" customHeight="true" outlineLevel="0" collapsed="false">
      <c r="C396" s="6"/>
      <c r="V396" s="7"/>
      <c r="W396" s="7"/>
      <c r="X396" s="7"/>
      <c r="Y396" s="7"/>
      <c r="Z396" s="7"/>
      <c r="AA396" s="7"/>
      <c r="AB396" s="7"/>
      <c r="AC396" s="7"/>
      <c r="AD396" s="7"/>
      <c r="AM396" s="8"/>
      <c r="AN396" s="7"/>
      <c r="AO396" s="8"/>
      <c r="AP396" s="8"/>
      <c r="AR396" s="8"/>
      <c r="AS396" s="9"/>
      <c r="AW396" s="9"/>
      <c r="AX396" s="7"/>
      <c r="AY396" s="8"/>
      <c r="BA396" s="6"/>
    </row>
    <row r="397" customFormat="false" ht="18" hidden="false" customHeight="true" outlineLevel="0" collapsed="false">
      <c r="C397" s="6"/>
      <c r="V397" s="7"/>
      <c r="W397" s="7"/>
      <c r="X397" s="7"/>
      <c r="Y397" s="7"/>
      <c r="Z397" s="7"/>
      <c r="AA397" s="7"/>
      <c r="AB397" s="7"/>
      <c r="AC397" s="7"/>
      <c r="AD397" s="7"/>
      <c r="AM397" s="8"/>
      <c r="AN397" s="7"/>
      <c r="AO397" s="8"/>
      <c r="AP397" s="8"/>
      <c r="AR397" s="8"/>
      <c r="AS397" s="9"/>
      <c r="AW397" s="9"/>
      <c r="AX397" s="7"/>
      <c r="AY397" s="8"/>
      <c r="BA397" s="6"/>
    </row>
    <row r="398" customFormat="false" ht="18" hidden="false" customHeight="true" outlineLevel="0" collapsed="false">
      <c r="C398" s="6"/>
      <c r="V398" s="7"/>
      <c r="W398" s="7"/>
      <c r="X398" s="7"/>
      <c r="Y398" s="7"/>
      <c r="Z398" s="7"/>
      <c r="AA398" s="7"/>
      <c r="AB398" s="7"/>
      <c r="AC398" s="7"/>
      <c r="AD398" s="7"/>
      <c r="AM398" s="8"/>
      <c r="AN398" s="7"/>
      <c r="AO398" s="8"/>
      <c r="AP398" s="8"/>
      <c r="AR398" s="8"/>
      <c r="AS398" s="9"/>
      <c r="AW398" s="9"/>
      <c r="AX398" s="7"/>
      <c r="AY398" s="8"/>
      <c r="BA398" s="6"/>
    </row>
    <row r="399" customFormat="false" ht="18" hidden="false" customHeight="true" outlineLevel="0" collapsed="false">
      <c r="C399" s="6"/>
      <c r="V399" s="7"/>
      <c r="W399" s="7"/>
      <c r="X399" s="7"/>
      <c r="Y399" s="7"/>
      <c r="Z399" s="7"/>
      <c r="AA399" s="7"/>
      <c r="AB399" s="7"/>
      <c r="AC399" s="7"/>
      <c r="AD399" s="7"/>
      <c r="AM399" s="8"/>
      <c r="AN399" s="7"/>
      <c r="AO399" s="8"/>
      <c r="AP399" s="8"/>
      <c r="AR399" s="8"/>
      <c r="AS399" s="9"/>
      <c r="AW399" s="9"/>
      <c r="AX399" s="7"/>
      <c r="AY399" s="8"/>
      <c r="BA399" s="6"/>
    </row>
    <row r="400" customFormat="false" ht="18" hidden="false" customHeight="true" outlineLevel="0" collapsed="false">
      <c r="C400" s="6"/>
      <c r="V400" s="7"/>
      <c r="W400" s="7"/>
      <c r="X400" s="7"/>
      <c r="Y400" s="7"/>
      <c r="Z400" s="7"/>
      <c r="AA400" s="7"/>
      <c r="AB400" s="7"/>
      <c r="AC400" s="7"/>
      <c r="AD400" s="7"/>
      <c r="AM400" s="8"/>
      <c r="AN400" s="7"/>
      <c r="AO400" s="8"/>
      <c r="AP400" s="8"/>
      <c r="AR400" s="8"/>
      <c r="AS400" s="9"/>
      <c r="AW400" s="9"/>
      <c r="AX400" s="7"/>
      <c r="AY400" s="8"/>
      <c r="BA400" s="6"/>
    </row>
    <row r="401" customFormat="false" ht="18" hidden="false" customHeight="true" outlineLevel="0" collapsed="false">
      <c r="C401" s="6"/>
      <c r="V401" s="7"/>
      <c r="W401" s="7"/>
      <c r="X401" s="7"/>
      <c r="Y401" s="7"/>
      <c r="Z401" s="7"/>
      <c r="AA401" s="7"/>
      <c r="AB401" s="7"/>
      <c r="AC401" s="7"/>
      <c r="AD401" s="7"/>
      <c r="AM401" s="8"/>
      <c r="AN401" s="7"/>
      <c r="AO401" s="8"/>
      <c r="AP401" s="8"/>
      <c r="AR401" s="8"/>
      <c r="AS401" s="9"/>
      <c r="AW401" s="9"/>
      <c r="AX401" s="7"/>
      <c r="AY401" s="8"/>
      <c r="BA401" s="6"/>
    </row>
  </sheetData>
  <dataValidations count="7">
    <dataValidation allowBlank="true" errorStyle="stop" operator="between" showDropDown="false" showErrorMessage="false" showInputMessage="false" sqref="B2:B401" type="list">
      <formula1>"Abierto,Cerrado"</formula1>
      <formula2>0</formula2>
    </dataValidation>
    <dataValidation allowBlank="true" errorStyle="stop" operator="between" showDropDown="false" showErrorMessage="false" showInputMessage="false" sqref="P2:P401" type="list">
      <formula1>"0,1,2+"</formula1>
      <formula2>0</formula2>
    </dataValidation>
    <dataValidation allowBlank="true" errorStyle="stop" operator="between" showDropDown="false" showErrorMessage="false" showInputMessage="false" sqref="Q2:Q401" type="list">
      <formula1>"0,1,2+"</formula1>
      <formula2>0</formula2>
    </dataValidation>
    <dataValidation allowBlank="true" errorStyle="stop" operator="between" showDropDown="false" showErrorMessage="false" showInputMessage="false" sqref="R2:R401" type="list">
      <formula1>"ninguno,local,visitante"</formula1>
      <formula2>0</formula2>
    </dataValidation>
    <dataValidation allowBlank="true" errorStyle="stop" operator="between" showDropDown="false" showErrorMessage="false" showInputMessage="false" sqref="S2:S401" type="list">
      <formula1>"Sí,No"</formula1>
      <formula2>0</formula2>
    </dataValidation>
    <dataValidation allowBlank="true" errorStyle="stop" operator="between" showDropDown="false" showErrorMessage="false" showInputMessage="false" sqref="AT2:AT401" type="list">
      <formula1>"APOSTAR,BORDERLINE,PASAR"</formula1>
      <formula2>0</formula2>
    </dataValidation>
    <dataValidation allowBlank="true" errorStyle="stop" operator="between" showDropDown="false" showErrorMessage="false" showInputMessage="false" sqref="AV2:AV401" type="list">
      <formula1>"Ganada,Perdida,Push,Cash out,Anulada"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1"/>
    <col collapsed="false" customWidth="true" hidden="false" outlineLevel="0" max="4" min="4" style="1" width="60"/>
    <col collapsed="false" customWidth="true" hidden="false" outlineLevel="0" max="5" min="5" style="1" width="45"/>
  </cols>
  <sheetData>
    <row r="1" customFormat="false" ht="15" hidden="false" customHeight="true" outlineLevel="0" collapsed="false">
      <c r="A1" s="5" t="s">
        <v>48</v>
      </c>
      <c r="B1" s="5" t="s">
        <v>54</v>
      </c>
      <c r="C1" s="5" t="s">
        <v>164</v>
      </c>
      <c r="D1" s="5" t="s">
        <v>165</v>
      </c>
      <c r="E1" s="5" t="s">
        <v>166</v>
      </c>
    </row>
    <row r="2" customFormat="false" ht="18" hidden="false" customHeight="true" outlineLevel="0" collapsed="false">
      <c r="C2" s="6"/>
      <c r="D2" s="10"/>
      <c r="E2" s="10"/>
    </row>
    <row r="3" customFormat="false" ht="18" hidden="false" customHeight="true" outlineLevel="0" collapsed="false">
      <c r="C3" s="6"/>
      <c r="D3" s="10"/>
      <c r="E3" s="10"/>
    </row>
    <row r="4" customFormat="false" ht="18" hidden="false" customHeight="true" outlineLevel="0" collapsed="false">
      <c r="C4" s="6"/>
      <c r="D4" s="10"/>
      <c r="E4" s="10"/>
    </row>
    <row r="5" customFormat="false" ht="18" hidden="false" customHeight="true" outlineLevel="0" collapsed="false">
      <c r="C5" s="6"/>
      <c r="D5" s="10"/>
      <c r="E5" s="10"/>
    </row>
    <row r="6" customFormat="false" ht="18" hidden="false" customHeight="true" outlineLevel="0" collapsed="false">
      <c r="C6" s="6"/>
      <c r="D6" s="10"/>
      <c r="E6" s="10"/>
    </row>
    <row r="7" customFormat="false" ht="18" hidden="false" customHeight="true" outlineLevel="0" collapsed="false">
      <c r="C7" s="6"/>
      <c r="D7" s="10"/>
      <c r="E7" s="10"/>
    </row>
    <row r="8" customFormat="false" ht="18" hidden="false" customHeight="true" outlineLevel="0" collapsed="false">
      <c r="C8" s="6"/>
      <c r="D8" s="10"/>
      <c r="E8" s="10"/>
    </row>
    <row r="9" customFormat="false" ht="18" hidden="false" customHeight="true" outlineLevel="0" collapsed="false">
      <c r="C9" s="6"/>
      <c r="D9" s="10"/>
      <c r="E9" s="10"/>
    </row>
    <row r="10" customFormat="false" ht="18" hidden="false" customHeight="true" outlineLevel="0" collapsed="false">
      <c r="C10" s="6"/>
      <c r="D10" s="10"/>
      <c r="E10" s="10"/>
    </row>
    <row r="11" customFormat="false" ht="18" hidden="false" customHeight="true" outlineLevel="0" collapsed="false">
      <c r="C11" s="6"/>
      <c r="D11" s="10"/>
      <c r="E11" s="10"/>
    </row>
    <row r="12" customFormat="false" ht="18" hidden="false" customHeight="true" outlineLevel="0" collapsed="false">
      <c r="C12" s="6"/>
      <c r="D12" s="10"/>
      <c r="E12" s="10"/>
    </row>
    <row r="13" customFormat="false" ht="18" hidden="false" customHeight="true" outlineLevel="0" collapsed="false">
      <c r="C13" s="6"/>
      <c r="D13" s="10"/>
      <c r="E13" s="10"/>
    </row>
    <row r="14" customFormat="false" ht="18" hidden="false" customHeight="true" outlineLevel="0" collapsed="false">
      <c r="C14" s="6"/>
      <c r="D14" s="10"/>
      <c r="E14" s="10"/>
    </row>
    <row r="15" customFormat="false" ht="18" hidden="false" customHeight="true" outlineLevel="0" collapsed="false">
      <c r="C15" s="6"/>
      <c r="D15" s="10"/>
      <c r="E15" s="10"/>
    </row>
    <row r="16" customFormat="false" ht="18" hidden="false" customHeight="true" outlineLevel="0" collapsed="false">
      <c r="C16" s="6"/>
      <c r="D16" s="10"/>
      <c r="E16" s="10"/>
    </row>
    <row r="17" customFormat="false" ht="18" hidden="false" customHeight="true" outlineLevel="0" collapsed="false">
      <c r="C17" s="6"/>
      <c r="D17" s="10"/>
      <c r="E17" s="10"/>
    </row>
    <row r="18" customFormat="false" ht="18" hidden="false" customHeight="true" outlineLevel="0" collapsed="false">
      <c r="C18" s="6"/>
      <c r="D18" s="10"/>
      <c r="E18" s="10"/>
    </row>
    <row r="19" customFormat="false" ht="18" hidden="false" customHeight="true" outlineLevel="0" collapsed="false">
      <c r="C19" s="6"/>
      <c r="D19" s="10"/>
      <c r="E19" s="10"/>
    </row>
    <row r="20" customFormat="false" ht="18" hidden="false" customHeight="true" outlineLevel="0" collapsed="false">
      <c r="C20" s="6"/>
      <c r="D20" s="10"/>
      <c r="E20" s="10"/>
    </row>
    <row r="21" customFormat="false" ht="18" hidden="false" customHeight="true" outlineLevel="0" collapsed="false">
      <c r="C21" s="6"/>
      <c r="D21" s="10"/>
      <c r="E21" s="10"/>
    </row>
    <row r="22" customFormat="false" ht="18" hidden="false" customHeight="true" outlineLevel="0" collapsed="false">
      <c r="C22" s="6"/>
      <c r="D22" s="10"/>
      <c r="E22" s="10"/>
    </row>
    <row r="23" customFormat="false" ht="18" hidden="false" customHeight="true" outlineLevel="0" collapsed="false">
      <c r="C23" s="6"/>
      <c r="D23" s="10"/>
      <c r="E23" s="10"/>
    </row>
    <row r="24" customFormat="false" ht="18" hidden="false" customHeight="true" outlineLevel="0" collapsed="false">
      <c r="C24" s="6"/>
      <c r="D24" s="10"/>
      <c r="E24" s="10"/>
    </row>
    <row r="25" customFormat="false" ht="18" hidden="false" customHeight="true" outlineLevel="0" collapsed="false">
      <c r="C25" s="6"/>
      <c r="D25" s="10"/>
      <c r="E25" s="10"/>
    </row>
    <row r="26" customFormat="false" ht="18" hidden="false" customHeight="true" outlineLevel="0" collapsed="false">
      <c r="C26" s="6"/>
      <c r="D26" s="10"/>
      <c r="E26" s="10"/>
    </row>
    <row r="27" customFormat="false" ht="18" hidden="false" customHeight="true" outlineLevel="0" collapsed="false">
      <c r="C27" s="6"/>
      <c r="D27" s="10"/>
      <c r="E27" s="10"/>
    </row>
    <row r="28" customFormat="false" ht="18" hidden="false" customHeight="true" outlineLevel="0" collapsed="false">
      <c r="C28" s="6"/>
      <c r="D28" s="10"/>
      <c r="E28" s="10"/>
    </row>
    <row r="29" customFormat="false" ht="18" hidden="false" customHeight="true" outlineLevel="0" collapsed="false">
      <c r="C29" s="6"/>
      <c r="D29" s="10"/>
      <c r="E29" s="10"/>
    </row>
    <row r="30" customFormat="false" ht="18" hidden="false" customHeight="true" outlineLevel="0" collapsed="false">
      <c r="C30" s="6"/>
      <c r="D30" s="10"/>
      <c r="E30" s="10"/>
    </row>
    <row r="31" customFormat="false" ht="18" hidden="false" customHeight="true" outlineLevel="0" collapsed="false">
      <c r="C31" s="6"/>
      <c r="D31" s="10"/>
      <c r="E31" s="10"/>
    </row>
    <row r="32" customFormat="false" ht="18" hidden="false" customHeight="true" outlineLevel="0" collapsed="false">
      <c r="C32" s="6"/>
      <c r="D32" s="10"/>
      <c r="E32" s="10"/>
    </row>
    <row r="33" customFormat="false" ht="18" hidden="false" customHeight="true" outlineLevel="0" collapsed="false">
      <c r="C33" s="6"/>
      <c r="D33" s="10"/>
      <c r="E33" s="10"/>
    </row>
    <row r="34" customFormat="false" ht="18" hidden="false" customHeight="true" outlineLevel="0" collapsed="false">
      <c r="C34" s="6"/>
      <c r="D34" s="10"/>
      <c r="E34" s="10"/>
    </row>
    <row r="35" customFormat="false" ht="18" hidden="false" customHeight="true" outlineLevel="0" collapsed="false">
      <c r="C35" s="6"/>
      <c r="D35" s="10"/>
      <c r="E35" s="10"/>
    </row>
    <row r="36" customFormat="false" ht="18" hidden="false" customHeight="true" outlineLevel="0" collapsed="false">
      <c r="C36" s="6"/>
      <c r="D36" s="10"/>
      <c r="E36" s="10"/>
    </row>
    <row r="37" customFormat="false" ht="18" hidden="false" customHeight="true" outlineLevel="0" collapsed="false">
      <c r="C37" s="6"/>
      <c r="D37" s="10"/>
      <c r="E37" s="10"/>
    </row>
    <row r="38" customFormat="false" ht="18" hidden="false" customHeight="true" outlineLevel="0" collapsed="false">
      <c r="C38" s="6"/>
      <c r="D38" s="10"/>
      <c r="E38" s="10"/>
    </row>
    <row r="39" customFormat="false" ht="18" hidden="false" customHeight="true" outlineLevel="0" collapsed="false">
      <c r="C39" s="6"/>
      <c r="D39" s="10"/>
      <c r="E39" s="10"/>
    </row>
    <row r="40" customFormat="false" ht="18" hidden="false" customHeight="true" outlineLevel="0" collapsed="false">
      <c r="C40" s="6"/>
      <c r="D40" s="10"/>
      <c r="E40" s="10"/>
    </row>
    <row r="41" customFormat="false" ht="18" hidden="false" customHeight="true" outlineLevel="0" collapsed="false">
      <c r="C41" s="6"/>
      <c r="D41" s="10"/>
      <c r="E41" s="10"/>
    </row>
    <row r="42" customFormat="false" ht="18" hidden="false" customHeight="true" outlineLevel="0" collapsed="false">
      <c r="C42" s="6"/>
      <c r="D42" s="10"/>
      <c r="E42" s="10"/>
    </row>
    <row r="43" customFormat="false" ht="18" hidden="false" customHeight="true" outlineLevel="0" collapsed="false">
      <c r="C43" s="6"/>
      <c r="D43" s="10"/>
      <c r="E43" s="10"/>
    </row>
    <row r="44" customFormat="false" ht="18" hidden="false" customHeight="true" outlineLevel="0" collapsed="false">
      <c r="C44" s="6"/>
      <c r="D44" s="10"/>
      <c r="E44" s="10"/>
    </row>
    <row r="45" customFormat="false" ht="18" hidden="false" customHeight="true" outlineLevel="0" collapsed="false">
      <c r="C45" s="6"/>
      <c r="D45" s="10"/>
      <c r="E45" s="10"/>
    </row>
    <row r="46" customFormat="false" ht="18" hidden="false" customHeight="true" outlineLevel="0" collapsed="false">
      <c r="C46" s="6"/>
      <c r="D46" s="10"/>
      <c r="E46" s="10"/>
    </row>
    <row r="47" customFormat="false" ht="18" hidden="false" customHeight="true" outlineLevel="0" collapsed="false">
      <c r="C47" s="6"/>
      <c r="D47" s="10"/>
      <c r="E47" s="10"/>
    </row>
    <row r="48" customFormat="false" ht="18" hidden="false" customHeight="true" outlineLevel="0" collapsed="false">
      <c r="C48" s="6"/>
      <c r="D48" s="10"/>
      <c r="E48" s="10"/>
    </row>
    <row r="49" customFormat="false" ht="18" hidden="false" customHeight="true" outlineLevel="0" collapsed="false">
      <c r="C49" s="6"/>
      <c r="D49" s="10"/>
      <c r="E49" s="10"/>
    </row>
    <row r="50" customFormat="false" ht="18" hidden="false" customHeight="true" outlineLevel="0" collapsed="false">
      <c r="C50" s="6"/>
      <c r="D50" s="10"/>
      <c r="E50" s="10"/>
    </row>
    <row r="51" customFormat="false" ht="18" hidden="false" customHeight="true" outlineLevel="0" collapsed="false">
      <c r="C51" s="6"/>
      <c r="D51" s="10"/>
      <c r="E51" s="10"/>
    </row>
    <row r="52" customFormat="false" ht="18" hidden="false" customHeight="true" outlineLevel="0" collapsed="false">
      <c r="C52" s="6"/>
      <c r="D52" s="10"/>
      <c r="E52" s="10"/>
    </row>
    <row r="53" customFormat="false" ht="18" hidden="false" customHeight="true" outlineLevel="0" collapsed="false">
      <c r="C53" s="6"/>
      <c r="D53" s="10"/>
      <c r="E53" s="10"/>
    </row>
    <row r="54" customFormat="false" ht="18" hidden="false" customHeight="true" outlineLevel="0" collapsed="false">
      <c r="C54" s="6"/>
      <c r="D54" s="10"/>
      <c r="E54" s="10"/>
    </row>
    <row r="55" customFormat="false" ht="18" hidden="false" customHeight="true" outlineLevel="0" collapsed="false">
      <c r="C55" s="6"/>
      <c r="D55" s="10"/>
      <c r="E55" s="10"/>
    </row>
    <row r="56" customFormat="false" ht="18" hidden="false" customHeight="true" outlineLevel="0" collapsed="false">
      <c r="C56" s="6"/>
      <c r="D56" s="10"/>
      <c r="E56" s="10"/>
    </row>
    <row r="57" customFormat="false" ht="18" hidden="false" customHeight="true" outlineLevel="0" collapsed="false">
      <c r="C57" s="6"/>
      <c r="D57" s="10"/>
      <c r="E57" s="10"/>
    </row>
    <row r="58" customFormat="false" ht="18" hidden="false" customHeight="true" outlineLevel="0" collapsed="false">
      <c r="C58" s="6"/>
      <c r="D58" s="10"/>
      <c r="E58" s="10"/>
    </row>
    <row r="59" customFormat="false" ht="18" hidden="false" customHeight="true" outlineLevel="0" collapsed="false">
      <c r="C59" s="6"/>
      <c r="D59" s="10"/>
      <c r="E59" s="10"/>
    </row>
    <row r="60" customFormat="false" ht="18" hidden="false" customHeight="true" outlineLevel="0" collapsed="false">
      <c r="C60" s="6"/>
      <c r="D60" s="10"/>
      <c r="E60" s="10"/>
    </row>
    <row r="61" customFormat="false" ht="18" hidden="false" customHeight="true" outlineLevel="0" collapsed="false">
      <c r="C61" s="6"/>
      <c r="D61" s="10"/>
      <c r="E61" s="10"/>
    </row>
    <row r="62" customFormat="false" ht="18" hidden="false" customHeight="true" outlineLevel="0" collapsed="false">
      <c r="C62" s="6"/>
      <c r="D62" s="10"/>
      <c r="E62" s="10"/>
    </row>
    <row r="63" customFormat="false" ht="18" hidden="false" customHeight="true" outlineLevel="0" collapsed="false">
      <c r="C63" s="6"/>
      <c r="D63" s="10"/>
      <c r="E63" s="10"/>
    </row>
    <row r="64" customFormat="false" ht="18" hidden="false" customHeight="true" outlineLevel="0" collapsed="false">
      <c r="C64" s="6"/>
      <c r="D64" s="10"/>
      <c r="E64" s="10"/>
    </row>
    <row r="65" customFormat="false" ht="18" hidden="false" customHeight="true" outlineLevel="0" collapsed="false">
      <c r="C65" s="6"/>
      <c r="D65" s="10"/>
      <c r="E65" s="10"/>
    </row>
    <row r="66" customFormat="false" ht="18" hidden="false" customHeight="true" outlineLevel="0" collapsed="false">
      <c r="C66" s="6"/>
      <c r="D66" s="10"/>
      <c r="E66" s="10"/>
    </row>
    <row r="67" customFormat="false" ht="18" hidden="false" customHeight="true" outlineLevel="0" collapsed="false">
      <c r="C67" s="6"/>
      <c r="D67" s="10"/>
      <c r="E67" s="10"/>
    </row>
    <row r="68" customFormat="false" ht="18" hidden="false" customHeight="true" outlineLevel="0" collapsed="false">
      <c r="C68" s="6"/>
      <c r="D68" s="10"/>
      <c r="E68" s="10"/>
    </row>
    <row r="69" customFormat="false" ht="18" hidden="false" customHeight="true" outlineLevel="0" collapsed="false">
      <c r="C69" s="6"/>
      <c r="D69" s="10"/>
      <c r="E69" s="10"/>
    </row>
    <row r="70" customFormat="false" ht="18" hidden="false" customHeight="true" outlineLevel="0" collapsed="false">
      <c r="C70" s="6"/>
      <c r="D70" s="10"/>
      <c r="E70" s="10"/>
    </row>
    <row r="71" customFormat="false" ht="18" hidden="false" customHeight="true" outlineLevel="0" collapsed="false">
      <c r="C71" s="6"/>
      <c r="D71" s="10"/>
      <c r="E71" s="10"/>
    </row>
    <row r="72" customFormat="false" ht="18" hidden="false" customHeight="true" outlineLevel="0" collapsed="false">
      <c r="C72" s="6"/>
      <c r="D72" s="10"/>
      <c r="E72" s="10"/>
    </row>
    <row r="73" customFormat="false" ht="18" hidden="false" customHeight="true" outlineLevel="0" collapsed="false">
      <c r="C73" s="6"/>
      <c r="D73" s="10"/>
      <c r="E73" s="10"/>
    </row>
    <row r="74" customFormat="false" ht="18" hidden="false" customHeight="true" outlineLevel="0" collapsed="false">
      <c r="C74" s="6"/>
      <c r="D74" s="10"/>
      <c r="E74" s="10"/>
    </row>
    <row r="75" customFormat="false" ht="18" hidden="false" customHeight="true" outlineLevel="0" collapsed="false">
      <c r="C75" s="6"/>
      <c r="D75" s="10"/>
      <c r="E75" s="10"/>
    </row>
    <row r="76" customFormat="false" ht="18" hidden="false" customHeight="true" outlineLevel="0" collapsed="false">
      <c r="C76" s="6"/>
      <c r="D76" s="10"/>
      <c r="E76" s="10"/>
    </row>
    <row r="77" customFormat="false" ht="18" hidden="false" customHeight="true" outlineLevel="0" collapsed="false">
      <c r="C77" s="6"/>
      <c r="D77" s="10"/>
      <c r="E77" s="10"/>
    </row>
    <row r="78" customFormat="false" ht="18" hidden="false" customHeight="true" outlineLevel="0" collapsed="false">
      <c r="C78" s="6"/>
      <c r="D78" s="10"/>
      <c r="E78" s="10"/>
    </row>
    <row r="79" customFormat="false" ht="18" hidden="false" customHeight="true" outlineLevel="0" collapsed="false">
      <c r="C79" s="6"/>
      <c r="D79" s="10"/>
      <c r="E79" s="10"/>
    </row>
    <row r="80" customFormat="false" ht="18" hidden="false" customHeight="true" outlineLevel="0" collapsed="false">
      <c r="C80" s="6"/>
      <c r="D80" s="10"/>
      <c r="E80" s="10"/>
    </row>
    <row r="81" customFormat="false" ht="18" hidden="false" customHeight="true" outlineLevel="0" collapsed="false">
      <c r="C81" s="6"/>
      <c r="D81" s="10"/>
      <c r="E81" s="10"/>
    </row>
    <row r="82" customFormat="false" ht="18" hidden="false" customHeight="true" outlineLevel="0" collapsed="false">
      <c r="C82" s="6"/>
      <c r="D82" s="10"/>
      <c r="E82" s="10"/>
    </row>
    <row r="83" customFormat="false" ht="18" hidden="false" customHeight="true" outlineLevel="0" collapsed="false">
      <c r="C83" s="6"/>
      <c r="D83" s="10"/>
      <c r="E83" s="10"/>
    </row>
    <row r="84" customFormat="false" ht="18" hidden="false" customHeight="true" outlineLevel="0" collapsed="false">
      <c r="C84" s="6"/>
      <c r="D84" s="10"/>
      <c r="E84" s="10"/>
    </row>
    <row r="85" customFormat="false" ht="18" hidden="false" customHeight="true" outlineLevel="0" collapsed="false">
      <c r="C85" s="6"/>
      <c r="D85" s="10"/>
      <c r="E85" s="10"/>
    </row>
    <row r="86" customFormat="false" ht="18" hidden="false" customHeight="true" outlineLevel="0" collapsed="false">
      <c r="C86" s="6"/>
      <c r="D86" s="10"/>
      <c r="E86" s="10"/>
    </row>
    <row r="87" customFormat="false" ht="18" hidden="false" customHeight="true" outlineLevel="0" collapsed="false">
      <c r="C87" s="6"/>
      <c r="D87" s="10"/>
      <c r="E87" s="10"/>
    </row>
    <row r="88" customFormat="false" ht="18" hidden="false" customHeight="true" outlineLevel="0" collapsed="false">
      <c r="C88" s="6"/>
      <c r="D88" s="10"/>
      <c r="E88" s="10"/>
    </row>
    <row r="89" customFormat="false" ht="18" hidden="false" customHeight="true" outlineLevel="0" collapsed="false">
      <c r="C89" s="6"/>
      <c r="D89" s="10"/>
      <c r="E89" s="10"/>
    </row>
    <row r="90" customFormat="false" ht="18" hidden="false" customHeight="true" outlineLevel="0" collapsed="false">
      <c r="C90" s="6"/>
      <c r="D90" s="10"/>
      <c r="E90" s="10"/>
    </row>
    <row r="91" customFormat="false" ht="18" hidden="false" customHeight="true" outlineLevel="0" collapsed="false">
      <c r="C91" s="6"/>
      <c r="D91" s="10"/>
      <c r="E91" s="10"/>
    </row>
    <row r="92" customFormat="false" ht="18" hidden="false" customHeight="true" outlineLevel="0" collapsed="false">
      <c r="C92" s="6"/>
      <c r="D92" s="10"/>
      <c r="E92" s="10"/>
    </row>
    <row r="93" customFormat="false" ht="18" hidden="false" customHeight="true" outlineLevel="0" collapsed="false">
      <c r="C93" s="6"/>
      <c r="D93" s="10"/>
      <c r="E93" s="10"/>
    </row>
    <row r="94" customFormat="false" ht="18" hidden="false" customHeight="true" outlineLevel="0" collapsed="false">
      <c r="C94" s="6"/>
      <c r="D94" s="10"/>
      <c r="E94" s="10"/>
    </row>
    <row r="95" customFormat="false" ht="18" hidden="false" customHeight="true" outlineLevel="0" collapsed="false">
      <c r="C95" s="6"/>
      <c r="D95" s="10"/>
      <c r="E95" s="10"/>
    </row>
    <row r="96" customFormat="false" ht="18" hidden="false" customHeight="true" outlineLevel="0" collapsed="false">
      <c r="C96" s="6"/>
      <c r="D96" s="10"/>
      <c r="E96" s="10"/>
    </row>
    <row r="97" customFormat="false" ht="18" hidden="false" customHeight="true" outlineLevel="0" collapsed="false">
      <c r="C97" s="6"/>
      <c r="D97" s="10"/>
      <c r="E97" s="10"/>
    </row>
    <row r="98" customFormat="false" ht="18" hidden="false" customHeight="true" outlineLevel="0" collapsed="false">
      <c r="C98" s="6"/>
      <c r="D98" s="10"/>
      <c r="E98" s="10"/>
    </row>
    <row r="99" customFormat="false" ht="18" hidden="false" customHeight="true" outlineLevel="0" collapsed="false">
      <c r="C99" s="6"/>
      <c r="D99" s="10"/>
      <c r="E99" s="10"/>
    </row>
    <row r="100" customFormat="false" ht="18" hidden="false" customHeight="true" outlineLevel="0" collapsed="false">
      <c r="C100" s="6"/>
      <c r="D100" s="10"/>
      <c r="E100" s="10"/>
    </row>
    <row r="101" customFormat="false" ht="18" hidden="false" customHeight="true" outlineLevel="0" collapsed="false">
      <c r="C101" s="6"/>
      <c r="D101" s="10"/>
      <c r="E101" s="10"/>
    </row>
    <row r="102" customFormat="false" ht="18" hidden="false" customHeight="true" outlineLevel="0" collapsed="false">
      <c r="C102" s="6"/>
      <c r="D102" s="10"/>
      <c r="E102" s="10"/>
    </row>
    <row r="103" customFormat="false" ht="18" hidden="false" customHeight="true" outlineLevel="0" collapsed="false">
      <c r="C103" s="6"/>
      <c r="D103" s="10"/>
      <c r="E103" s="10"/>
    </row>
    <row r="104" customFormat="false" ht="18" hidden="false" customHeight="true" outlineLevel="0" collapsed="false">
      <c r="C104" s="6"/>
      <c r="D104" s="10"/>
      <c r="E104" s="10"/>
    </row>
    <row r="105" customFormat="false" ht="18" hidden="false" customHeight="true" outlineLevel="0" collapsed="false">
      <c r="C105" s="6"/>
      <c r="D105" s="10"/>
      <c r="E105" s="10"/>
    </row>
    <row r="106" customFormat="false" ht="18" hidden="false" customHeight="true" outlineLevel="0" collapsed="false">
      <c r="C106" s="6"/>
      <c r="D106" s="10"/>
      <c r="E106" s="10"/>
    </row>
    <row r="107" customFormat="false" ht="18" hidden="false" customHeight="true" outlineLevel="0" collapsed="false">
      <c r="C107" s="6"/>
      <c r="D107" s="10"/>
      <c r="E107" s="10"/>
    </row>
    <row r="108" customFormat="false" ht="18" hidden="false" customHeight="true" outlineLevel="0" collapsed="false">
      <c r="C108" s="6"/>
      <c r="D108" s="10"/>
      <c r="E108" s="10"/>
    </row>
    <row r="109" customFormat="false" ht="18" hidden="false" customHeight="true" outlineLevel="0" collapsed="false">
      <c r="C109" s="6"/>
      <c r="D109" s="10"/>
      <c r="E109" s="10"/>
    </row>
    <row r="110" customFormat="false" ht="18" hidden="false" customHeight="true" outlineLevel="0" collapsed="false">
      <c r="C110" s="6"/>
      <c r="D110" s="10"/>
      <c r="E110" s="10"/>
    </row>
    <row r="111" customFormat="false" ht="18" hidden="false" customHeight="true" outlineLevel="0" collapsed="false">
      <c r="C111" s="6"/>
      <c r="D111" s="10"/>
      <c r="E111" s="10"/>
    </row>
    <row r="112" customFormat="false" ht="18" hidden="false" customHeight="true" outlineLevel="0" collapsed="false">
      <c r="C112" s="6"/>
      <c r="D112" s="10"/>
      <c r="E112" s="10"/>
    </row>
    <row r="113" customFormat="false" ht="18" hidden="false" customHeight="true" outlineLevel="0" collapsed="false">
      <c r="C113" s="6"/>
      <c r="D113" s="10"/>
      <c r="E113" s="10"/>
    </row>
    <row r="114" customFormat="false" ht="18" hidden="false" customHeight="true" outlineLevel="0" collapsed="false">
      <c r="C114" s="6"/>
      <c r="D114" s="10"/>
      <c r="E114" s="10"/>
    </row>
    <row r="115" customFormat="false" ht="18" hidden="false" customHeight="true" outlineLevel="0" collapsed="false">
      <c r="C115" s="6"/>
      <c r="D115" s="10"/>
      <c r="E115" s="10"/>
    </row>
    <row r="116" customFormat="false" ht="18" hidden="false" customHeight="true" outlineLevel="0" collapsed="false">
      <c r="C116" s="6"/>
      <c r="D116" s="10"/>
      <c r="E116" s="10"/>
    </row>
    <row r="117" customFormat="false" ht="18" hidden="false" customHeight="true" outlineLevel="0" collapsed="false">
      <c r="C117" s="6"/>
      <c r="D117" s="10"/>
      <c r="E117" s="10"/>
    </row>
    <row r="118" customFormat="false" ht="18" hidden="false" customHeight="true" outlineLevel="0" collapsed="false">
      <c r="C118" s="6"/>
      <c r="D118" s="10"/>
      <c r="E118" s="10"/>
    </row>
    <row r="119" customFormat="false" ht="18" hidden="false" customHeight="true" outlineLevel="0" collapsed="false">
      <c r="C119" s="6"/>
      <c r="D119" s="10"/>
      <c r="E119" s="10"/>
    </row>
    <row r="120" customFormat="false" ht="18" hidden="false" customHeight="true" outlineLevel="0" collapsed="false">
      <c r="C120" s="6"/>
      <c r="D120" s="10"/>
      <c r="E120" s="10"/>
    </row>
    <row r="121" customFormat="false" ht="18" hidden="false" customHeight="true" outlineLevel="0" collapsed="false">
      <c r="C121" s="6"/>
      <c r="D121" s="10"/>
      <c r="E121" s="10"/>
    </row>
    <row r="122" customFormat="false" ht="18" hidden="false" customHeight="true" outlineLevel="0" collapsed="false">
      <c r="C122" s="6"/>
      <c r="D122" s="10"/>
      <c r="E122" s="10"/>
    </row>
    <row r="123" customFormat="false" ht="18" hidden="false" customHeight="true" outlineLevel="0" collapsed="false">
      <c r="C123" s="6"/>
      <c r="D123" s="10"/>
      <c r="E123" s="10"/>
    </row>
    <row r="124" customFormat="false" ht="18" hidden="false" customHeight="true" outlineLevel="0" collapsed="false">
      <c r="C124" s="6"/>
      <c r="D124" s="10"/>
      <c r="E124" s="10"/>
    </row>
    <row r="125" customFormat="false" ht="18" hidden="false" customHeight="true" outlineLevel="0" collapsed="false">
      <c r="C125" s="6"/>
      <c r="D125" s="10"/>
      <c r="E125" s="10"/>
    </row>
    <row r="126" customFormat="false" ht="18" hidden="false" customHeight="true" outlineLevel="0" collapsed="false">
      <c r="C126" s="6"/>
      <c r="D126" s="10"/>
      <c r="E126" s="10"/>
    </row>
    <row r="127" customFormat="false" ht="18" hidden="false" customHeight="true" outlineLevel="0" collapsed="false">
      <c r="C127" s="6"/>
      <c r="D127" s="10"/>
      <c r="E127" s="10"/>
    </row>
    <row r="128" customFormat="false" ht="18" hidden="false" customHeight="true" outlineLevel="0" collapsed="false">
      <c r="C128" s="6"/>
      <c r="D128" s="10"/>
      <c r="E128" s="10"/>
    </row>
    <row r="129" customFormat="false" ht="18" hidden="false" customHeight="true" outlineLevel="0" collapsed="false">
      <c r="C129" s="6"/>
      <c r="D129" s="10"/>
      <c r="E129" s="10"/>
    </row>
    <row r="130" customFormat="false" ht="18" hidden="false" customHeight="true" outlineLevel="0" collapsed="false">
      <c r="C130" s="6"/>
      <c r="D130" s="10"/>
      <c r="E130" s="10"/>
    </row>
    <row r="131" customFormat="false" ht="18" hidden="false" customHeight="true" outlineLevel="0" collapsed="false">
      <c r="C131" s="6"/>
      <c r="D131" s="10"/>
      <c r="E131" s="10"/>
    </row>
    <row r="132" customFormat="false" ht="18" hidden="false" customHeight="true" outlineLevel="0" collapsed="false">
      <c r="C132" s="6"/>
      <c r="D132" s="10"/>
      <c r="E132" s="10"/>
    </row>
    <row r="133" customFormat="false" ht="18" hidden="false" customHeight="true" outlineLevel="0" collapsed="false">
      <c r="C133" s="6"/>
      <c r="D133" s="10"/>
      <c r="E133" s="10"/>
    </row>
    <row r="134" customFormat="false" ht="18" hidden="false" customHeight="true" outlineLevel="0" collapsed="false">
      <c r="C134" s="6"/>
      <c r="D134" s="10"/>
      <c r="E134" s="10"/>
    </row>
    <row r="135" customFormat="false" ht="18" hidden="false" customHeight="true" outlineLevel="0" collapsed="false">
      <c r="C135" s="6"/>
      <c r="D135" s="10"/>
      <c r="E135" s="10"/>
    </row>
    <row r="136" customFormat="false" ht="18" hidden="false" customHeight="true" outlineLevel="0" collapsed="false">
      <c r="C136" s="6"/>
      <c r="D136" s="10"/>
      <c r="E136" s="10"/>
    </row>
    <row r="137" customFormat="false" ht="18" hidden="false" customHeight="true" outlineLevel="0" collapsed="false">
      <c r="C137" s="6"/>
      <c r="D137" s="10"/>
      <c r="E137" s="10"/>
    </row>
    <row r="138" customFormat="false" ht="18" hidden="false" customHeight="true" outlineLevel="0" collapsed="false">
      <c r="C138" s="6"/>
      <c r="D138" s="10"/>
      <c r="E138" s="10"/>
    </row>
    <row r="139" customFormat="false" ht="18" hidden="false" customHeight="true" outlineLevel="0" collapsed="false">
      <c r="C139" s="6"/>
      <c r="D139" s="10"/>
      <c r="E139" s="10"/>
    </row>
    <row r="140" customFormat="false" ht="18" hidden="false" customHeight="true" outlineLevel="0" collapsed="false">
      <c r="C140" s="6"/>
      <c r="D140" s="10"/>
      <c r="E140" s="10"/>
    </row>
    <row r="141" customFormat="false" ht="18" hidden="false" customHeight="true" outlineLevel="0" collapsed="false">
      <c r="C141" s="6"/>
      <c r="D141" s="10"/>
      <c r="E141" s="10"/>
    </row>
    <row r="142" customFormat="false" ht="18" hidden="false" customHeight="true" outlineLevel="0" collapsed="false">
      <c r="C142" s="6"/>
      <c r="D142" s="10"/>
      <c r="E142" s="10"/>
    </row>
    <row r="143" customFormat="false" ht="18" hidden="false" customHeight="true" outlineLevel="0" collapsed="false">
      <c r="C143" s="6"/>
      <c r="D143" s="10"/>
      <c r="E143" s="10"/>
    </row>
    <row r="144" customFormat="false" ht="18" hidden="false" customHeight="true" outlineLevel="0" collapsed="false">
      <c r="C144" s="6"/>
      <c r="D144" s="10"/>
      <c r="E144" s="10"/>
    </row>
    <row r="145" customFormat="false" ht="18" hidden="false" customHeight="true" outlineLevel="0" collapsed="false">
      <c r="C145" s="6"/>
      <c r="D145" s="10"/>
      <c r="E145" s="10"/>
    </row>
    <row r="146" customFormat="false" ht="18" hidden="false" customHeight="true" outlineLevel="0" collapsed="false">
      <c r="C146" s="6"/>
      <c r="D146" s="10"/>
      <c r="E146" s="10"/>
    </row>
    <row r="147" customFormat="false" ht="18" hidden="false" customHeight="true" outlineLevel="0" collapsed="false">
      <c r="C147" s="6"/>
      <c r="D147" s="10"/>
      <c r="E147" s="10"/>
    </row>
    <row r="148" customFormat="false" ht="18" hidden="false" customHeight="true" outlineLevel="0" collapsed="false">
      <c r="C148" s="6"/>
      <c r="D148" s="10"/>
      <c r="E148" s="10"/>
    </row>
    <row r="149" customFormat="false" ht="18" hidden="false" customHeight="true" outlineLevel="0" collapsed="false">
      <c r="C149" s="6"/>
      <c r="D149" s="10"/>
      <c r="E149" s="10"/>
    </row>
    <row r="150" customFormat="false" ht="18" hidden="false" customHeight="true" outlineLevel="0" collapsed="false">
      <c r="C150" s="6"/>
      <c r="D150" s="10"/>
      <c r="E150" s="10"/>
    </row>
    <row r="151" customFormat="false" ht="18" hidden="false" customHeight="true" outlineLevel="0" collapsed="false">
      <c r="C151" s="6"/>
      <c r="D151" s="10"/>
      <c r="E151" s="10"/>
    </row>
    <row r="152" customFormat="false" ht="18" hidden="false" customHeight="true" outlineLevel="0" collapsed="false">
      <c r="C152" s="6"/>
      <c r="D152" s="10"/>
      <c r="E152" s="10"/>
    </row>
    <row r="153" customFormat="false" ht="18" hidden="false" customHeight="true" outlineLevel="0" collapsed="false">
      <c r="C153" s="6"/>
      <c r="D153" s="10"/>
      <c r="E153" s="10"/>
    </row>
    <row r="154" customFormat="false" ht="18" hidden="false" customHeight="true" outlineLevel="0" collapsed="false">
      <c r="C154" s="6"/>
      <c r="D154" s="10"/>
      <c r="E154" s="10"/>
    </row>
    <row r="155" customFormat="false" ht="18" hidden="false" customHeight="true" outlineLevel="0" collapsed="false">
      <c r="C155" s="6"/>
      <c r="D155" s="10"/>
      <c r="E155" s="10"/>
    </row>
    <row r="156" customFormat="false" ht="18" hidden="false" customHeight="true" outlineLevel="0" collapsed="false">
      <c r="C156" s="6"/>
      <c r="D156" s="10"/>
      <c r="E156" s="10"/>
    </row>
    <row r="157" customFormat="false" ht="18" hidden="false" customHeight="true" outlineLevel="0" collapsed="false">
      <c r="C157" s="6"/>
      <c r="D157" s="10"/>
      <c r="E157" s="10"/>
    </row>
    <row r="158" customFormat="false" ht="18" hidden="false" customHeight="true" outlineLevel="0" collapsed="false">
      <c r="C158" s="6"/>
      <c r="D158" s="10"/>
      <c r="E158" s="10"/>
    </row>
    <row r="159" customFormat="false" ht="18" hidden="false" customHeight="true" outlineLevel="0" collapsed="false">
      <c r="C159" s="6"/>
      <c r="D159" s="10"/>
      <c r="E159" s="10"/>
    </row>
    <row r="160" customFormat="false" ht="18" hidden="false" customHeight="true" outlineLevel="0" collapsed="false">
      <c r="C160" s="6"/>
      <c r="D160" s="10"/>
      <c r="E160" s="10"/>
    </row>
    <row r="161" customFormat="false" ht="18" hidden="false" customHeight="true" outlineLevel="0" collapsed="false">
      <c r="C161" s="6"/>
      <c r="D161" s="10"/>
      <c r="E161" s="10"/>
    </row>
    <row r="162" customFormat="false" ht="18" hidden="false" customHeight="true" outlineLevel="0" collapsed="false">
      <c r="C162" s="6"/>
      <c r="D162" s="10"/>
      <c r="E162" s="10"/>
    </row>
    <row r="163" customFormat="false" ht="18" hidden="false" customHeight="true" outlineLevel="0" collapsed="false">
      <c r="C163" s="6"/>
      <c r="D163" s="10"/>
      <c r="E163" s="10"/>
    </row>
    <row r="164" customFormat="false" ht="18" hidden="false" customHeight="true" outlineLevel="0" collapsed="false">
      <c r="C164" s="6"/>
      <c r="D164" s="10"/>
      <c r="E164" s="10"/>
    </row>
    <row r="165" customFormat="false" ht="18" hidden="false" customHeight="true" outlineLevel="0" collapsed="false">
      <c r="C165" s="6"/>
      <c r="D165" s="10"/>
      <c r="E165" s="10"/>
    </row>
    <row r="166" customFormat="false" ht="18" hidden="false" customHeight="true" outlineLevel="0" collapsed="false">
      <c r="C166" s="6"/>
      <c r="D166" s="10"/>
      <c r="E166" s="10"/>
    </row>
    <row r="167" customFormat="false" ht="18" hidden="false" customHeight="true" outlineLevel="0" collapsed="false">
      <c r="C167" s="6"/>
      <c r="D167" s="10"/>
      <c r="E167" s="10"/>
    </row>
    <row r="168" customFormat="false" ht="18" hidden="false" customHeight="true" outlineLevel="0" collapsed="false">
      <c r="C168" s="6"/>
      <c r="D168" s="10"/>
      <c r="E168" s="10"/>
    </row>
    <row r="169" customFormat="false" ht="18" hidden="false" customHeight="true" outlineLevel="0" collapsed="false">
      <c r="C169" s="6"/>
      <c r="D169" s="10"/>
      <c r="E169" s="10"/>
    </row>
    <row r="170" customFormat="false" ht="18" hidden="false" customHeight="true" outlineLevel="0" collapsed="false">
      <c r="C170" s="6"/>
      <c r="D170" s="10"/>
      <c r="E170" s="10"/>
    </row>
    <row r="171" customFormat="false" ht="18" hidden="false" customHeight="true" outlineLevel="0" collapsed="false">
      <c r="C171" s="6"/>
      <c r="D171" s="10"/>
      <c r="E171" s="10"/>
    </row>
    <row r="172" customFormat="false" ht="18" hidden="false" customHeight="true" outlineLevel="0" collapsed="false">
      <c r="C172" s="6"/>
      <c r="D172" s="10"/>
      <c r="E172" s="10"/>
    </row>
    <row r="173" customFormat="false" ht="18" hidden="false" customHeight="true" outlineLevel="0" collapsed="false">
      <c r="C173" s="6"/>
      <c r="D173" s="10"/>
      <c r="E173" s="10"/>
    </row>
    <row r="174" customFormat="false" ht="18" hidden="false" customHeight="true" outlineLevel="0" collapsed="false">
      <c r="C174" s="6"/>
      <c r="D174" s="10"/>
      <c r="E174" s="10"/>
    </row>
    <row r="175" customFormat="false" ht="18" hidden="false" customHeight="true" outlineLevel="0" collapsed="false">
      <c r="C175" s="6"/>
      <c r="D175" s="10"/>
      <c r="E175" s="10"/>
    </row>
    <row r="176" customFormat="false" ht="18" hidden="false" customHeight="true" outlineLevel="0" collapsed="false">
      <c r="C176" s="6"/>
      <c r="D176" s="10"/>
      <c r="E176" s="10"/>
    </row>
    <row r="177" customFormat="false" ht="18" hidden="false" customHeight="true" outlineLevel="0" collapsed="false">
      <c r="C177" s="6"/>
      <c r="D177" s="10"/>
      <c r="E177" s="10"/>
    </row>
    <row r="178" customFormat="false" ht="18" hidden="false" customHeight="true" outlineLevel="0" collapsed="false">
      <c r="C178" s="6"/>
      <c r="D178" s="10"/>
      <c r="E178" s="10"/>
    </row>
    <row r="179" customFormat="false" ht="18" hidden="false" customHeight="true" outlineLevel="0" collapsed="false">
      <c r="C179" s="6"/>
      <c r="D179" s="10"/>
      <c r="E179" s="10"/>
    </row>
    <row r="180" customFormat="false" ht="18" hidden="false" customHeight="true" outlineLevel="0" collapsed="false">
      <c r="C180" s="6"/>
      <c r="D180" s="10"/>
      <c r="E180" s="10"/>
    </row>
    <row r="181" customFormat="false" ht="18" hidden="false" customHeight="true" outlineLevel="0" collapsed="false">
      <c r="C181" s="6"/>
      <c r="D181" s="10"/>
      <c r="E181" s="10"/>
    </row>
    <row r="182" customFormat="false" ht="18" hidden="false" customHeight="true" outlineLevel="0" collapsed="false">
      <c r="C182" s="6"/>
      <c r="D182" s="10"/>
      <c r="E182" s="10"/>
    </row>
    <row r="183" customFormat="false" ht="18" hidden="false" customHeight="true" outlineLevel="0" collapsed="false">
      <c r="C183" s="6"/>
      <c r="D183" s="10"/>
      <c r="E183" s="10"/>
    </row>
    <row r="184" customFormat="false" ht="18" hidden="false" customHeight="true" outlineLevel="0" collapsed="false">
      <c r="C184" s="6"/>
      <c r="D184" s="10"/>
      <c r="E184" s="10"/>
    </row>
    <row r="185" customFormat="false" ht="18" hidden="false" customHeight="true" outlineLevel="0" collapsed="false">
      <c r="C185" s="6"/>
      <c r="D185" s="10"/>
      <c r="E185" s="10"/>
    </row>
    <row r="186" customFormat="false" ht="18" hidden="false" customHeight="true" outlineLevel="0" collapsed="false">
      <c r="C186" s="6"/>
      <c r="D186" s="10"/>
      <c r="E186" s="10"/>
    </row>
    <row r="187" customFormat="false" ht="18" hidden="false" customHeight="true" outlineLevel="0" collapsed="false">
      <c r="C187" s="6"/>
      <c r="D187" s="10"/>
      <c r="E187" s="10"/>
    </row>
    <row r="188" customFormat="false" ht="18" hidden="false" customHeight="true" outlineLevel="0" collapsed="false">
      <c r="C188" s="6"/>
      <c r="D188" s="10"/>
      <c r="E188" s="10"/>
    </row>
    <row r="189" customFormat="false" ht="18" hidden="false" customHeight="true" outlineLevel="0" collapsed="false">
      <c r="C189" s="6"/>
      <c r="D189" s="10"/>
      <c r="E189" s="10"/>
    </row>
    <row r="190" customFormat="false" ht="18" hidden="false" customHeight="true" outlineLevel="0" collapsed="false">
      <c r="C190" s="6"/>
      <c r="D190" s="10"/>
      <c r="E190" s="10"/>
    </row>
    <row r="191" customFormat="false" ht="18" hidden="false" customHeight="true" outlineLevel="0" collapsed="false">
      <c r="C191" s="6"/>
      <c r="D191" s="10"/>
      <c r="E191" s="10"/>
    </row>
    <row r="192" customFormat="false" ht="18" hidden="false" customHeight="true" outlineLevel="0" collapsed="false">
      <c r="C192" s="6"/>
      <c r="D192" s="10"/>
      <c r="E192" s="10"/>
    </row>
    <row r="193" customFormat="false" ht="18" hidden="false" customHeight="true" outlineLevel="0" collapsed="false">
      <c r="C193" s="6"/>
      <c r="D193" s="10"/>
      <c r="E193" s="10"/>
    </row>
    <row r="194" customFormat="false" ht="18" hidden="false" customHeight="true" outlineLevel="0" collapsed="false">
      <c r="C194" s="6"/>
      <c r="D194" s="10"/>
      <c r="E194" s="10"/>
    </row>
    <row r="195" customFormat="false" ht="18" hidden="false" customHeight="true" outlineLevel="0" collapsed="false">
      <c r="C195" s="6"/>
      <c r="D195" s="10"/>
      <c r="E195" s="10"/>
    </row>
    <row r="196" customFormat="false" ht="18" hidden="false" customHeight="true" outlineLevel="0" collapsed="false">
      <c r="C196" s="6"/>
      <c r="D196" s="10"/>
      <c r="E196" s="10"/>
    </row>
    <row r="197" customFormat="false" ht="18" hidden="false" customHeight="true" outlineLevel="0" collapsed="false">
      <c r="C197" s="6"/>
      <c r="D197" s="10"/>
      <c r="E197" s="10"/>
    </row>
    <row r="198" customFormat="false" ht="18" hidden="false" customHeight="true" outlineLevel="0" collapsed="false">
      <c r="C198" s="6"/>
      <c r="D198" s="10"/>
      <c r="E198" s="10"/>
    </row>
    <row r="199" customFormat="false" ht="18" hidden="false" customHeight="true" outlineLevel="0" collapsed="false">
      <c r="C199" s="6"/>
      <c r="D199" s="10"/>
      <c r="E199" s="10"/>
    </row>
    <row r="200" customFormat="false" ht="18" hidden="false" customHeight="true" outlineLevel="0" collapsed="false">
      <c r="C200" s="6"/>
      <c r="D200" s="10"/>
      <c r="E200" s="10"/>
    </row>
    <row r="201" customFormat="false" ht="18" hidden="false" customHeight="true" outlineLevel="0" collapsed="false">
      <c r="C201" s="6"/>
      <c r="D201" s="10"/>
      <c r="E201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"/>
    <col collapsed="false" customWidth="true" hidden="false" outlineLevel="0" max="2" min="2" style="1" width="13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9" min="5" style="1" width="13"/>
    <col collapsed="false" customWidth="true" hidden="false" outlineLevel="0" max="10" min="10" style="0" width="14"/>
    <col collapsed="false" customWidth="true" hidden="false" outlineLevel="0" max="13" min="11" style="0" width="16"/>
    <col collapsed="false" customWidth="true" hidden="false" outlineLevel="0" max="14" min="14" style="0" width="70"/>
    <col collapsed="false" customWidth="true" hidden="false" outlineLevel="0" max="15" min="15" style="0" width="3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14"/>
  </cols>
  <sheetData>
    <row r="1" customFormat="false" ht="31.5" hidden="false" customHeight="true" outlineLevel="0" collapsed="false">
      <c r="A1" s="5" t="s">
        <v>167</v>
      </c>
      <c r="B1" s="5" t="s">
        <v>79</v>
      </c>
      <c r="C1" s="5" t="s">
        <v>168</v>
      </c>
      <c r="D1" s="5" t="s">
        <v>169</v>
      </c>
      <c r="E1" s="5" t="s">
        <v>170</v>
      </c>
      <c r="F1" s="5" t="s">
        <v>171</v>
      </c>
      <c r="G1" s="5" t="s">
        <v>172</v>
      </c>
      <c r="H1" s="5" t="s">
        <v>50</v>
      </c>
      <c r="I1" s="5" t="s">
        <v>173</v>
      </c>
      <c r="J1" s="11" t="s">
        <v>174</v>
      </c>
      <c r="K1" s="11" t="s">
        <v>175</v>
      </c>
      <c r="L1" s="11" t="s">
        <v>176</v>
      </c>
      <c r="M1" s="11" t="s">
        <v>177</v>
      </c>
      <c r="N1" s="11" t="s">
        <v>178</v>
      </c>
      <c r="P1" s="11" t="s">
        <v>179</v>
      </c>
      <c r="Q1" s="11" t="s">
        <v>180</v>
      </c>
      <c r="R1" s="11" t="s">
        <v>181</v>
      </c>
    </row>
    <row r="2" customFormat="false" ht="15" hidden="false" customHeight="true" outlineLevel="0" collapsed="false">
      <c r="A2" s="12" t="n">
        <v>8</v>
      </c>
      <c r="B2" s="13" t="n">
        <f aca="false">IF(A2="","",A2/8)</f>
        <v>1</v>
      </c>
      <c r="C2" s="13" t="n">
        <f aca="false">IF(OR(A2="",B2=""),"",A2+B2)</f>
        <v>9</v>
      </c>
      <c r="D2" s="13" t="n">
        <f aca="false">IF(A2="","",A2+SUMIFS(Registros!$AP:$AP,Registros!$C:$C,H2))</f>
        <v>8</v>
      </c>
      <c r="E2" s="13" t="n">
        <f aca="false">IF(A2="","",ROUND(A2-8*B2,2))</f>
        <v>0</v>
      </c>
      <c r="F2" s="13" t="n">
        <f aca="false">IF(OR(D2="",C2=""),"",D2-C2)</f>
        <v>-1</v>
      </c>
      <c r="G2" s="14" t="n">
        <v>1</v>
      </c>
      <c r="H2" s="15"/>
      <c r="I2" s="14"/>
      <c r="J2" s="16" t="str">
        <f aca="false">IF(OR(H2="",D2="",C2="",G2&lt;$P$2),"",MAX(0,ROUND(D2-C2,2)))</f>
        <v/>
      </c>
      <c r="K2" s="17"/>
      <c r="L2" s="16" t="str">
        <f aca="false">IF(NOT(ISNUMBER(K2)),"",ROUND(K2-0-N(J2),2))</f>
        <v/>
      </c>
      <c r="M2" s="16" t="n">
        <f aca="false">IF(ISNUMBER(K2),K2,0)</f>
        <v>0</v>
      </c>
      <c r="N2" s="0" t="str">
        <f aca="true">IF(AND(H2="",K2=""),"",TRIM(IF(AND(H2&lt;&gt;"",NOT(AND(LEN(H2)=10,MID(H2,5,1)="-",MID(H2,8,1)="-"))),"Fecha con formato invalido (usa AAAA-MM-DD). ","")&amp;IF(AND(H2&lt;&gt;"",COUNTIF($H$2:$H$367,H2)&gt;1),"Fecha repetida en otro dia. ","")&amp;IF(AND(H2&lt;&gt;"",ISNUMBER(B2),ISNUMBER(A2),ABS(B2-A2/8)&gt;0.00001),"Stake distinto de Bank roll/8. ","")&amp;IF(AND(H2&lt;&gt;"",ISNUMBER(E2),ABS(E2)&gt;0.005),"Residuo distinto de 0. ","")&amp;IF(AND(K2&lt;&gt;"",OR(NOT(ISNUMBER(K2)),N(K2)&lt;0)),"Saldo L2 no numerico o negativo. ","")&amp;IF(AND(H2&lt;&gt;"",H2&lt;TEXT(TODAY(),"yyyy-mm-dd"),G2&gt;=$P$2,K2="",OR(N(J2)&gt;0,0&gt;0)),"Falta cerrar el Saldo L2 de este dia. ","")&amp;IF(AND(H2&lt;&gt;"",SUMPRODUCT((Registros!$C$2:$C$3000=H2)*ISTEXT(Registros!$AP$2:$AP$3000))&gt;0),"Hay P/L guardado como texto en Registros (no suma). ","")))</f>
        <v/>
      </c>
      <c r="P2" s="18" t="n">
        <v>1</v>
      </c>
      <c r="Q2" s="19" t="n">
        <f aca="false">SUMPRODUCT((Registros!$AP$2:$AP$3000&lt;&gt;"")*(((Registros!$C$2:$C$3000="")+(COUNTIF($H$2:$H$367,Registros!$C$2:$C$3000)=0))&gt;0))</f>
        <v>0</v>
      </c>
      <c r="R2" s="19" t="n">
        <f aca="false">SUMPRODUCT(--(LEN($N$2:$N$367)&gt;0))</f>
        <v>0</v>
      </c>
    </row>
    <row r="3" customFormat="false" ht="15" hidden="false" customHeight="true" outlineLevel="0" collapsed="false">
      <c r="A3" s="13" t="n">
        <f aca="false">IF(D2="","",IF(G2&gt;=$P$2,MIN(D2,C2),D2))</f>
        <v>8</v>
      </c>
      <c r="B3" s="13" t="n">
        <f aca="false">IF(A3="","",A3/8)</f>
        <v>1</v>
      </c>
      <c r="C3" s="13" t="n">
        <f aca="false">IF(OR(A3="",B3=""),"",A3+B3)</f>
        <v>9</v>
      </c>
      <c r="D3" s="13" t="n">
        <f aca="false">IF(A3="","",A3+SUMIFS(Registros!$AP:$AP,Registros!$C:$C,H3))</f>
        <v>8</v>
      </c>
      <c r="E3" s="13" t="n">
        <f aca="false">IF(A3="","",ROUND(A3-8*B3,2))</f>
        <v>0</v>
      </c>
      <c r="F3" s="13" t="n">
        <f aca="false">IF(OR(D3="",C3=""),"",D3-C3)</f>
        <v>-1</v>
      </c>
      <c r="G3" s="20" t="n">
        <f aca="false">IF(G2="","",G2+1)</f>
        <v>2</v>
      </c>
      <c r="H3" s="15"/>
      <c r="I3" s="14"/>
      <c r="J3" s="16" t="str">
        <f aca="false">IF(OR(H3="",D3="",C3="",G3&lt;$P$2),"",MAX(0,ROUND(D3-C3,2)))</f>
        <v/>
      </c>
      <c r="K3" s="17"/>
      <c r="L3" s="16" t="str">
        <f aca="false">IF(NOT(ISNUMBER(K3)),"",ROUND(K3-N(M2)-N(J3),2))</f>
        <v/>
      </c>
      <c r="M3" s="16" t="n">
        <f aca="false">IF(ISNUMBER(K3),K3,N(M2))</f>
        <v>0</v>
      </c>
      <c r="N3" s="0" t="str">
        <f aca="true">IF(AND(H3="",K3=""),"",TRIM(IF(AND(H3&lt;&gt;"",NOT(AND(LEN(H3)=10,MID(H3,5,1)="-",MID(H3,8,1)="-"))),"Fecha con formato invalido (usa AAAA-MM-DD). ","")&amp;IF(AND(H3&lt;&gt;"",COUNTIF($H$2:$H$367,H3)&gt;1),"Fecha repetida en otro dia. ","")&amp;IF(AND(H3&lt;&gt;"",H2&lt;&gt;"",H3&lt;=H2),"La fecha no es posterior a la del dia anterior. ","")&amp;IF(AND(H3&lt;&gt;"",ISNUMBER(A3),ISNUMBER(D2),ISNUMBER(C2),ABS(A3-IF(G2&gt;=$P$2,MIN(D2,C2),D2))&gt;0.005),"Bank roll inicial no sigue la regla del dia anterior (alguien sobrescribio la formula). ","")&amp;IF(AND(H3&lt;&gt;"",ISNUMBER(B3),ISNUMBER(A3),ABS(B3-A3/8)&gt;0.00001),"Stake distinto de Bank roll/8. ","")&amp;IF(AND(H3&lt;&gt;"",ISNUMBER(E3),ABS(E3)&gt;0.005),"Residuo distinto de 0. ","")&amp;IF(AND(K3&lt;&gt;"",OR(NOT(ISNUMBER(K3)),N(K3)&lt;0)),"Saldo L2 no numerico o negativo. ","")&amp;IF(AND(H3&lt;&gt;"",H3&lt;TEXT(TODAY(),"yyyy-mm-dd"),G3&gt;=$P$2,K3="",OR(N(J3)&gt;0,N(M2)&gt;0)),"Falta cerrar el Saldo L2 de este dia. ","")&amp;IF(AND(H3&lt;&gt;"",SUMPRODUCT((Registros!$C$2:$C$3000=H3)*ISTEXT(Registros!$AP$2:$AP$3000))&gt;0),"Hay P/L guardado como texto en Registros (no suma). ","")))</f>
        <v/>
      </c>
    </row>
    <row r="4" customFormat="false" ht="15" hidden="false" customHeight="true" outlineLevel="0" collapsed="false">
      <c r="A4" s="13" t="n">
        <f aca="false">IF(D3="","",IF(G3&gt;=$P$2,MIN(D3,C3),D3))</f>
        <v>8</v>
      </c>
      <c r="B4" s="13" t="n">
        <f aca="false">IF(A4="","",A4/8)</f>
        <v>1</v>
      </c>
      <c r="C4" s="13" t="n">
        <f aca="false">IF(OR(A4="",B4=""),"",A4+B4)</f>
        <v>9</v>
      </c>
      <c r="D4" s="13" t="n">
        <f aca="false">IF(A4="","",A4+SUMIFS(Registros!$AP:$AP,Registros!$C:$C,H4))</f>
        <v>8</v>
      </c>
      <c r="E4" s="13" t="n">
        <f aca="false">IF(A4="","",ROUND(A4-8*B4,2))</f>
        <v>0</v>
      </c>
      <c r="F4" s="13" t="n">
        <f aca="false">IF(OR(D4="",C4=""),"",D4-C4)</f>
        <v>-1</v>
      </c>
      <c r="G4" s="20" t="n">
        <f aca="false">IF(G3="","",G3+1)</f>
        <v>3</v>
      </c>
      <c r="H4" s="15"/>
      <c r="I4" s="14"/>
      <c r="J4" s="16" t="str">
        <f aca="false">IF(OR(H4="",D4="",C4="",G4&lt;$P$2),"",MAX(0,ROUND(D4-C4,2)))</f>
        <v/>
      </c>
      <c r="K4" s="17"/>
      <c r="L4" s="16" t="str">
        <f aca="false">IF(NOT(ISNUMBER(K4)),"",ROUND(K4-N(M3)-N(J4),2))</f>
        <v/>
      </c>
      <c r="M4" s="16" t="n">
        <f aca="false">IF(ISNUMBER(K4),K4,N(M3))</f>
        <v>0</v>
      </c>
      <c r="N4" s="0" t="str">
        <f aca="true">IF(AND(H4="",K4=""),"",TRIM(IF(AND(H4&lt;&gt;"",NOT(AND(LEN(H4)=10,MID(H4,5,1)="-",MID(H4,8,1)="-"))),"Fecha con formato invalido (usa AAAA-MM-DD). ","")&amp;IF(AND(H4&lt;&gt;"",COUNTIF($H$2:$H$367,H4)&gt;1),"Fecha repetida en otro dia. ","")&amp;IF(AND(H4&lt;&gt;"",H3&lt;&gt;"",H4&lt;=H3),"La fecha no es posterior a la del dia anterior. ","")&amp;IF(AND(H4&lt;&gt;"",ISNUMBER(A4),ISNUMBER(D3),ISNUMBER(C3),ABS(A4-IF(G3&gt;=$P$2,MIN(D3,C3),D3))&gt;0.005),"Bank roll inicial no sigue la regla del dia anterior (alguien sobrescribio la formula). ","")&amp;IF(AND(H4&lt;&gt;"",ISNUMBER(B4),ISNUMBER(A4),ABS(B4-A4/8)&gt;0.00001),"Stake distinto de Bank roll/8. ","")&amp;IF(AND(H4&lt;&gt;"",ISNUMBER(E4),ABS(E4)&gt;0.005),"Residuo distinto de 0. ","")&amp;IF(AND(K4&lt;&gt;"",OR(NOT(ISNUMBER(K4)),N(K4)&lt;0)),"Saldo L2 no numerico o negativo. ","")&amp;IF(AND(H4&lt;&gt;"",H4&lt;TEXT(TODAY(),"yyyy-mm-dd"),G4&gt;=$P$2,K4="",OR(N(J4)&gt;0,N(M3)&gt;0)),"Falta cerrar el Saldo L2 de este dia. ","")&amp;IF(AND(H4&lt;&gt;"",SUMPRODUCT((Registros!$C$2:$C$3000=H4)*ISTEXT(Registros!$AP$2:$AP$3000))&gt;0),"Hay P/L guardado como texto en Registros (no suma). ","")))</f>
        <v/>
      </c>
    </row>
    <row r="5" customFormat="false" ht="15" hidden="false" customHeight="true" outlineLevel="0" collapsed="false">
      <c r="A5" s="13" t="n">
        <f aca="false">IF(D4="","",IF(G4&gt;=$P$2,MIN(D4,C4),D4))</f>
        <v>8</v>
      </c>
      <c r="B5" s="13" t="n">
        <f aca="false">IF(A5="","",A5/8)</f>
        <v>1</v>
      </c>
      <c r="C5" s="13" t="n">
        <f aca="false">IF(OR(A5="",B5=""),"",A5+B5)</f>
        <v>9</v>
      </c>
      <c r="D5" s="13" t="n">
        <f aca="false">IF(A5="","",A5+SUMIFS(Registros!$AP:$AP,Registros!$C:$C,H5))</f>
        <v>8</v>
      </c>
      <c r="E5" s="13" t="n">
        <f aca="false">IF(A5="","",ROUND(A5-8*B5,2))</f>
        <v>0</v>
      </c>
      <c r="F5" s="13" t="n">
        <f aca="false">IF(OR(D5="",C5=""),"",D5-C5)</f>
        <v>-1</v>
      </c>
      <c r="G5" s="20" t="n">
        <f aca="false">IF(G4="","",G4+1)</f>
        <v>4</v>
      </c>
      <c r="H5" s="15"/>
      <c r="I5" s="14"/>
      <c r="J5" s="16" t="str">
        <f aca="false">IF(OR(H5="",D5="",C5="",G5&lt;$P$2),"",MAX(0,ROUND(D5-C5,2)))</f>
        <v/>
      </c>
      <c r="K5" s="17"/>
      <c r="L5" s="16" t="str">
        <f aca="false">IF(NOT(ISNUMBER(K5)),"",ROUND(K5-N(M4)-N(J5),2))</f>
        <v/>
      </c>
      <c r="M5" s="16" t="n">
        <f aca="false">IF(ISNUMBER(K5),K5,N(M4))</f>
        <v>0</v>
      </c>
      <c r="N5" s="0" t="str">
        <f aca="true">IF(AND(H5="",K5=""),"",TRIM(IF(AND(H5&lt;&gt;"",NOT(AND(LEN(H5)=10,MID(H5,5,1)="-",MID(H5,8,1)="-"))),"Fecha con formato invalido (usa AAAA-MM-DD). ","")&amp;IF(AND(H5&lt;&gt;"",COUNTIF($H$2:$H$367,H5)&gt;1),"Fecha repetida en otro dia. ","")&amp;IF(AND(H5&lt;&gt;"",H4&lt;&gt;"",H5&lt;=H4),"La fecha no es posterior a la del dia anterior. ","")&amp;IF(AND(H5&lt;&gt;"",ISNUMBER(A5),ISNUMBER(D4),ISNUMBER(C4),ABS(A5-IF(G4&gt;=$P$2,MIN(D4,C4),D4))&gt;0.005),"Bank roll inicial no sigue la regla del dia anterior (alguien sobrescribio la formula). ","")&amp;IF(AND(H5&lt;&gt;"",ISNUMBER(B5),ISNUMBER(A5),ABS(B5-A5/8)&gt;0.00001),"Stake distinto de Bank roll/8. ","")&amp;IF(AND(H5&lt;&gt;"",ISNUMBER(E5),ABS(E5)&gt;0.005),"Residuo distinto de 0. ","")&amp;IF(AND(K5&lt;&gt;"",OR(NOT(ISNUMBER(K5)),N(K5)&lt;0)),"Saldo L2 no numerico o negativo. ","")&amp;IF(AND(H5&lt;&gt;"",H5&lt;TEXT(TODAY(),"yyyy-mm-dd"),G5&gt;=$P$2,K5="",OR(N(J5)&gt;0,N(M4)&gt;0)),"Falta cerrar el Saldo L2 de este dia. ","")&amp;IF(AND(H5&lt;&gt;"",SUMPRODUCT((Registros!$C$2:$C$3000=H5)*ISTEXT(Registros!$AP$2:$AP$3000))&gt;0),"Hay P/L guardado como texto en Registros (no suma). ","")))</f>
        <v/>
      </c>
    </row>
    <row r="6" customFormat="false" ht="15" hidden="false" customHeight="true" outlineLevel="0" collapsed="false">
      <c r="A6" s="13" t="n">
        <f aca="false">IF(D5="","",IF(G5&gt;=$P$2,MIN(D5,C5),D5))</f>
        <v>8</v>
      </c>
      <c r="B6" s="13" t="n">
        <f aca="false">IF(A6="","",A6/8)</f>
        <v>1</v>
      </c>
      <c r="C6" s="13" t="n">
        <f aca="false">IF(OR(A6="",B6=""),"",A6+B6)</f>
        <v>9</v>
      </c>
      <c r="D6" s="13" t="n">
        <f aca="false">IF(A6="","",A6+SUMIFS(Registros!$AP:$AP,Registros!$C:$C,H6))</f>
        <v>8</v>
      </c>
      <c r="E6" s="13" t="n">
        <f aca="false">IF(A6="","",ROUND(A6-8*B6,2))</f>
        <v>0</v>
      </c>
      <c r="F6" s="13" t="n">
        <f aca="false">IF(OR(D6="",C6=""),"",D6-C6)</f>
        <v>-1</v>
      </c>
      <c r="G6" s="20" t="n">
        <f aca="false">IF(G5="","",G5+1)</f>
        <v>5</v>
      </c>
      <c r="H6" s="15"/>
      <c r="I6" s="14"/>
      <c r="J6" s="16" t="str">
        <f aca="false">IF(OR(H6="",D6="",C6="",G6&lt;$P$2),"",MAX(0,ROUND(D6-C6,2)))</f>
        <v/>
      </c>
      <c r="K6" s="17"/>
      <c r="L6" s="16" t="str">
        <f aca="false">IF(NOT(ISNUMBER(K6)),"",ROUND(K6-N(M5)-N(J6),2))</f>
        <v/>
      </c>
      <c r="M6" s="16" t="n">
        <f aca="false">IF(ISNUMBER(K6),K6,N(M5))</f>
        <v>0</v>
      </c>
      <c r="N6" s="0" t="str">
        <f aca="true">IF(AND(H6="",K6=""),"",TRIM(IF(AND(H6&lt;&gt;"",NOT(AND(LEN(H6)=10,MID(H6,5,1)="-",MID(H6,8,1)="-"))),"Fecha con formato invalido (usa AAAA-MM-DD). ","")&amp;IF(AND(H6&lt;&gt;"",COUNTIF($H$2:$H$367,H6)&gt;1),"Fecha repetida en otro dia. ","")&amp;IF(AND(H6&lt;&gt;"",H5&lt;&gt;"",H6&lt;=H5),"La fecha no es posterior a la del dia anterior. ","")&amp;IF(AND(H6&lt;&gt;"",ISNUMBER(A6),ISNUMBER(D5),ISNUMBER(C5),ABS(A6-IF(G5&gt;=$P$2,MIN(D5,C5),D5))&gt;0.005),"Bank roll inicial no sigue la regla del dia anterior (alguien sobrescribio la formula). ","")&amp;IF(AND(H6&lt;&gt;"",ISNUMBER(B6),ISNUMBER(A6),ABS(B6-A6/8)&gt;0.00001),"Stake distinto de Bank roll/8. ","")&amp;IF(AND(H6&lt;&gt;"",ISNUMBER(E6),ABS(E6)&gt;0.005),"Residuo distinto de 0. ","")&amp;IF(AND(K6&lt;&gt;"",OR(NOT(ISNUMBER(K6)),N(K6)&lt;0)),"Saldo L2 no numerico o negativo. ","")&amp;IF(AND(H6&lt;&gt;"",H6&lt;TEXT(TODAY(),"yyyy-mm-dd"),G6&gt;=$P$2,K6="",OR(N(J6)&gt;0,N(M5)&gt;0)),"Falta cerrar el Saldo L2 de este dia. ","")&amp;IF(AND(H6&lt;&gt;"",SUMPRODUCT((Registros!$C$2:$C$3000=H6)*ISTEXT(Registros!$AP$2:$AP$3000))&gt;0),"Hay P/L guardado como texto en Registros (no suma). ","")))</f>
        <v/>
      </c>
    </row>
    <row r="7" customFormat="false" ht="15" hidden="false" customHeight="true" outlineLevel="0" collapsed="false">
      <c r="A7" s="13" t="n">
        <f aca="false">IF(D6="","",IF(G6&gt;=$P$2,MIN(D6,C6),D6))</f>
        <v>8</v>
      </c>
      <c r="B7" s="13" t="n">
        <f aca="false">IF(A7="","",A7/8)</f>
        <v>1</v>
      </c>
      <c r="C7" s="13" t="n">
        <f aca="false">IF(OR(A7="",B7=""),"",A7+B7)</f>
        <v>9</v>
      </c>
      <c r="D7" s="13" t="n">
        <f aca="false">IF(A7="","",A7+SUMIFS(Registros!$AP:$AP,Registros!$C:$C,H7))</f>
        <v>8</v>
      </c>
      <c r="E7" s="13" t="n">
        <f aca="false">IF(A7="","",ROUND(A7-8*B7,2))</f>
        <v>0</v>
      </c>
      <c r="F7" s="13" t="n">
        <f aca="false">IF(OR(D7="",C7=""),"",D7-C7)</f>
        <v>-1</v>
      </c>
      <c r="G7" s="20" t="n">
        <f aca="false">IF(G6="","",G6+1)</f>
        <v>6</v>
      </c>
      <c r="H7" s="15"/>
      <c r="I7" s="14"/>
      <c r="J7" s="16" t="str">
        <f aca="false">IF(OR(H7="",D7="",C7="",G7&lt;$P$2),"",MAX(0,ROUND(D7-C7,2)))</f>
        <v/>
      </c>
      <c r="K7" s="17"/>
      <c r="L7" s="16" t="str">
        <f aca="false">IF(NOT(ISNUMBER(K7)),"",ROUND(K7-N(M6)-N(J7),2))</f>
        <v/>
      </c>
      <c r="M7" s="16" t="n">
        <f aca="false">IF(ISNUMBER(K7),K7,N(M6))</f>
        <v>0</v>
      </c>
      <c r="N7" s="0" t="str">
        <f aca="true">IF(AND(H7="",K7=""),"",TRIM(IF(AND(H7&lt;&gt;"",NOT(AND(LEN(H7)=10,MID(H7,5,1)="-",MID(H7,8,1)="-"))),"Fecha con formato invalido (usa AAAA-MM-DD). ","")&amp;IF(AND(H7&lt;&gt;"",COUNTIF($H$2:$H$367,H7)&gt;1),"Fecha repetida en otro dia. ","")&amp;IF(AND(H7&lt;&gt;"",H6&lt;&gt;"",H7&lt;=H6),"La fecha no es posterior a la del dia anterior. ","")&amp;IF(AND(H7&lt;&gt;"",ISNUMBER(A7),ISNUMBER(D6),ISNUMBER(C6),ABS(A7-IF(G6&gt;=$P$2,MIN(D6,C6),D6))&gt;0.005),"Bank roll inicial no sigue la regla del dia anterior (alguien sobrescribio la formula). ","")&amp;IF(AND(H7&lt;&gt;"",ISNUMBER(B7),ISNUMBER(A7),ABS(B7-A7/8)&gt;0.00001),"Stake distinto de Bank roll/8. ","")&amp;IF(AND(H7&lt;&gt;"",ISNUMBER(E7),ABS(E7)&gt;0.005),"Residuo distinto de 0. ","")&amp;IF(AND(K7&lt;&gt;"",OR(NOT(ISNUMBER(K7)),N(K7)&lt;0)),"Saldo L2 no numerico o negativo. ","")&amp;IF(AND(H7&lt;&gt;"",H7&lt;TEXT(TODAY(),"yyyy-mm-dd"),G7&gt;=$P$2,K7="",OR(N(J7)&gt;0,N(M6)&gt;0)),"Falta cerrar el Saldo L2 de este dia. ","")&amp;IF(AND(H7&lt;&gt;"",SUMPRODUCT((Registros!$C$2:$C$3000=H7)*ISTEXT(Registros!$AP$2:$AP$3000))&gt;0),"Hay P/L guardado como texto en Registros (no suma). ","")))</f>
        <v/>
      </c>
    </row>
    <row r="8" customFormat="false" ht="15" hidden="false" customHeight="true" outlineLevel="0" collapsed="false">
      <c r="A8" s="13" t="n">
        <f aca="false">IF(D7="","",IF(G7&gt;=$P$2,MIN(D7,C7),D7))</f>
        <v>8</v>
      </c>
      <c r="B8" s="13" t="n">
        <f aca="false">IF(A8="","",A8/8)</f>
        <v>1</v>
      </c>
      <c r="C8" s="13" t="n">
        <f aca="false">IF(OR(A8="",B8=""),"",A8+B8)</f>
        <v>9</v>
      </c>
      <c r="D8" s="13" t="n">
        <f aca="false">IF(A8="","",A8+SUMIFS(Registros!$AP:$AP,Registros!$C:$C,H8))</f>
        <v>8</v>
      </c>
      <c r="E8" s="13" t="n">
        <f aca="false">IF(A8="","",ROUND(A8-8*B8,2))</f>
        <v>0</v>
      </c>
      <c r="F8" s="13" t="n">
        <f aca="false">IF(OR(D8="",C8=""),"",D8-C8)</f>
        <v>-1</v>
      </c>
      <c r="G8" s="20" t="n">
        <f aca="false">IF(G7="","",G7+1)</f>
        <v>7</v>
      </c>
      <c r="H8" s="15"/>
      <c r="I8" s="14"/>
      <c r="J8" s="16" t="str">
        <f aca="false">IF(OR(H8="",D8="",C8="",G8&lt;$P$2),"",MAX(0,ROUND(D8-C8,2)))</f>
        <v/>
      </c>
      <c r="K8" s="17"/>
      <c r="L8" s="16" t="str">
        <f aca="false">IF(NOT(ISNUMBER(K8)),"",ROUND(K8-N(M7)-N(J8),2))</f>
        <v/>
      </c>
      <c r="M8" s="16" t="n">
        <f aca="false">IF(ISNUMBER(K8),K8,N(M7))</f>
        <v>0</v>
      </c>
      <c r="N8" s="0" t="str">
        <f aca="true">IF(AND(H8="",K8=""),"",TRIM(IF(AND(H8&lt;&gt;"",NOT(AND(LEN(H8)=10,MID(H8,5,1)="-",MID(H8,8,1)="-"))),"Fecha con formato invalido (usa AAAA-MM-DD). ","")&amp;IF(AND(H8&lt;&gt;"",COUNTIF($H$2:$H$367,H8)&gt;1),"Fecha repetida en otro dia. ","")&amp;IF(AND(H8&lt;&gt;"",H7&lt;&gt;"",H8&lt;=H7),"La fecha no es posterior a la del dia anterior. ","")&amp;IF(AND(H8&lt;&gt;"",ISNUMBER(A8),ISNUMBER(D7),ISNUMBER(C7),ABS(A8-IF(G7&gt;=$P$2,MIN(D7,C7),D7))&gt;0.005),"Bank roll inicial no sigue la regla del dia anterior (alguien sobrescribio la formula). ","")&amp;IF(AND(H8&lt;&gt;"",ISNUMBER(B8),ISNUMBER(A8),ABS(B8-A8/8)&gt;0.00001),"Stake distinto de Bank roll/8. ","")&amp;IF(AND(H8&lt;&gt;"",ISNUMBER(E8),ABS(E8)&gt;0.005),"Residuo distinto de 0. ","")&amp;IF(AND(K8&lt;&gt;"",OR(NOT(ISNUMBER(K8)),N(K8)&lt;0)),"Saldo L2 no numerico o negativo. ","")&amp;IF(AND(H8&lt;&gt;"",H8&lt;TEXT(TODAY(),"yyyy-mm-dd"),G8&gt;=$P$2,K8="",OR(N(J8)&gt;0,N(M7)&gt;0)),"Falta cerrar el Saldo L2 de este dia. ","")&amp;IF(AND(H8&lt;&gt;"",SUMPRODUCT((Registros!$C$2:$C$3000=H8)*ISTEXT(Registros!$AP$2:$AP$3000))&gt;0),"Hay P/L guardado como texto en Registros (no suma). ","")))</f>
        <v/>
      </c>
    </row>
    <row r="9" customFormat="false" ht="15" hidden="false" customHeight="true" outlineLevel="0" collapsed="false">
      <c r="A9" s="13" t="n">
        <f aca="false">IF(D8="","",IF(G8&gt;=$P$2,MIN(D8,C8),D8))</f>
        <v>8</v>
      </c>
      <c r="B9" s="13" t="n">
        <f aca="false">IF(A9="","",A9/8)</f>
        <v>1</v>
      </c>
      <c r="C9" s="13" t="n">
        <f aca="false">IF(OR(A9="",B9=""),"",A9+B9)</f>
        <v>9</v>
      </c>
      <c r="D9" s="13" t="n">
        <f aca="false">IF(A9="","",A9+SUMIFS(Registros!$AP:$AP,Registros!$C:$C,H9))</f>
        <v>8</v>
      </c>
      <c r="E9" s="13" t="n">
        <f aca="false">IF(A9="","",ROUND(A9-8*B9,2))</f>
        <v>0</v>
      </c>
      <c r="F9" s="13" t="n">
        <f aca="false">IF(OR(D9="",C9=""),"",D9-C9)</f>
        <v>-1</v>
      </c>
      <c r="G9" s="20" t="n">
        <f aca="false">IF(G8="","",G8+1)</f>
        <v>8</v>
      </c>
      <c r="H9" s="15"/>
      <c r="I9" s="14"/>
      <c r="J9" s="16" t="str">
        <f aca="false">IF(OR(H9="",D9="",C9="",G9&lt;$P$2),"",MAX(0,ROUND(D9-C9,2)))</f>
        <v/>
      </c>
      <c r="K9" s="17"/>
      <c r="L9" s="16" t="str">
        <f aca="false">IF(NOT(ISNUMBER(K9)),"",ROUND(K9-N(M8)-N(J9),2))</f>
        <v/>
      </c>
      <c r="M9" s="16" t="n">
        <f aca="false">IF(ISNUMBER(K9),K9,N(M8))</f>
        <v>0</v>
      </c>
      <c r="N9" s="0" t="str">
        <f aca="true">IF(AND(H9="",K9=""),"",TRIM(IF(AND(H9&lt;&gt;"",NOT(AND(LEN(H9)=10,MID(H9,5,1)="-",MID(H9,8,1)="-"))),"Fecha con formato invalido (usa AAAA-MM-DD). ","")&amp;IF(AND(H9&lt;&gt;"",COUNTIF($H$2:$H$367,H9)&gt;1),"Fecha repetida en otro dia. ","")&amp;IF(AND(H9&lt;&gt;"",H8&lt;&gt;"",H9&lt;=H8),"La fecha no es posterior a la del dia anterior. ","")&amp;IF(AND(H9&lt;&gt;"",ISNUMBER(A9),ISNUMBER(D8),ISNUMBER(C8),ABS(A9-IF(G8&gt;=$P$2,MIN(D8,C8),D8))&gt;0.005),"Bank roll inicial no sigue la regla del dia anterior (alguien sobrescribio la formula). ","")&amp;IF(AND(H9&lt;&gt;"",ISNUMBER(B9),ISNUMBER(A9),ABS(B9-A9/8)&gt;0.00001),"Stake distinto de Bank roll/8. ","")&amp;IF(AND(H9&lt;&gt;"",ISNUMBER(E9),ABS(E9)&gt;0.005),"Residuo distinto de 0. ","")&amp;IF(AND(K9&lt;&gt;"",OR(NOT(ISNUMBER(K9)),N(K9)&lt;0)),"Saldo L2 no numerico o negativo. ","")&amp;IF(AND(H9&lt;&gt;"",H9&lt;TEXT(TODAY(),"yyyy-mm-dd"),G9&gt;=$P$2,K9="",OR(N(J9)&gt;0,N(M8)&gt;0)),"Falta cerrar el Saldo L2 de este dia. ","")&amp;IF(AND(H9&lt;&gt;"",SUMPRODUCT((Registros!$C$2:$C$3000=H9)*ISTEXT(Registros!$AP$2:$AP$3000))&gt;0),"Hay P/L guardado como texto en Registros (no suma). ","")))</f>
        <v/>
      </c>
    </row>
    <row r="10" customFormat="false" ht="15" hidden="false" customHeight="true" outlineLevel="0" collapsed="false">
      <c r="A10" s="13" t="n">
        <f aca="false">IF(D9="","",IF(G9&gt;=$P$2,MIN(D9,C9),D9))</f>
        <v>8</v>
      </c>
      <c r="B10" s="13" t="n">
        <f aca="false">IF(A10="","",A10/8)</f>
        <v>1</v>
      </c>
      <c r="C10" s="13" t="n">
        <f aca="false">IF(OR(A10="",B10=""),"",A10+B10)</f>
        <v>9</v>
      </c>
      <c r="D10" s="13" t="n">
        <f aca="false">IF(A10="","",A10+SUMIFS(Registros!$AP:$AP,Registros!$C:$C,H10))</f>
        <v>8</v>
      </c>
      <c r="E10" s="13" t="n">
        <f aca="false">IF(A10="","",ROUND(A10-8*B10,2))</f>
        <v>0</v>
      </c>
      <c r="F10" s="13" t="n">
        <f aca="false">IF(OR(D10="",C10=""),"",D10-C10)</f>
        <v>-1</v>
      </c>
      <c r="G10" s="20" t="n">
        <f aca="false">IF(G9="","",G9+1)</f>
        <v>9</v>
      </c>
      <c r="H10" s="15"/>
      <c r="I10" s="14"/>
      <c r="J10" s="16" t="str">
        <f aca="false">IF(OR(H10="",D10="",C10="",G10&lt;$P$2),"",MAX(0,ROUND(D10-C10,2)))</f>
        <v/>
      </c>
      <c r="K10" s="17"/>
      <c r="L10" s="16" t="str">
        <f aca="false">IF(NOT(ISNUMBER(K10)),"",ROUND(K10-N(M9)-N(J10),2))</f>
        <v/>
      </c>
      <c r="M10" s="16" t="n">
        <f aca="false">IF(ISNUMBER(K10),K10,N(M9))</f>
        <v>0</v>
      </c>
      <c r="N10" s="0" t="str">
        <f aca="true">IF(AND(H10="",K10=""),"",TRIM(IF(AND(H10&lt;&gt;"",NOT(AND(LEN(H10)=10,MID(H10,5,1)="-",MID(H10,8,1)="-"))),"Fecha con formato invalido (usa AAAA-MM-DD). ","")&amp;IF(AND(H10&lt;&gt;"",COUNTIF($H$2:$H$367,H10)&gt;1),"Fecha repetida en otro dia. ","")&amp;IF(AND(H10&lt;&gt;"",H9&lt;&gt;"",H10&lt;=H9),"La fecha no es posterior a la del dia anterior. ","")&amp;IF(AND(H10&lt;&gt;"",ISNUMBER(A10),ISNUMBER(D9),ISNUMBER(C9),ABS(A10-IF(G9&gt;=$P$2,MIN(D9,C9),D9))&gt;0.005),"Bank roll inicial no sigue la regla del dia anterior (alguien sobrescribio la formula). ","")&amp;IF(AND(H10&lt;&gt;"",ISNUMBER(B10),ISNUMBER(A10),ABS(B10-A10/8)&gt;0.00001),"Stake distinto de Bank roll/8. ","")&amp;IF(AND(H10&lt;&gt;"",ISNUMBER(E10),ABS(E10)&gt;0.005),"Residuo distinto de 0. ","")&amp;IF(AND(K10&lt;&gt;"",OR(NOT(ISNUMBER(K10)),N(K10)&lt;0)),"Saldo L2 no numerico o negativo. ","")&amp;IF(AND(H10&lt;&gt;"",H10&lt;TEXT(TODAY(),"yyyy-mm-dd"),G10&gt;=$P$2,K10="",OR(N(J10)&gt;0,N(M9)&gt;0)),"Falta cerrar el Saldo L2 de este dia. ","")&amp;IF(AND(H10&lt;&gt;"",SUMPRODUCT((Registros!$C$2:$C$3000=H10)*ISTEXT(Registros!$AP$2:$AP$3000))&gt;0),"Hay P/L guardado como texto en Registros (no suma). ","")))</f>
        <v/>
      </c>
    </row>
    <row r="11" customFormat="false" ht="15" hidden="false" customHeight="true" outlineLevel="0" collapsed="false">
      <c r="A11" s="13" t="n">
        <f aca="false">IF(D10="","",IF(G10&gt;=$P$2,MIN(D10,C10),D10))</f>
        <v>8</v>
      </c>
      <c r="B11" s="13" t="n">
        <f aca="false">IF(A11="","",A11/8)</f>
        <v>1</v>
      </c>
      <c r="C11" s="13" t="n">
        <f aca="false">IF(OR(A11="",B11=""),"",A11+B11)</f>
        <v>9</v>
      </c>
      <c r="D11" s="13" t="n">
        <f aca="false">IF(A11="","",A11+SUMIFS(Registros!$AP:$AP,Registros!$C:$C,H11))</f>
        <v>8</v>
      </c>
      <c r="E11" s="13" t="n">
        <f aca="false">IF(A11="","",ROUND(A11-8*B11,2))</f>
        <v>0</v>
      </c>
      <c r="F11" s="13" t="n">
        <f aca="false">IF(OR(D11="",C11=""),"",D11-C11)</f>
        <v>-1</v>
      </c>
      <c r="G11" s="20" t="n">
        <f aca="false">IF(G10="","",G10+1)</f>
        <v>10</v>
      </c>
      <c r="H11" s="15"/>
      <c r="I11" s="14"/>
      <c r="J11" s="16" t="str">
        <f aca="false">IF(OR(H11="",D11="",C11="",G11&lt;$P$2),"",MAX(0,ROUND(D11-C11,2)))</f>
        <v/>
      </c>
      <c r="K11" s="17"/>
      <c r="L11" s="16" t="str">
        <f aca="false">IF(NOT(ISNUMBER(K11)),"",ROUND(K11-N(M10)-N(J11),2))</f>
        <v/>
      </c>
      <c r="M11" s="16" t="n">
        <f aca="false">IF(ISNUMBER(K11),K11,N(M10))</f>
        <v>0</v>
      </c>
      <c r="N11" s="0" t="str">
        <f aca="true">IF(AND(H11="",K11=""),"",TRIM(IF(AND(H11&lt;&gt;"",NOT(AND(LEN(H11)=10,MID(H11,5,1)="-",MID(H11,8,1)="-"))),"Fecha con formato invalido (usa AAAA-MM-DD). ","")&amp;IF(AND(H11&lt;&gt;"",COUNTIF($H$2:$H$367,H11)&gt;1),"Fecha repetida en otro dia. ","")&amp;IF(AND(H11&lt;&gt;"",H10&lt;&gt;"",H11&lt;=H10),"La fecha no es posterior a la del dia anterior. ","")&amp;IF(AND(H11&lt;&gt;"",ISNUMBER(A11),ISNUMBER(D10),ISNUMBER(C10),ABS(A11-IF(G10&gt;=$P$2,MIN(D10,C10),D10))&gt;0.005),"Bank roll inicial no sigue la regla del dia anterior (alguien sobrescribio la formula). ","")&amp;IF(AND(H11&lt;&gt;"",ISNUMBER(B11),ISNUMBER(A11),ABS(B11-A11/8)&gt;0.00001),"Stake distinto de Bank roll/8. ","")&amp;IF(AND(H11&lt;&gt;"",ISNUMBER(E11),ABS(E11)&gt;0.005),"Residuo distinto de 0. ","")&amp;IF(AND(K11&lt;&gt;"",OR(NOT(ISNUMBER(K11)),N(K11)&lt;0)),"Saldo L2 no numerico o negativo. ","")&amp;IF(AND(H11&lt;&gt;"",H11&lt;TEXT(TODAY(),"yyyy-mm-dd"),G11&gt;=$P$2,K11="",OR(N(J11)&gt;0,N(M10)&gt;0)),"Falta cerrar el Saldo L2 de este dia. ","")&amp;IF(AND(H11&lt;&gt;"",SUMPRODUCT((Registros!$C$2:$C$3000=H11)*ISTEXT(Registros!$AP$2:$AP$3000))&gt;0),"Hay P/L guardado como texto en Registros (no suma). ","")))</f>
        <v/>
      </c>
    </row>
    <row r="12" customFormat="false" ht="15" hidden="false" customHeight="true" outlineLevel="0" collapsed="false">
      <c r="A12" s="13" t="n">
        <f aca="false">IF(D11="","",IF(G11&gt;=$P$2,MIN(D11,C11),D11))</f>
        <v>8</v>
      </c>
      <c r="B12" s="13" t="n">
        <f aca="false">IF(A12="","",A12/8)</f>
        <v>1</v>
      </c>
      <c r="C12" s="13" t="n">
        <f aca="false">IF(OR(A12="",B12=""),"",A12+B12)</f>
        <v>9</v>
      </c>
      <c r="D12" s="13" t="n">
        <f aca="false">IF(A12="","",A12+SUMIFS(Registros!$AP:$AP,Registros!$C:$C,H12))</f>
        <v>8</v>
      </c>
      <c r="E12" s="13" t="n">
        <f aca="false">IF(A12="","",ROUND(A12-8*B12,2))</f>
        <v>0</v>
      </c>
      <c r="F12" s="13" t="n">
        <f aca="false">IF(OR(D12="",C12=""),"",D12-C12)</f>
        <v>-1</v>
      </c>
      <c r="G12" s="20" t="n">
        <f aca="false">IF(G11="","",G11+1)</f>
        <v>11</v>
      </c>
      <c r="H12" s="15"/>
      <c r="I12" s="14"/>
      <c r="J12" s="16" t="str">
        <f aca="false">IF(OR(H12="",D12="",C12="",G12&lt;$P$2),"",MAX(0,ROUND(D12-C12,2)))</f>
        <v/>
      </c>
      <c r="K12" s="17"/>
      <c r="L12" s="16" t="str">
        <f aca="false">IF(NOT(ISNUMBER(K12)),"",ROUND(K12-N(M11)-N(J12),2))</f>
        <v/>
      </c>
      <c r="M12" s="16" t="n">
        <f aca="false">IF(ISNUMBER(K12),K12,N(M11))</f>
        <v>0</v>
      </c>
      <c r="N12" s="0" t="str">
        <f aca="true">IF(AND(H12="",K12=""),"",TRIM(IF(AND(H12&lt;&gt;"",NOT(AND(LEN(H12)=10,MID(H12,5,1)="-",MID(H12,8,1)="-"))),"Fecha con formato invalido (usa AAAA-MM-DD). ","")&amp;IF(AND(H12&lt;&gt;"",COUNTIF($H$2:$H$367,H12)&gt;1),"Fecha repetida en otro dia. ","")&amp;IF(AND(H12&lt;&gt;"",H11&lt;&gt;"",H12&lt;=H11),"La fecha no es posterior a la del dia anterior. ","")&amp;IF(AND(H12&lt;&gt;"",ISNUMBER(A12),ISNUMBER(D11),ISNUMBER(C11),ABS(A12-IF(G11&gt;=$P$2,MIN(D11,C11),D11))&gt;0.005),"Bank roll inicial no sigue la regla del dia anterior (alguien sobrescribio la formula). ","")&amp;IF(AND(H12&lt;&gt;"",ISNUMBER(B12),ISNUMBER(A12),ABS(B12-A12/8)&gt;0.00001),"Stake distinto de Bank roll/8. ","")&amp;IF(AND(H12&lt;&gt;"",ISNUMBER(E12),ABS(E12)&gt;0.005),"Residuo distinto de 0. ","")&amp;IF(AND(K12&lt;&gt;"",OR(NOT(ISNUMBER(K12)),N(K12)&lt;0)),"Saldo L2 no numerico o negativo. ","")&amp;IF(AND(H12&lt;&gt;"",H12&lt;TEXT(TODAY(),"yyyy-mm-dd"),G12&gt;=$P$2,K12="",OR(N(J12)&gt;0,N(M11)&gt;0)),"Falta cerrar el Saldo L2 de este dia. ","")&amp;IF(AND(H12&lt;&gt;"",SUMPRODUCT((Registros!$C$2:$C$3000=H12)*ISTEXT(Registros!$AP$2:$AP$3000))&gt;0),"Hay P/L guardado como texto en Registros (no suma). ","")))</f>
        <v/>
      </c>
    </row>
    <row r="13" customFormat="false" ht="15" hidden="false" customHeight="true" outlineLevel="0" collapsed="false">
      <c r="A13" s="13" t="n">
        <f aca="false">IF(D12="","",IF(G12&gt;=$P$2,MIN(D12,C12),D12))</f>
        <v>8</v>
      </c>
      <c r="B13" s="13" t="n">
        <f aca="false">IF(A13="","",A13/8)</f>
        <v>1</v>
      </c>
      <c r="C13" s="13" t="n">
        <f aca="false">IF(OR(A13="",B13=""),"",A13+B13)</f>
        <v>9</v>
      </c>
      <c r="D13" s="13" t="n">
        <f aca="false">IF(A13="","",A13+SUMIFS(Registros!$AP:$AP,Registros!$C:$C,H13))</f>
        <v>8</v>
      </c>
      <c r="E13" s="13" t="n">
        <f aca="false">IF(A13="","",ROUND(A13-8*B13,2))</f>
        <v>0</v>
      </c>
      <c r="F13" s="13" t="n">
        <f aca="false">IF(OR(D13="",C13=""),"",D13-C13)</f>
        <v>-1</v>
      </c>
      <c r="G13" s="20" t="n">
        <f aca="false">IF(G12="","",G12+1)</f>
        <v>12</v>
      </c>
      <c r="H13" s="15"/>
      <c r="I13" s="14"/>
      <c r="J13" s="16" t="str">
        <f aca="false">IF(OR(H13="",D13="",C13="",G13&lt;$P$2),"",MAX(0,ROUND(D13-C13,2)))</f>
        <v/>
      </c>
      <c r="K13" s="17"/>
      <c r="L13" s="16" t="str">
        <f aca="false">IF(NOT(ISNUMBER(K13)),"",ROUND(K13-N(M12)-N(J13),2))</f>
        <v/>
      </c>
      <c r="M13" s="16" t="n">
        <f aca="false">IF(ISNUMBER(K13),K13,N(M12))</f>
        <v>0</v>
      </c>
      <c r="N13" s="0" t="str">
        <f aca="true">IF(AND(H13="",K13=""),"",TRIM(IF(AND(H13&lt;&gt;"",NOT(AND(LEN(H13)=10,MID(H13,5,1)="-",MID(H13,8,1)="-"))),"Fecha con formato invalido (usa AAAA-MM-DD). ","")&amp;IF(AND(H13&lt;&gt;"",COUNTIF($H$2:$H$367,H13)&gt;1),"Fecha repetida en otro dia. ","")&amp;IF(AND(H13&lt;&gt;"",H12&lt;&gt;"",H13&lt;=H12),"La fecha no es posterior a la del dia anterior. ","")&amp;IF(AND(H13&lt;&gt;"",ISNUMBER(A13),ISNUMBER(D12),ISNUMBER(C12),ABS(A13-IF(G12&gt;=$P$2,MIN(D12,C12),D12))&gt;0.005),"Bank roll inicial no sigue la regla del dia anterior (alguien sobrescribio la formula). ","")&amp;IF(AND(H13&lt;&gt;"",ISNUMBER(B13),ISNUMBER(A13),ABS(B13-A13/8)&gt;0.00001),"Stake distinto de Bank roll/8. ","")&amp;IF(AND(H13&lt;&gt;"",ISNUMBER(E13),ABS(E13)&gt;0.005),"Residuo distinto de 0. ","")&amp;IF(AND(K13&lt;&gt;"",OR(NOT(ISNUMBER(K13)),N(K13)&lt;0)),"Saldo L2 no numerico o negativo. ","")&amp;IF(AND(H13&lt;&gt;"",H13&lt;TEXT(TODAY(),"yyyy-mm-dd"),G13&gt;=$P$2,K13="",OR(N(J13)&gt;0,N(M12)&gt;0)),"Falta cerrar el Saldo L2 de este dia. ","")&amp;IF(AND(H13&lt;&gt;"",SUMPRODUCT((Registros!$C$2:$C$3000=H13)*ISTEXT(Registros!$AP$2:$AP$3000))&gt;0),"Hay P/L guardado como texto en Registros (no suma). ","")))</f>
        <v/>
      </c>
    </row>
    <row r="14" customFormat="false" ht="15" hidden="false" customHeight="true" outlineLevel="0" collapsed="false">
      <c r="A14" s="13" t="n">
        <f aca="false">IF(D13="","",IF(G13&gt;=$P$2,MIN(D13,C13),D13))</f>
        <v>8</v>
      </c>
      <c r="B14" s="13" t="n">
        <f aca="false">IF(A14="","",A14/8)</f>
        <v>1</v>
      </c>
      <c r="C14" s="13" t="n">
        <f aca="false">IF(OR(A14="",B14=""),"",A14+B14)</f>
        <v>9</v>
      </c>
      <c r="D14" s="13" t="n">
        <f aca="false">IF(A14="","",A14+SUMIFS(Registros!$AP:$AP,Registros!$C:$C,H14))</f>
        <v>8</v>
      </c>
      <c r="E14" s="13" t="n">
        <f aca="false">IF(A14="","",ROUND(A14-8*B14,2))</f>
        <v>0</v>
      </c>
      <c r="F14" s="13" t="n">
        <f aca="false">IF(OR(D14="",C14=""),"",D14-C14)</f>
        <v>-1</v>
      </c>
      <c r="G14" s="20" t="n">
        <f aca="false">IF(G13="","",G13+1)</f>
        <v>13</v>
      </c>
      <c r="H14" s="15"/>
      <c r="I14" s="14"/>
      <c r="J14" s="16" t="str">
        <f aca="false">IF(OR(H14="",D14="",C14="",G14&lt;$P$2),"",MAX(0,ROUND(D14-C14,2)))</f>
        <v/>
      </c>
      <c r="K14" s="17"/>
      <c r="L14" s="16" t="str">
        <f aca="false">IF(NOT(ISNUMBER(K14)),"",ROUND(K14-N(M13)-N(J14),2))</f>
        <v/>
      </c>
      <c r="M14" s="16" t="n">
        <f aca="false">IF(ISNUMBER(K14),K14,N(M13))</f>
        <v>0</v>
      </c>
      <c r="N14" s="0" t="str">
        <f aca="true">IF(AND(H14="",K14=""),"",TRIM(IF(AND(H14&lt;&gt;"",NOT(AND(LEN(H14)=10,MID(H14,5,1)="-",MID(H14,8,1)="-"))),"Fecha con formato invalido (usa AAAA-MM-DD). ","")&amp;IF(AND(H14&lt;&gt;"",COUNTIF($H$2:$H$367,H14)&gt;1),"Fecha repetida en otro dia. ","")&amp;IF(AND(H14&lt;&gt;"",H13&lt;&gt;"",H14&lt;=H13),"La fecha no es posterior a la del dia anterior. ","")&amp;IF(AND(H14&lt;&gt;"",ISNUMBER(A14),ISNUMBER(D13),ISNUMBER(C13),ABS(A14-IF(G13&gt;=$P$2,MIN(D13,C13),D13))&gt;0.005),"Bank roll inicial no sigue la regla del dia anterior (alguien sobrescribio la formula). ","")&amp;IF(AND(H14&lt;&gt;"",ISNUMBER(B14),ISNUMBER(A14),ABS(B14-A14/8)&gt;0.00001),"Stake distinto de Bank roll/8. ","")&amp;IF(AND(H14&lt;&gt;"",ISNUMBER(E14),ABS(E14)&gt;0.005),"Residuo distinto de 0. ","")&amp;IF(AND(K14&lt;&gt;"",OR(NOT(ISNUMBER(K14)),N(K14)&lt;0)),"Saldo L2 no numerico o negativo. ","")&amp;IF(AND(H14&lt;&gt;"",H14&lt;TEXT(TODAY(),"yyyy-mm-dd"),G14&gt;=$P$2,K14="",OR(N(J14)&gt;0,N(M13)&gt;0)),"Falta cerrar el Saldo L2 de este dia. ","")&amp;IF(AND(H14&lt;&gt;"",SUMPRODUCT((Registros!$C$2:$C$3000=H14)*ISTEXT(Registros!$AP$2:$AP$3000))&gt;0),"Hay P/L guardado como texto en Registros (no suma). ","")))</f>
        <v/>
      </c>
    </row>
    <row r="15" customFormat="false" ht="15" hidden="false" customHeight="true" outlineLevel="0" collapsed="false">
      <c r="A15" s="13" t="n">
        <f aca="false">IF(D14="","",IF(G14&gt;=$P$2,MIN(D14,C14),D14))</f>
        <v>8</v>
      </c>
      <c r="B15" s="13" t="n">
        <f aca="false">IF(A15="","",A15/8)</f>
        <v>1</v>
      </c>
      <c r="C15" s="13" t="n">
        <f aca="false">IF(OR(A15="",B15=""),"",A15+B15)</f>
        <v>9</v>
      </c>
      <c r="D15" s="13" t="n">
        <f aca="false">IF(A15="","",A15+SUMIFS(Registros!$AP:$AP,Registros!$C:$C,H15))</f>
        <v>8</v>
      </c>
      <c r="E15" s="13" t="n">
        <f aca="false">IF(A15="","",ROUND(A15-8*B15,2))</f>
        <v>0</v>
      </c>
      <c r="F15" s="13" t="n">
        <f aca="false">IF(OR(D15="",C15=""),"",D15-C15)</f>
        <v>-1</v>
      </c>
      <c r="G15" s="20" t="n">
        <f aca="false">IF(G14="","",G14+1)</f>
        <v>14</v>
      </c>
      <c r="H15" s="15"/>
      <c r="I15" s="14"/>
      <c r="J15" s="16" t="str">
        <f aca="false">IF(OR(H15="",D15="",C15="",G15&lt;$P$2),"",MAX(0,ROUND(D15-C15,2)))</f>
        <v/>
      </c>
      <c r="K15" s="17"/>
      <c r="L15" s="16" t="str">
        <f aca="false">IF(NOT(ISNUMBER(K15)),"",ROUND(K15-N(M14)-N(J15),2))</f>
        <v/>
      </c>
      <c r="M15" s="16" t="n">
        <f aca="false">IF(ISNUMBER(K15),K15,N(M14))</f>
        <v>0</v>
      </c>
      <c r="N15" s="0" t="str">
        <f aca="true">IF(AND(H15="",K15=""),"",TRIM(IF(AND(H15&lt;&gt;"",NOT(AND(LEN(H15)=10,MID(H15,5,1)="-",MID(H15,8,1)="-"))),"Fecha con formato invalido (usa AAAA-MM-DD). ","")&amp;IF(AND(H15&lt;&gt;"",COUNTIF($H$2:$H$367,H15)&gt;1),"Fecha repetida en otro dia. ","")&amp;IF(AND(H15&lt;&gt;"",H14&lt;&gt;"",H15&lt;=H14),"La fecha no es posterior a la del dia anterior. ","")&amp;IF(AND(H15&lt;&gt;"",ISNUMBER(A15),ISNUMBER(D14),ISNUMBER(C14),ABS(A15-IF(G14&gt;=$P$2,MIN(D14,C14),D14))&gt;0.005),"Bank roll inicial no sigue la regla del dia anterior (alguien sobrescribio la formula). ","")&amp;IF(AND(H15&lt;&gt;"",ISNUMBER(B15),ISNUMBER(A15),ABS(B15-A15/8)&gt;0.00001),"Stake distinto de Bank roll/8. ","")&amp;IF(AND(H15&lt;&gt;"",ISNUMBER(E15),ABS(E15)&gt;0.005),"Residuo distinto de 0. ","")&amp;IF(AND(K15&lt;&gt;"",OR(NOT(ISNUMBER(K15)),N(K15)&lt;0)),"Saldo L2 no numerico o negativo. ","")&amp;IF(AND(H15&lt;&gt;"",H15&lt;TEXT(TODAY(),"yyyy-mm-dd"),G15&gt;=$P$2,K15="",OR(N(J15)&gt;0,N(M14)&gt;0)),"Falta cerrar el Saldo L2 de este dia. ","")&amp;IF(AND(H15&lt;&gt;"",SUMPRODUCT((Registros!$C$2:$C$3000=H15)*ISTEXT(Registros!$AP$2:$AP$3000))&gt;0),"Hay P/L guardado como texto en Registros (no suma). ","")))</f>
        <v/>
      </c>
    </row>
    <row r="16" customFormat="false" ht="15" hidden="false" customHeight="true" outlineLevel="0" collapsed="false">
      <c r="A16" s="13" t="n">
        <f aca="false">IF(D15="","",IF(G15&gt;=$P$2,MIN(D15,C15),D15))</f>
        <v>8</v>
      </c>
      <c r="B16" s="13" t="n">
        <f aca="false">IF(A16="","",A16/8)</f>
        <v>1</v>
      </c>
      <c r="C16" s="13" t="n">
        <f aca="false">IF(OR(A16="",B16=""),"",A16+B16)</f>
        <v>9</v>
      </c>
      <c r="D16" s="13" t="n">
        <f aca="false">IF(A16="","",A16+SUMIFS(Registros!$AP:$AP,Registros!$C:$C,H16))</f>
        <v>8</v>
      </c>
      <c r="E16" s="13" t="n">
        <f aca="false">IF(A16="","",ROUND(A16-8*B16,2))</f>
        <v>0</v>
      </c>
      <c r="F16" s="13" t="n">
        <f aca="false">IF(OR(D16="",C16=""),"",D16-C16)</f>
        <v>-1</v>
      </c>
      <c r="G16" s="20" t="n">
        <f aca="false">IF(G15="","",G15+1)</f>
        <v>15</v>
      </c>
      <c r="H16" s="15"/>
      <c r="I16" s="14"/>
      <c r="J16" s="16" t="str">
        <f aca="false">IF(OR(H16="",D16="",C16="",G16&lt;$P$2),"",MAX(0,ROUND(D16-C16,2)))</f>
        <v/>
      </c>
      <c r="K16" s="17"/>
      <c r="L16" s="16" t="str">
        <f aca="false">IF(NOT(ISNUMBER(K16)),"",ROUND(K16-N(M15)-N(J16),2))</f>
        <v/>
      </c>
      <c r="M16" s="16" t="n">
        <f aca="false">IF(ISNUMBER(K16),K16,N(M15))</f>
        <v>0</v>
      </c>
      <c r="N16" s="0" t="str">
        <f aca="true">IF(AND(H16="",K16=""),"",TRIM(IF(AND(H16&lt;&gt;"",NOT(AND(LEN(H16)=10,MID(H16,5,1)="-",MID(H16,8,1)="-"))),"Fecha con formato invalido (usa AAAA-MM-DD). ","")&amp;IF(AND(H16&lt;&gt;"",COUNTIF($H$2:$H$367,H16)&gt;1),"Fecha repetida en otro dia. ","")&amp;IF(AND(H16&lt;&gt;"",H15&lt;&gt;"",H16&lt;=H15),"La fecha no es posterior a la del dia anterior. ","")&amp;IF(AND(H16&lt;&gt;"",ISNUMBER(A16),ISNUMBER(D15),ISNUMBER(C15),ABS(A16-IF(G15&gt;=$P$2,MIN(D15,C15),D15))&gt;0.005),"Bank roll inicial no sigue la regla del dia anterior (alguien sobrescribio la formula). ","")&amp;IF(AND(H16&lt;&gt;"",ISNUMBER(B16),ISNUMBER(A16),ABS(B16-A16/8)&gt;0.00001),"Stake distinto de Bank roll/8. ","")&amp;IF(AND(H16&lt;&gt;"",ISNUMBER(E16),ABS(E16)&gt;0.005),"Residuo distinto de 0. ","")&amp;IF(AND(K16&lt;&gt;"",OR(NOT(ISNUMBER(K16)),N(K16)&lt;0)),"Saldo L2 no numerico o negativo. ","")&amp;IF(AND(H16&lt;&gt;"",H16&lt;TEXT(TODAY(),"yyyy-mm-dd"),G16&gt;=$P$2,K16="",OR(N(J16)&gt;0,N(M15)&gt;0)),"Falta cerrar el Saldo L2 de este dia. ","")&amp;IF(AND(H16&lt;&gt;"",SUMPRODUCT((Registros!$C$2:$C$3000=H16)*ISTEXT(Registros!$AP$2:$AP$3000))&gt;0),"Hay P/L guardado como texto en Registros (no suma). ","")))</f>
        <v/>
      </c>
    </row>
    <row r="17" customFormat="false" ht="15" hidden="false" customHeight="true" outlineLevel="0" collapsed="false">
      <c r="A17" s="13" t="n">
        <f aca="false">IF(D16="","",IF(G16&gt;=$P$2,MIN(D16,C16),D16))</f>
        <v>8</v>
      </c>
      <c r="B17" s="13" t="n">
        <f aca="false">IF(A17="","",A17/8)</f>
        <v>1</v>
      </c>
      <c r="C17" s="13" t="n">
        <f aca="false">IF(OR(A17="",B17=""),"",A17+B17)</f>
        <v>9</v>
      </c>
      <c r="D17" s="13" t="n">
        <f aca="false">IF(A17="","",A17+SUMIFS(Registros!$AP:$AP,Registros!$C:$C,H17))</f>
        <v>8</v>
      </c>
      <c r="E17" s="13" t="n">
        <f aca="false">IF(A17="","",ROUND(A17-8*B17,2))</f>
        <v>0</v>
      </c>
      <c r="F17" s="13" t="n">
        <f aca="false">IF(OR(D17="",C17=""),"",D17-C17)</f>
        <v>-1</v>
      </c>
      <c r="G17" s="20" t="n">
        <f aca="false">IF(G16="","",G16+1)</f>
        <v>16</v>
      </c>
      <c r="H17" s="15"/>
      <c r="I17" s="14"/>
      <c r="J17" s="16" t="str">
        <f aca="false">IF(OR(H17="",D17="",C17="",G17&lt;$P$2),"",MAX(0,ROUND(D17-C17,2)))</f>
        <v/>
      </c>
      <c r="K17" s="17"/>
      <c r="L17" s="16" t="str">
        <f aca="false">IF(NOT(ISNUMBER(K17)),"",ROUND(K17-N(M16)-N(J17),2))</f>
        <v/>
      </c>
      <c r="M17" s="16" t="n">
        <f aca="false">IF(ISNUMBER(K17),K17,N(M16))</f>
        <v>0</v>
      </c>
      <c r="N17" s="0" t="str">
        <f aca="true">IF(AND(H17="",K17=""),"",TRIM(IF(AND(H17&lt;&gt;"",NOT(AND(LEN(H17)=10,MID(H17,5,1)="-",MID(H17,8,1)="-"))),"Fecha con formato invalido (usa AAAA-MM-DD). ","")&amp;IF(AND(H17&lt;&gt;"",COUNTIF($H$2:$H$367,H17)&gt;1),"Fecha repetida en otro dia. ","")&amp;IF(AND(H17&lt;&gt;"",H16&lt;&gt;"",H17&lt;=H16),"La fecha no es posterior a la del dia anterior. ","")&amp;IF(AND(H17&lt;&gt;"",ISNUMBER(A17),ISNUMBER(D16),ISNUMBER(C16),ABS(A17-IF(G16&gt;=$P$2,MIN(D16,C16),D16))&gt;0.005),"Bank roll inicial no sigue la regla del dia anterior (alguien sobrescribio la formula). ","")&amp;IF(AND(H17&lt;&gt;"",ISNUMBER(B17),ISNUMBER(A17),ABS(B17-A17/8)&gt;0.00001),"Stake distinto de Bank roll/8. ","")&amp;IF(AND(H17&lt;&gt;"",ISNUMBER(E17),ABS(E17)&gt;0.005),"Residuo distinto de 0. ","")&amp;IF(AND(K17&lt;&gt;"",OR(NOT(ISNUMBER(K17)),N(K17)&lt;0)),"Saldo L2 no numerico o negativo. ","")&amp;IF(AND(H17&lt;&gt;"",H17&lt;TEXT(TODAY(),"yyyy-mm-dd"),G17&gt;=$P$2,K17="",OR(N(J17)&gt;0,N(M16)&gt;0)),"Falta cerrar el Saldo L2 de este dia. ","")&amp;IF(AND(H17&lt;&gt;"",SUMPRODUCT((Registros!$C$2:$C$3000=H17)*ISTEXT(Registros!$AP$2:$AP$3000))&gt;0),"Hay P/L guardado como texto en Registros (no suma). ","")))</f>
        <v/>
      </c>
    </row>
    <row r="18" customFormat="false" ht="15" hidden="false" customHeight="true" outlineLevel="0" collapsed="false">
      <c r="A18" s="13" t="n">
        <f aca="false">IF(D17="","",IF(G17&gt;=$P$2,MIN(D17,C17),D17))</f>
        <v>8</v>
      </c>
      <c r="B18" s="13" t="n">
        <f aca="false">IF(A18="","",A18/8)</f>
        <v>1</v>
      </c>
      <c r="C18" s="13" t="n">
        <f aca="false">IF(OR(A18="",B18=""),"",A18+B18)</f>
        <v>9</v>
      </c>
      <c r="D18" s="13" t="n">
        <f aca="false">IF(A18="","",A18+SUMIFS(Registros!$AP:$AP,Registros!$C:$C,H18))</f>
        <v>8</v>
      </c>
      <c r="E18" s="13" t="n">
        <f aca="false">IF(A18="","",ROUND(A18-8*B18,2))</f>
        <v>0</v>
      </c>
      <c r="F18" s="13" t="n">
        <f aca="false">IF(OR(D18="",C18=""),"",D18-C18)</f>
        <v>-1</v>
      </c>
      <c r="G18" s="20" t="n">
        <f aca="false">IF(G17="","",G17+1)</f>
        <v>17</v>
      </c>
      <c r="H18" s="15"/>
      <c r="I18" s="14"/>
      <c r="J18" s="16" t="str">
        <f aca="false">IF(OR(H18="",D18="",C18="",G18&lt;$P$2),"",MAX(0,ROUND(D18-C18,2)))</f>
        <v/>
      </c>
      <c r="K18" s="17"/>
      <c r="L18" s="16" t="str">
        <f aca="false">IF(NOT(ISNUMBER(K18)),"",ROUND(K18-N(M17)-N(J18),2))</f>
        <v/>
      </c>
      <c r="M18" s="16" t="n">
        <f aca="false">IF(ISNUMBER(K18),K18,N(M17))</f>
        <v>0</v>
      </c>
      <c r="N18" s="0" t="str">
        <f aca="true">IF(AND(H18="",K18=""),"",TRIM(IF(AND(H18&lt;&gt;"",NOT(AND(LEN(H18)=10,MID(H18,5,1)="-",MID(H18,8,1)="-"))),"Fecha con formato invalido (usa AAAA-MM-DD). ","")&amp;IF(AND(H18&lt;&gt;"",COUNTIF($H$2:$H$367,H18)&gt;1),"Fecha repetida en otro dia. ","")&amp;IF(AND(H18&lt;&gt;"",H17&lt;&gt;"",H18&lt;=H17),"La fecha no es posterior a la del dia anterior. ","")&amp;IF(AND(H18&lt;&gt;"",ISNUMBER(A18),ISNUMBER(D17),ISNUMBER(C17),ABS(A18-IF(G17&gt;=$P$2,MIN(D17,C17),D17))&gt;0.005),"Bank roll inicial no sigue la regla del dia anterior (alguien sobrescribio la formula). ","")&amp;IF(AND(H18&lt;&gt;"",ISNUMBER(B18),ISNUMBER(A18),ABS(B18-A18/8)&gt;0.00001),"Stake distinto de Bank roll/8. ","")&amp;IF(AND(H18&lt;&gt;"",ISNUMBER(E18),ABS(E18)&gt;0.005),"Residuo distinto de 0. ","")&amp;IF(AND(K18&lt;&gt;"",OR(NOT(ISNUMBER(K18)),N(K18)&lt;0)),"Saldo L2 no numerico o negativo. ","")&amp;IF(AND(H18&lt;&gt;"",H18&lt;TEXT(TODAY(),"yyyy-mm-dd"),G18&gt;=$P$2,K18="",OR(N(J18)&gt;0,N(M17)&gt;0)),"Falta cerrar el Saldo L2 de este dia. ","")&amp;IF(AND(H18&lt;&gt;"",SUMPRODUCT((Registros!$C$2:$C$3000=H18)*ISTEXT(Registros!$AP$2:$AP$3000))&gt;0),"Hay P/L guardado como texto en Registros (no suma). ","")))</f>
        <v/>
      </c>
    </row>
    <row r="19" customFormat="false" ht="15" hidden="false" customHeight="true" outlineLevel="0" collapsed="false">
      <c r="A19" s="13" t="n">
        <f aca="false">IF(D18="","",IF(G18&gt;=$P$2,MIN(D18,C18),D18))</f>
        <v>8</v>
      </c>
      <c r="B19" s="13" t="n">
        <f aca="false">IF(A19="","",A19/8)</f>
        <v>1</v>
      </c>
      <c r="C19" s="13" t="n">
        <f aca="false">IF(OR(A19="",B19=""),"",A19+B19)</f>
        <v>9</v>
      </c>
      <c r="D19" s="13" t="n">
        <f aca="false">IF(A19="","",A19+SUMIFS(Registros!$AP:$AP,Registros!$C:$C,H19))</f>
        <v>8</v>
      </c>
      <c r="E19" s="13" t="n">
        <f aca="false">IF(A19="","",ROUND(A19-8*B19,2))</f>
        <v>0</v>
      </c>
      <c r="F19" s="13" t="n">
        <f aca="false">IF(OR(D19="",C19=""),"",D19-C19)</f>
        <v>-1</v>
      </c>
      <c r="G19" s="20" t="n">
        <f aca="false">IF(G18="","",G18+1)</f>
        <v>18</v>
      </c>
      <c r="H19" s="15"/>
      <c r="I19" s="14"/>
      <c r="J19" s="16" t="str">
        <f aca="false">IF(OR(H19="",D19="",C19="",G19&lt;$P$2),"",MAX(0,ROUND(D19-C19,2)))</f>
        <v/>
      </c>
      <c r="K19" s="17"/>
      <c r="L19" s="16" t="str">
        <f aca="false">IF(NOT(ISNUMBER(K19)),"",ROUND(K19-N(M18)-N(J19),2))</f>
        <v/>
      </c>
      <c r="M19" s="16" t="n">
        <f aca="false">IF(ISNUMBER(K19),K19,N(M18))</f>
        <v>0</v>
      </c>
      <c r="N19" s="0" t="str">
        <f aca="true">IF(AND(H19="",K19=""),"",TRIM(IF(AND(H19&lt;&gt;"",NOT(AND(LEN(H19)=10,MID(H19,5,1)="-",MID(H19,8,1)="-"))),"Fecha con formato invalido (usa AAAA-MM-DD). ","")&amp;IF(AND(H19&lt;&gt;"",COUNTIF($H$2:$H$367,H19)&gt;1),"Fecha repetida en otro dia. ","")&amp;IF(AND(H19&lt;&gt;"",H18&lt;&gt;"",H19&lt;=H18),"La fecha no es posterior a la del dia anterior. ","")&amp;IF(AND(H19&lt;&gt;"",ISNUMBER(A19),ISNUMBER(D18),ISNUMBER(C18),ABS(A19-IF(G18&gt;=$P$2,MIN(D18,C18),D18))&gt;0.005),"Bank roll inicial no sigue la regla del dia anterior (alguien sobrescribio la formula). ","")&amp;IF(AND(H19&lt;&gt;"",ISNUMBER(B19),ISNUMBER(A19),ABS(B19-A19/8)&gt;0.00001),"Stake distinto de Bank roll/8. ","")&amp;IF(AND(H19&lt;&gt;"",ISNUMBER(E19),ABS(E19)&gt;0.005),"Residuo distinto de 0. ","")&amp;IF(AND(K19&lt;&gt;"",OR(NOT(ISNUMBER(K19)),N(K19)&lt;0)),"Saldo L2 no numerico o negativo. ","")&amp;IF(AND(H19&lt;&gt;"",H19&lt;TEXT(TODAY(),"yyyy-mm-dd"),G19&gt;=$P$2,K19="",OR(N(J19)&gt;0,N(M18)&gt;0)),"Falta cerrar el Saldo L2 de este dia. ","")&amp;IF(AND(H19&lt;&gt;"",SUMPRODUCT((Registros!$C$2:$C$3000=H19)*ISTEXT(Registros!$AP$2:$AP$3000))&gt;0),"Hay P/L guardado como texto en Registros (no suma). ","")))</f>
        <v/>
      </c>
    </row>
    <row r="20" customFormat="false" ht="15" hidden="false" customHeight="true" outlineLevel="0" collapsed="false">
      <c r="A20" s="13" t="n">
        <f aca="false">IF(D19="","",IF(G19&gt;=$P$2,MIN(D19,C19),D19))</f>
        <v>8</v>
      </c>
      <c r="B20" s="13" t="n">
        <f aca="false">IF(A20="","",A20/8)</f>
        <v>1</v>
      </c>
      <c r="C20" s="13" t="n">
        <f aca="false">IF(OR(A20="",B20=""),"",A20+B20)</f>
        <v>9</v>
      </c>
      <c r="D20" s="13" t="n">
        <f aca="false">IF(A20="","",A20+SUMIFS(Registros!$AP:$AP,Registros!$C:$C,H20))</f>
        <v>8</v>
      </c>
      <c r="E20" s="13" t="n">
        <f aca="false">IF(A20="","",ROUND(A20-8*B20,2))</f>
        <v>0</v>
      </c>
      <c r="F20" s="13" t="n">
        <f aca="false">IF(OR(D20="",C20=""),"",D20-C20)</f>
        <v>-1</v>
      </c>
      <c r="G20" s="20" t="n">
        <f aca="false">IF(G19="","",G19+1)</f>
        <v>19</v>
      </c>
      <c r="H20" s="15"/>
      <c r="I20" s="14"/>
      <c r="J20" s="16" t="str">
        <f aca="false">IF(OR(H20="",D20="",C20="",G20&lt;$P$2),"",MAX(0,ROUND(D20-C20,2)))</f>
        <v/>
      </c>
      <c r="K20" s="17"/>
      <c r="L20" s="16" t="str">
        <f aca="false">IF(NOT(ISNUMBER(K20)),"",ROUND(K20-N(M19)-N(J20),2))</f>
        <v/>
      </c>
      <c r="M20" s="16" t="n">
        <f aca="false">IF(ISNUMBER(K20),K20,N(M19))</f>
        <v>0</v>
      </c>
      <c r="N20" s="0" t="str">
        <f aca="true">IF(AND(H20="",K20=""),"",TRIM(IF(AND(H20&lt;&gt;"",NOT(AND(LEN(H20)=10,MID(H20,5,1)="-",MID(H20,8,1)="-"))),"Fecha con formato invalido (usa AAAA-MM-DD). ","")&amp;IF(AND(H20&lt;&gt;"",COUNTIF($H$2:$H$367,H20)&gt;1),"Fecha repetida en otro dia. ","")&amp;IF(AND(H20&lt;&gt;"",H19&lt;&gt;"",H20&lt;=H19),"La fecha no es posterior a la del dia anterior. ","")&amp;IF(AND(H20&lt;&gt;"",ISNUMBER(A20),ISNUMBER(D19),ISNUMBER(C19),ABS(A20-IF(G19&gt;=$P$2,MIN(D19,C19),D19))&gt;0.005),"Bank roll inicial no sigue la regla del dia anterior (alguien sobrescribio la formula). ","")&amp;IF(AND(H20&lt;&gt;"",ISNUMBER(B20),ISNUMBER(A20),ABS(B20-A20/8)&gt;0.00001),"Stake distinto de Bank roll/8. ","")&amp;IF(AND(H20&lt;&gt;"",ISNUMBER(E20),ABS(E20)&gt;0.005),"Residuo distinto de 0. ","")&amp;IF(AND(K20&lt;&gt;"",OR(NOT(ISNUMBER(K20)),N(K20)&lt;0)),"Saldo L2 no numerico o negativo. ","")&amp;IF(AND(H20&lt;&gt;"",H20&lt;TEXT(TODAY(),"yyyy-mm-dd"),G20&gt;=$P$2,K20="",OR(N(J20)&gt;0,N(M19)&gt;0)),"Falta cerrar el Saldo L2 de este dia. ","")&amp;IF(AND(H20&lt;&gt;"",SUMPRODUCT((Registros!$C$2:$C$3000=H20)*ISTEXT(Registros!$AP$2:$AP$3000))&gt;0),"Hay P/L guardado como texto en Registros (no suma). ","")))</f>
        <v/>
      </c>
    </row>
    <row r="21" customFormat="false" ht="15" hidden="false" customHeight="true" outlineLevel="0" collapsed="false">
      <c r="A21" s="13" t="n">
        <f aca="false">IF(D20="","",IF(G20&gt;=$P$2,MIN(D20,C20),D20))</f>
        <v>8</v>
      </c>
      <c r="B21" s="13" t="n">
        <f aca="false">IF(A21="","",A21/8)</f>
        <v>1</v>
      </c>
      <c r="C21" s="13" t="n">
        <f aca="false">IF(OR(A21="",B21=""),"",A21+B21)</f>
        <v>9</v>
      </c>
      <c r="D21" s="13" t="n">
        <f aca="false">IF(A21="","",A21+SUMIFS(Registros!$AP:$AP,Registros!$C:$C,H21))</f>
        <v>8</v>
      </c>
      <c r="E21" s="13" t="n">
        <f aca="false">IF(A21="","",ROUND(A21-8*B21,2))</f>
        <v>0</v>
      </c>
      <c r="F21" s="13" t="n">
        <f aca="false">IF(OR(D21="",C21=""),"",D21-C21)</f>
        <v>-1</v>
      </c>
      <c r="G21" s="20" t="n">
        <f aca="false">IF(G20="","",G20+1)</f>
        <v>20</v>
      </c>
      <c r="H21" s="15"/>
      <c r="I21" s="14"/>
      <c r="J21" s="16" t="str">
        <f aca="false">IF(OR(H21="",D21="",C21="",G21&lt;$P$2),"",MAX(0,ROUND(D21-C21,2)))</f>
        <v/>
      </c>
      <c r="K21" s="17"/>
      <c r="L21" s="16" t="str">
        <f aca="false">IF(NOT(ISNUMBER(K21)),"",ROUND(K21-N(M20)-N(J21),2))</f>
        <v/>
      </c>
      <c r="M21" s="16" t="n">
        <f aca="false">IF(ISNUMBER(K21),K21,N(M20))</f>
        <v>0</v>
      </c>
      <c r="N21" s="0" t="str">
        <f aca="true">IF(AND(H21="",K21=""),"",TRIM(IF(AND(H21&lt;&gt;"",NOT(AND(LEN(H21)=10,MID(H21,5,1)="-",MID(H21,8,1)="-"))),"Fecha con formato invalido (usa AAAA-MM-DD). ","")&amp;IF(AND(H21&lt;&gt;"",COUNTIF($H$2:$H$367,H21)&gt;1),"Fecha repetida en otro dia. ","")&amp;IF(AND(H21&lt;&gt;"",H20&lt;&gt;"",H21&lt;=H20),"La fecha no es posterior a la del dia anterior. ","")&amp;IF(AND(H21&lt;&gt;"",ISNUMBER(A21),ISNUMBER(D20),ISNUMBER(C20),ABS(A21-IF(G20&gt;=$P$2,MIN(D20,C20),D20))&gt;0.005),"Bank roll inicial no sigue la regla del dia anterior (alguien sobrescribio la formula). ","")&amp;IF(AND(H21&lt;&gt;"",ISNUMBER(B21),ISNUMBER(A21),ABS(B21-A21/8)&gt;0.00001),"Stake distinto de Bank roll/8. ","")&amp;IF(AND(H21&lt;&gt;"",ISNUMBER(E21),ABS(E21)&gt;0.005),"Residuo distinto de 0. ","")&amp;IF(AND(K21&lt;&gt;"",OR(NOT(ISNUMBER(K21)),N(K21)&lt;0)),"Saldo L2 no numerico o negativo. ","")&amp;IF(AND(H21&lt;&gt;"",H21&lt;TEXT(TODAY(),"yyyy-mm-dd"),G21&gt;=$P$2,K21="",OR(N(J21)&gt;0,N(M20)&gt;0)),"Falta cerrar el Saldo L2 de este dia. ","")&amp;IF(AND(H21&lt;&gt;"",SUMPRODUCT((Registros!$C$2:$C$3000=H21)*ISTEXT(Registros!$AP$2:$AP$3000))&gt;0),"Hay P/L guardado como texto en Registros (no suma). ","")))</f>
        <v/>
      </c>
    </row>
    <row r="22" customFormat="false" ht="15" hidden="false" customHeight="true" outlineLevel="0" collapsed="false">
      <c r="A22" s="13" t="n">
        <f aca="false">IF(D21="","",IF(G21&gt;=$P$2,MIN(D21,C21),D21))</f>
        <v>8</v>
      </c>
      <c r="B22" s="13" t="n">
        <f aca="false">IF(A22="","",A22/8)</f>
        <v>1</v>
      </c>
      <c r="C22" s="13" t="n">
        <f aca="false">IF(OR(A22="",B22=""),"",A22+B22)</f>
        <v>9</v>
      </c>
      <c r="D22" s="13" t="n">
        <f aca="false">IF(A22="","",A22+SUMIFS(Registros!$AP:$AP,Registros!$C:$C,H22))</f>
        <v>8</v>
      </c>
      <c r="E22" s="13" t="n">
        <f aca="false">IF(A22="","",ROUND(A22-8*B22,2))</f>
        <v>0</v>
      </c>
      <c r="F22" s="13" t="n">
        <f aca="false">IF(OR(D22="",C22=""),"",D22-C22)</f>
        <v>-1</v>
      </c>
      <c r="G22" s="20" t="n">
        <f aca="false">IF(G21="","",G21+1)</f>
        <v>21</v>
      </c>
      <c r="H22" s="15"/>
      <c r="I22" s="14"/>
      <c r="J22" s="16" t="str">
        <f aca="false">IF(OR(H22="",D22="",C22="",G22&lt;$P$2),"",MAX(0,ROUND(D22-C22,2)))</f>
        <v/>
      </c>
      <c r="K22" s="17"/>
      <c r="L22" s="16" t="str">
        <f aca="false">IF(NOT(ISNUMBER(K22)),"",ROUND(K22-N(M21)-N(J22),2))</f>
        <v/>
      </c>
      <c r="M22" s="16" t="n">
        <f aca="false">IF(ISNUMBER(K22),K22,N(M21))</f>
        <v>0</v>
      </c>
      <c r="N22" s="0" t="str">
        <f aca="true">IF(AND(H22="",K22=""),"",TRIM(IF(AND(H22&lt;&gt;"",NOT(AND(LEN(H22)=10,MID(H22,5,1)="-",MID(H22,8,1)="-"))),"Fecha con formato invalido (usa AAAA-MM-DD). ","")&amp;IF(AND(H22&lt;&gt;"",COUNTIF($H$2:$H$367,H22)&gt;1),"Fecha repetida en otro dia. ","")&amp;IF(AND(H22&lt;&gt;"",H21&lt;&gt;"",H22&lt;=H21),"La fecha no es posterior a la del dia anterior. ","")&amp;IF(AND(H22&lt;&gt;"",ISNUMBER(A22),ISNUMBER(D21),ISNUMBER(C21),ABS(A22-IF(G21&gt;=$P$2,MIN(D21,C21),D21))&gt;0.005),"Bank roll inicial no sigue la regla del dia anterior (alguien sobrescribio la formula). ","")&amp;IF(AND(H22&lt;&gt;"",ISNUMBER(B22),ISNUMBER(A22),ABS(B22-A22/8)&gt;0.00001),"Stake distinto de Bank roll/8. ","")&amp;IF(AND(H22&lt;&gt;"",ISNUMBER(E22),ABS(E22)&gt;0.005),"Residuo distinto de 0. ","")&amp;IF(AND(K22&lt;&gt;"",OR(NOT(ISNUMBER(K22)),N(K22)&lt;0)),"Saldo L2 no numerico o negativo. ","")&amp;IF(AND(H22&lt;&gt;"",H22&lt;TEXT(TODAY(),"yyyy-mm-dd"),G22&gt;=$P$2,K22="",OR(N(J22)&gt;0,N(M21)&gt;0)),"Falta cerrar el Saldo L2 de este dia. ","")&amp;IF(AND(H22&lt;&gt;"",SUMPRODUCT((Registros!$C$2:$C$3000=H22)*ISTEXT(Registros!$AP$2:$AP$3000))&gt;0),"Hay P/L guardado como texto en Registros (no suma). ","")))</f>
        <v/>
      </c>
    </row>
    <row r="23" customFormat="false" ht="15" hidden="false" customHeight="true" outlineLevel="0" collapsed="false">
      <c r="A23" s="13" t="n">
        <f aca="false">IF(D22="","",IF(G22&gt;=$P$2,MIN(D22,C22),D22))</f>
        <v>8</v>
      </c>
      <c r="B23" s="13" t="n">
        <f aca="false">IF(A23="","",A23/8)</f>
        <v>1</v>
      </c>
      <c r="C23" s="13" t="n">
        <f aca="false">IF(OR(A23="",B23=""),"",A23+B23)</f>
        <v>9</v>
      </c>
      <c r="D23" s="13" t="n">
        <f aca="false">IF(A23="","",A23+SUMIFS(Registros!$AP:$AP,Registros!$C:$C,H23))</f>
        <v>8</v>
      </c>
      <c r="E23" s="13" t="n">
        <f aca="false">IF(A23="","",ROUND(A23-8*B23,2))</f>
        <v>0</v>
      </c>
      <c r="F23" s="13" t="n">
        <f aca="false">IF(OR(D23="",C23=""),"",D23-C23)</f>
        <v>-1</v>
      </c>
      <c r="G23" s="20" t="n">
        <f aca="false">IF(G22="","",G22+1)</f>
        <v>22</v>
      </c>
      <c r="H23" s="15"/>
      <c r="I23" s="14"/>
      <c r="J23" s="16" t="str">
        <f aca="false">IF(OR(H23="",D23="",C23="",G23&lt;$P$2),"",MAX(0,ROUND(D23-C23,2)))</f>
        <v/>
      </c>
      <c r="K23" s="17"/>
      <c r="L23" s="16" t="str">
        <f aca="false">IF(NOT(ISNUMBER(K23)),"",ROUND(K23-N(M22)-N(J23),2))</f>
        <v/>
      </c>
      <c r="M23" s="16" t="n">
        <f aca="false">IF(ISNUMBER(K23),K23,N(M22))</f>
        <v>0</v>
      </c>
      <c r="N23" s="0" t="str">
        <f aca="true">IF(AND(H23="",K23=""),"",TRIM(IF(AND(H23&lt;&gt;"",NOT(AND(LEN(H23)=10,MID(H23,5,1)="-",MID(H23,8,1)="-"))),"Fecha con formato invalido (usa AAAA-MM-DD). ","")&amp;IF(AND(H23&lt;&gt;"",COUNTIF($H$2:$H$367,H23)&gt;1),"Fecha repetida en otro dia. ","")&amp;IF(AND(H23&lt;&gt;"",H22&lt;&gt;"",H23&lt;=H22),"La fecha no es posterior a la del dia anterior. ","")&amp;IF(AND(H23&lt;&gt;"",ISNUMBER(A23),ISNUMBER(D22),ISNUMBER(C22),ABS(A23-IF(G22&gt;=$P$2,MIN(D22,C22),D22))&gt;0.005),"Bank roll inicial no sigue la regla del dia anterior (alguien sobrescribio la formula). ","")&amp;IF(AND(H23&lt;&gt;"",ISNUMBER(B23),ISNUMBER(A23),ABS(B23-A23/8)&gt;0.00001),"Stake distinto de Bank roll/8. ","")&amp;IF(AND(H23&lt;&gt;"",ISNUMBER(E23),ABS(E23)&gt;0.005),"Residuo distinto de 0. ","")&amp;IF(AND(K23&lt;&gt;"",OR(NOT(ISNUMBER(K23)),N(K23)&lt;0)),"Saldo L2 no numerico o negativo. ","")&amp;IF(AND(H23&lt;&gt;"",H23&lt;TEXT(TODAY(),"yyyy-mm-dd"),G23&gt;=$P$2,K23="",OR(N(J23)&gt;0,N(M22)&gt;0)),"Falta cerrar el Saldo L2 de este dia. ","")&amp;IF(AND(H23&lt;&gt;"",SUMPRODUCT((Registros!$C$2:$C$3000=H23)*ISTEXT(Registros!$AP$2:$AP$3000))&gt;0),"Hay P/L guardado como texto en Registros (no suma). ","")))</f>
        <v/>
      </c>
    </row>
    <row r="24" customFormat="false" ht="15" hidden="false" customHeight="true" outlineLevel="0" collapsed="false">
      <c r="A24" s="13" t="n">
        <f aca="false">IF(D23="","",IF(G23&gt;=$P$2,MIN(D23,C23),D23))</f>
        <v>8</v>
      </c>
      <c r="B24" s="13" t="n">
        <f aca="false">IF(A24="","",A24/8)</f>
        <v>1</v>
      </c>
      <c r="C24" s="13" t="n">
        <f aca="false">IF(OR(A24="",B24=""),"",A24+B24)</f>
        <v>9</v>
      </c>
      <c r="D24" s="13" t="n">
        <f aca="false">IF(A24="","",A24+SUMIFS(Registros!$AP:$AP,Registros!$C:$C,H24))</f>
        <v>8</v>
      </c>
      <c r="E24" s="13" t="n">
        <f aca="false">IF(A24="","",ROUND(A24-8*B24,2))</f>
        <v>0</v>
      </c>
      <c r="F24" s="13" t="n">
        <f aca="false">IF(OR(D24="",C24=""),"",D24-C24)</f>
        <v>-1</v>
      </c>
      <c r="G24" s="20" t="n">
        <f aca="false">IF(G23="","",G23+1)</f>
        <v>23</v>
      </c>
      <c r="H24" s="15"/>
      <c r="I24" s="14"/>
      <c r="J24" s="16" t="str">
        <f aca="false">IF(OR(H24="",D24="",C24="",G24&lt;$P$2),"",MAX(0,ROUND(D24-C24,2)))</f>
        <v/>
      </c>
      <c r="K24" s="17"/>
      <c r="L24" s="16" t="str">
        <f aca="false">IF(NOT(ISNUMBER(K24)),"",ROUND(K24-N(M23)-N(J24),2))</f>
        <v/>
      </c>
      <c r="M24" s="16" t="n">
        <f aca="false">IF(ISNUMBER(K24),K24,N(M23))</f>
        <v>0</v>
      </c>
      <c r="N24" s="0" t="str">
        <f aca="true">IF(AND(H24="",K24=""),"",TRIM(IF(AND(H24&lt;&gt;"",NOT(AND(LEN(H24)=10,MID(H24,5,1)="-",MID(H24,8,1)="-"))),"Fecha con formato invalido (usa AAAA-MM-DD). ","")&amp;IF(AND(H24&lt;&gt;"",COUNTIF($H$2:$H$367,H24)&gt;1),"Fecha repetida en otro dia. ","")&amp;IF(AND(H24&lt;&gt;"",H23&lt;&gt;"",H24&lt;=H23),"La fecha no es posterior a la del dia anterior. ","")&amp;IF(AND(H24&lt;&gt;"",ISNUMBER(A24),ISNUMBER(D23),ISNUMBER(C23),ABS(A24-IF(G23&gt;=$P$2,MIN(D23,C23),D23))&gt;0.005),"Bank roll inicial no sigue la regla del dia anterior (alguien sobrescribio la formula). ","")&amp;IF(AND(H24&lt;&gt;"",ISNUMBER(B24),ISNUMBER(A24),ABS(B24-A24/8)&gt;0.00001),"Stake distinto de Bank roll/8. ","")&amp;IF(AND(H24&lt;&gt;"",ISNUMBER(E24),ABS(E24)&gt;0.005),"Residuo distinto de 0. ","")&amp;IF(AND(K24&lt;&gt;"",OR(NOT(ISNUMBER(K24)),N(K24)&lt;0)),"Saldo L2 no numerico o negativo. ","")&amp;IF(AND(H24&lt;&gt;"",H24&lt;TEXT(TODAY(),"yyyy-mm-dd"),G24&gt;=$P$2,K24="",OR(N(J24)&gt;0,N(M23)&gt;0)),"Falta cerrar el Saldo L2 de este dia. ","")&amp;IF(AND(H24&lt;&gt;"",SUMPRODUCT((Registros!$C$2:$C$3000=H24)*ISTEXT(Registros!$AP$2:$AP$3000))&gt;0),"Hay P/L guardado como texto en Registros (no suma). ","")))</f>
        <v/>
      </c>
    </row>
    <row r="25" customFormat="false" ht="15" hidden="false" customHeight="true" outlineLevel="0" collapsed="false">
      <c r="A25" s="13" t="n">
        <f aca="false">IF(D24="","",IF(G24&gt;=$P$2,MIN(D24,C24),D24))</f>
        <v>8</v>
      </c>
      <c r="B25" s="13" t="n">
        <f aca="false">IF(A25="","",A25/8)</f>
        <v>1</v>
      </c>
      <c r="C25" s="13" t="n">
        <f aca="false">IF(OR(A25="",B25=""),"",A25+B25)</f>
        <v>9</v>
      </c>
      <c r="D25" s="13" t="n">
        <f aca="false">IF(A25="","",A25+SUMIFS(Registros!$AP:$AP,Registros!$C:$C,H25))</f>
        <v>8</v>
      </c>
      <c r="E25" s="13" t="n">
        <f aca="false">IF(A25="","",ROUND(A25-8*B25,2))</f>
        <v>0</v>
      </c>
      <c r="F25" s="13" t="n">
        <f aca="false">IF(OR(D25="",C25=""),"",D25-C25)</f>
        <v>-1</v>
      </c>
      <c r="G25" s="20" t="n">
        <f aca="false">IF(G24="","",G24+1)</f>
        <v>24</v>
      </c>
      <c r="H25" s="15"/>
      <c r="I25" s="14"/>
      <c r="J25" s="16" t="str">
        <f aca="false">IF(OR(H25="",D25="",C25="",G25&lt;$P$2),"",MAX(0,ROUND(D25-C25,2)))</f>
        <v/>
      </c>
      <c r="K25" s="17"/>
      <c r="L25" s="16" t="str">
        <f aca="false">IF(NOT(ISNUMBER(K25)),"",ROUND(K25-N(M24)-N(J25),2))</f>
        <v/>
      </c>
      <c r="M25" s="16" t="n">
        <f aca="false">IF(ISNUMBER(K25),K25,N(M24))</f>
        <v>0</v>
      </c>
      <c r="N25" s="0" t="str">
        <f aca="true">IF(AND(H25="",K25=""),"",TRIM(IF(AND(H25&lt;&gt;"",NOT(AND(LEN(H25)=10,MID(H25,5,1)="-",MID(H25,8,1)="-"))),"Fecha con formato invalido (usa AAAA-MM-DD). ","")&amp;IF(AND(H25&lt;&gt;"",COUNTIF($H$2:$H$367,H25)&gt;1),"Fecha repetida en otro dia. ","")&amp;IF(AND(H25&lt;&gt;"",H24&lt;&gt;"",H25&lt;=H24),"La fecha no es posterior a la del dia anterior. ","")&amp;IF(AND(H25&lt;&gt;"",ISNUMBER(A25),ISNUMBER(D24),ISNUMBER(C24),ABS(A25-IF(G24&gt;=$P$2,MIN(D24,C24),D24))&gt;0.005),"Bank roll inicial no sigue la regla del dia anterior (alguien sobrescribio la formula). ","")&amp;IF(AND(H25&lt;&gt;"",ISNUMBER(B25),ISNUMBER(A25),ABS(B25-A25/8)&gt;0.00001),"Stake distinto de Bank roll/8. ","")&amp;IF(AND(H25&lt;&gt;"",ISNUMBER(E25),ABS(E25)&gt;0.005),"Residuo distinto de 0. ","")&amp;IF(AND(K25&lt;&gt;"",OR(NOT(ISNUMBER(K25)),N(K25)&lt;0)),"Saldo L2 no numerico o negativo. ","")&amp;IF(AND(H25&lt;&gt;"",H25&lt;TEXT(TODAY(),"yyyy-mm-dd"),G25&gt;=$P$2,K25="",OR(N(J25)&gt;0,N(M24)&gt;0)),"Falta cerrar el Saldo L2 de este dia. ","")&amp;IF(AND(H25&lt;&gt;"",SUMPRODUCT((Registros!$C$2:$C$3000=H25)*ISTEXT(Registros!$AP$2:$AP$3000))&gt;0),"Hay P/L guardado como texto en Registros (no suma). ","")))</f>
        <v/>
      </c>
    </row>
    <row r="26" customFormat="false" ht="15" hidden="false" customHeight="true" outlineLevel="0" collapsed="false">
      <c r="A26" s="13" t="n">
        <f aca="false">IF(D25="","",IF(G25&gt;=$P$2,MIN(D25,C25),D25))</f>
        <v>8</v>
      </c>
      <c r="B26" s="13" t="n">
        <f aca="false">IF(A26="","",A26/8)</f>
        <v>1</v>
      </c>
      <c r="C26" s="13" t="n">
        <f aca="false">IF(OR(A26="",B26=""),"",A26+B26)</f>
        <v>9</v>
      </c>
      <c r="D26" s="13" t="n">
        <f aca="false">IF(A26="","",A26+SUMIFS(Registros!$AP:$AP,Registros!$C:$C,H26))</f>
        <v>8</v>
      </c>
      <c r="E26" s="13" t="n">
        <f aca="false">IF(A26="","",ROUND(A26-8*B26,2))</f>
        <v>0</v>
      </c>
      <c r="F26" s="13" t="n">
        <f aca="false">IF(OR(D26="",C26=""),"",D26-C26)</f>
        <v>-1</v>
      </c>
      <c r="G26" s="20" t="n">
        <f aca="false">IF(G25="","",G25+1)</f>
        <v>25</v>
      </c>
      <c r="H26" s="15"/>
      <c r="I26" s="14"/>
      <c r="J26" s="16" t="str">
        <f aca="false">IF(OR(H26="",D26="",C26="",G26&lt;$P$2),"",MAX(0,ROUND(D26-C26,2)))</f>
        <v/>
      </c>
      <c r="K26" s="17"/>
      <c r="L26" s="16" t="str">
        <f aca="false">IF(NOT(ISNUMBER(K26)),"",ROUND(K26-N(M25)-N(J26),2))</f>
        <v/>
      </c>
      <c r="M26" s="16" t="n">
        <f aca="false">IF(ISNUMBER(K26),K26,N(M25))</f>
        <v>0</v>
      </c>
      <c r="N26" s="0" t="str">
        <f aca="true">IF(AND(H26="",K26=""),"",TRIM(IF(AND(H26&lt;&gt;"",NOT(AND(LEN(H26)=10,MID(H26,5,1)="-",MID(H26,8,1)="-"))),"Fecha con formato invalido (usa AAAA-MM-DD). ","")&amp;IF(AND(H26&lt;&gt;"",COUNTIF($H$2:$H$367,H26)&gt;1),"Fecha repetida en otro dia. ","")&amp;IF(AND(H26&lt;&gt;"",H25&lt;&gt;"",H26&lt;=H25),"La fecha no es posterior a la del dia anterior. ","")&amp;IF(AND(H26&lt;&gt;"",ISNUMBER(A26),ISNUMBER(D25),ISNUMBER(C25),ABS(A26-IF(G25&gt;=$P$2,MIN(D25,C25),D25))&gt;0.005),"Bank roll inicial no sigue la regla del dia anterior (alguien sobrescribio la formula). ","")&amp;IF(AND(H26&lt;&gt;"",ISNUMBER(B26),ISNUMBER(A26),ABS(B26-A26/8)&gt;0.00001),"Stake distinto de Bank roll/8. ","")&amp;IF(AND(H26&lt;&gt;"",ISNUMBER(E26),ABS(E26)&gt;0.005),"Residuo distinto de 0. ","")&amp;IF(AND(K26&lt;&gt;"",OR(NOT(ISNUMBER(K26)),N(K26)&lt;0)),"Saldo L2 no numerico o negativo. ","")&amp;IF(AND(H26&lt;&gt;"",H26&lt;TEXT(TODAY(),"yyyy-mm-dd"),G26&gt;=$P$2,K26="",OR(N(J26)&gt;0,N(M25)&gt;0)),"Falta cerrar el Saldo L2 de este dia. ","")&amp;IF(AND(H26&lt;&gt;"",SUMPRODUCT((Registros!$C$2:$C$3000=H26)*ISTEXT(Registros!$AP$2:$AP$3000))&gt;0),"Hay P/L guardado como texto en Registros (no suma). ","")))</f>
        <v/>
      </c>
    </row>
    <row r="27" customFormat="false" ht="15" hidden="false" customHeight="true" outlineLevel="0" collapsed="false">
      <c r="A27" s="13" t="n">
        <f aca="false">IF(D26="","",IF(G26&gt;=$P$2,MIN(D26,C26),D26))</f>
        <v>8</v>
      </c>
      <c r="B27" s="13" t="n">
        <f aca="false">IF(A27="","",A27/8)</f>
        <v>1</v>
      </c>
      <c r="C27" s="13" t="n">
        <f aca="false">IF(OR(A27="",B27=""),"",A27+B27)</f>
        <v>9</v>
      </c>
      <c r="D27" s="13" t="n">
        <f aca="false">IF(A27="","",A27+SUMIFS(Registros!$AP:$AP,Registros!$C:$C,H27))</f>
        <v>8</v>
      </c>
      <c r="E27" s="13" t="n">
        <f aca="false">IF(A27="","",ROUND(A27-8*B27,2))</f>
        <v>0</v>
      </c>
      <c r="F27" s="13" t="n">
        <f aca="false">IF(OR(D27="",C27=""),"",D27-C27)</f>
        <v>-1</v>
      </c>
      <c r="G27" s="20" t="n">
        <f aca="false">IF(G26="","",G26+1)</f>
        <v>26</v>
      </c>
      <c r="H27" s="15"/>
      <c r="I27" s="14"/>
      <c r="J27" s="16" t="str">
        <f aca="false">IF(OR(H27="",D27="",C27="",G27&lt;$P$2),"",MAX(0,ROUND(D27-C27,2)))</f>
        <v/>
      </c>
      <c r="K27" s="17"/>
      <c r="L27" s="16" t="str">
        <f aca="false">IF(NOT(ISNUMBER(K27)),"",ROUND(K27-N(M26)-N(J27),2))</f>
        <v/>
      </c>
      <c r="M27" s="16" t="n">
        <f aca="false">IF(ISNUMBER(K27),K27,N(M26))</f>
        <v>0</v>
      </c>
      <c r="N27" s="0" t="str">
        <f aca="true">IF(AND(H27="",K27=""),"",TRIM(IF(AND(H27&lt;&gt;"",NOT(AND(LEN(H27)=10,MID(H27,5,1)="-",MID(H27,8,1)="-"))),"Fecha con formato invalido (usa AAAA-MM-DD). ","")&amp;IF(AND(H27&lt;&gt;"",COUNTIF($H$2:$H$367,H27)&gt;1),"Fecha repetida en otro dia. ","")&amp;IF(AND(H27&lt;&gt;"",H26&lt;&gt;"",H27&lt;=H26),"La fecha no es posterior a la del dia anterior. ","")&amp;IF(AND(H27&lt;&gt;"",ISNUMBER(A27),ISNUMBER(D26),ISNUMBER(C26),ABS(A27-IF(G26&gt;=$P$2,MIN(D26,C26),D26))&gt;0.005),"Bank roll inicial no sigue la regla del dia anterior (alguien sobrescribio la formula). ","")&amp;IF(AND(H27&lt;&gt;"",ISNUMBER(B27),ISNUMBER(A27),ABS(B27-A27/8)&gt;0.00001),"Stake distinto de Bank roll/8. ","")&amp;IF(AND(H27&lt;&gt;"",ISNUMBER(E27),ABS(E27)&gt;0.005),"Residuo distinto de 0. ","")&amp;IF(AND(K27&lt;&gt;"",OR(NOT(ISNUMBER(K27)),N(K27)&lt;0)),"Saldo L2 no numerico o negativo. ","")&amp;IF(AND(H27&lt;&gt;"",H27&lt;TEXT(TODAY(),"yyyy-mm-dd"),G27&gt;=$P$2,K27="",OR(N(J27)&gt;0,N(M26)&gt;0)),"Falta cerrar el Saldo L2 de este dia. ","")&amp;IF(AND(H27&lt;&gt;"",SUMPRODUCT((Registros!$C$2:$C$3000=H27)*ISTEXT(Registros!$AP$2:$AP$3000))&gt;0),"Hay P/L guardado como texto en Registros (no suma). ","")))</f>
        <v/>
      </c>
    </row>
    <row r="28" customFormat="false" ht="15" hidden="false" customHeight="true" outlineLevel="0" collapsed="false">
      <c r="A28" s="13" t="n">
        <f aca="false">IF(D27="","",IF(G27&gt;=$P$2,MIN(D27,C27),D27))</f>
        <v>8</v>
      </c>
      <c r="B28" s="13" t="n">
        <f aca="false">IF(A28="","",A28/8)</f>
        <v>1</v>
      </c>
      <c r="C28" s="13" t="n">
        <f aca="false">IF(OR(A28="",B28=""),"",A28+B28)</f>
        <v>9</v>
      </c>
      <c r="D28" s="13" t="n">
        <f aca="false">IF(A28="","",A28+SUMIFS(Registros!$AP:$AP,Registros!$C:$C,H28))</f>
        <v>8</v>
      </c>
      <c r="E28" s="13" t="n">
        <f aca="false">IF(A28="","",ROUND(A28-8*B28,2))</f>
        <v>0</v>
      </c>
      <c r="F28" s="13" t="n">
        <f aca="false">IF(OR(D28="",C28=""),"",D28-C28)</f>
        <v>-1</v>
      </c>
      <c r="G28" s="20" t="n">
        <f aca="false">IF(G27="","",G27+1)</f>
        <v>27</v>
      </c>
      <c r="H28" s="15"/>
      <c r="I28" s="14"/>
      <c r="J28" s="16" t="str">
        <f aca="false">IF(OR(H28="",D28="",C28="",G28&lt;$P$2),"",MAX(0,ROUND(D28-C28,2)))</f>
        <v/>
      </c>
      <c r="K28" s="17"/>
      <c r="L28" s="16" t="str">
        <f aca="false">IF(NOT(ISNUMBER(K28)),"",ROUND(K28-N(M27)-N(J28),2))</f>
        <v/>
      </c>
      <c r="M28" s="16" t="n">
        <f aca="false">IF(ISNUMBER(K28),K28,N(M27))</f>
        <v>0</v>
      </c>
      <c r="N28" s="0" t="str">
        <f aca="true">IF(AND(H28="",K28=""),"",TRIM(IF(AND(H28&lt;&gt;"",NOT(AND(LEN(H28)=10,MID(H28,5,1)="-",MID(H28,8,1)="-"))),"Fecha con formato invalido (usa AAAA-MM-DD). ","")&amp;IF(AND(H28&lt;&gt;"",COUNTIF($H$2:$H$367,H28)&gt;1),"Fecha repetida en otro dia. ","")&amp;IF(AND(H28&lt;&gt;"",H27&lt;&gt;"",H28&lt;=H27),"La fecha no es posterior a la del dia anterior. ","")&amp;IF(AND(H28&lt;&gt;"",ISNUMBER(A28),ISNUMBER(D27),ISNUMBER(C27),ABS(A28-IF(G27&gt;=$P$2,MIN(D27,C27),D27))&gt;0.005),"Bank roll inicial no sigue la regla del dia anterior (alguien sobrescribio la formula). ","")&amp;IF(AND(H28&lt;&gt;"",ISNUMBER(B28),ISNUMBER(A28),ABS(B28-A28/8)&gt;0.00001),"Stake distinto de Bank roll/8. ","")&amp;IF(AND(H28&lt;&gt;"",ISNUMBER(E28),ABS(E28)&gt;0.005),"Residuo distinto de 0. ","")&amp;IF(AND(K28&lt;&gt;"",OR(NOT(ISNUMBER(K28)),N(K28)&lt;0)),"Saldo L2 no numerico o negativo. ","")&amp;IF(AND(H28&lt;&gt;"",H28&lt;TEXT(TODAY(),"yyyy-mm-dd"),G28&gt;=$P$2,K28="",OR(N(J28)&gt;0,N(M27)&gt;0)),"Falta cerrar el Saldo L2 de este dia. ","")&amp;IF(AND(H28&lt;&gt;"",SUMPRODUCT((Registros!$C$2:$C$3000=H28)*ISTEXT(Registros!$AP$2:$AP$3000))&gt;0),"Hay P/L guardado como texto en Registros (no suma). ","")))</f>
        <v/>
      </c>
    </row>
    <row r="29" customFormat="false" ht="15" hidden="false" customHeight="true" outlineLevel="0" collapsed="false">
      <c r="A29" s="13" t="n">
        <f aca="false">IF(D28="","",IF(G28&gt;=$P$2,MIN(D28,C28),D28))</f>
        <v>8</v>
      </c>
      <c r="B29" s="13" t="n">
        <f aca="false">IF(A29="","",A29/8)</f>
        <v>1</v>
      </c>
      <c r="C29" s="13" t="n">
        <f aca="false">IF(OR(A29="",B29=""),"",A29+B29)</f>
        <v>9</v>
      </c>
      <c r="D29" s="13" t="n">
        <f aca="false">IF(A29="","",A29+SUMIFS(Registros!$AP:$AP,Registros!$C:$C,H29))</f>
        <v>8</v>
      </c>
      <c r="E29" s="13" t="n">
        <f aca="false">IF(A29="","",ROUND(A29-8*B29,2))</f>
        <v>0</v>
      </c>
      <c r="F29" s="13" t="n">
        <f aca="false">IF(OR(D29="",C29=""),"",D29-C29)</f>
        <v>-1</v>
      </c>
      <c r="G29" s="20" t="n">
        <f aca="false">IF(G28="","",G28+1)</f>
        <v>28</v>
      </c>
      <c r="H29" s="15"/>
      <c r="I29" s="14"/>
      <c r="J29" s="16" t="str">
        <f aca="false">IF(OR(H29="",D29="",C29="",G29&lt;$P$2),"",MAX(0,ROUND(D29-C29,2)))</f>
        <v/>
      </c>
      <c r="K29" s="17"/>
      <c r="L29" s="16" t="str">
        <f aca="false">IF(NOT(ISNUMBER(K29)),"",ROUND(K29-N(M28)-N(J29),2))</f>
        <v/>
      </c>
      <c r="M29" s="16" t="n">
        <f aca="false">IF(ISNUMBER(K29),K29,N(M28))</f>
        <v>0</v>
      </c>
      <c r="N29" s="0" t="str">
        <f aca="true">IF(AND(H29="",K29=""),"",TRIM(IF(AND(H29&lt;&gt;"",NOT(AND(LEN(H29)=10,MID(H29,5,1)="-",MID(H29,8,1)="-"))),"Fecha con formato invalido (usa AAAA-MM-DD). ","")&amp;IF(AND(H29&lt;&gt;"",COUNTIF($H$2:$H$367,H29)&gt;1),"Fecha repetida en otro dia. ","")&amp;IF(AND(H29&lt;&gt;"",H28&lt;&gt;"",H29&lt;=H28),"La fecha no es posterior a la del dia anterior. ","")&amp;IF(AND(H29&lt;&gt;"",ISNUMBER(A29),ISNUMBER(D28),ISNUMBER(C28),ABS(A29-IF(G28&gt;=$P$2,MIN(D28,C28),D28))&gt;0.005),"Bank roll inicial no sigue la regla del dia anterior (alguien sobrescribio la formula). ","")&amp;IF(AND(H29&lt;&gt;"",ISNUMBER(B29),ISNUMBER(A29),ABS(B29-A29/8)&gt;0.00001),"Stake distinto de Bank roll/8. ","")&amp;IF(AND(H29&lt;&gt;"",ISNUMBER(E29),ABS(E29)&gt;0.005),"Residuo distinto de 0. ","")&amp;IF(AND(K29&lt;&gt;"",OR(NOT(ISNUMBER(K29)),N(K29)&lt;0)),"Saldo L2 no numerico o negativo. ","")&amp;IF(AND(H29&lt;&gt;"",H29&lt;TEXT(TODAY(),"yyyy-mm-dd"),G29&gt;=$P$2,K29="",OR(N(J29)&gt;0,N(M28)&gt;0)),"Falta cerrar el Saldo L2 de este dia. ","")&amp;IF(AND(H29&lt;&gt;"",SUMPRODUCT((Registros!$C$2:$C$3000=H29)*ISTEXT(Registros!$AP$2:$AP$3000))&gt;0),"Hay P/L guardado como texto en Registros (no suma). ","")))</f>
        <v/>
      </c>
    </row>
    <row r="30" customFormat="false" ht="15" hidden="false" customHeight="true" outlineLevel="0" collapsed="false">
      <c r="A30" s="13" t="n">
        <f aca="false">IF(D29="","",IF(G29&gt;=$P$2,MIN(D29,C29),D29))</f>
        <v>8</v>
      </c>
      <c r="B30" s="13" t="n">
        <f aca="false">IF(A30="","",A30/8)</f>
        <v>1</v>
      </c>
      <c r="C30" s="13" t="n">
        <f aca="false">IF(OR(A30="",B30=""),"",A30+B30)</f>
        <v>9</v>
      </c>
      <c r="D30" s="13" t="n">
        <f aca="false">IF(A30="","",A30+SUMIFS(Registros!$AP:$AP,Registros!$C:$C,H30))</f>
        <v>8</v>
      </c>
      <c r="E30" s="13" t="n">
        <f aca="false">IF(A30="","",ROUND(A30-8*B30,2))</f>
        <v>0</v>
      </c>
      <c r="F30" s="13" t="n">
        <f aca="false">IF(OR(D30="",C30=""),"",D30-C30)</f>
        <v>-1</v>
      </c>
      <c r="G30" s="20" t="n">
        <f aca="false">IF(G29="","",G29+1)</f>
        <v>29</v>
      </c>
      <c r="H30" s="15"/>
      <c r="I30" s="14"/>
      <c r="J30" s="16" t="str">
        <f aca="false">IF(OR(H30="",D30="",C30="",G30&lt;$P$2),"",MAX(0,ROUND(D30-C30,2)))</f>
        <v/>
      </c>
      <c r="K30" s="17"/>
      <c r="L30" s="16" t="str">
        <f aca="false">IF(NOT(ISNUMBER(K30)),"",ROUND(K30-N(M29)-N(J30),2))</f>
        <v/>
      </c>
      <c r="M30" s="16" t="n">
        <f aca="false">IF(ISNUMBER(K30),K30,N(M29))</f>
        <v>0</v>
      </c>
      <c r="N30" s="0" t="str">
        <f aca="true">IF(AND(H30="",K30=""),"",TRIM(IF(AND(H30&lt;&gt;"",NOT(AND(LEN(H30)=10,MID(H30,5,1)="-",MID(H30,8,1)="-"))),"Fecha con formato invalido (usa AAAA-MM-DD). ","")&amp;IF(AND(H30&lt;&gt;"",COUNTIF($H$2:$H$367,H30)&gt;1),"Fecha repetida en otro dia. ","")&amp;IF(AND(H30&lt;&gt;"",H29&lt;&gt;"",H30&lt;=H29),"La fecha no es posterior a la del dia anterior. ","")&amp;IF(AND(H30&lt;&gt;"",ISNUMBER(A30),ISNUMBER(D29),ISNUMBER(C29),ABS(A30-IF(G29&gt;=$P$2,MIN(D29,C29),D29))&gt;0.005),"Bank roll inicial no sigue la regla del dia anterior (alguien sobrescribio la formula). ","")&amp;IF(AND(H30&lt;&gt;"",ISNUMBER(B30),ISNUMBER(A30),ABS(B30-A30/8)&gt;0.00001),"Stake distinto de Bank roll/8. ","")&amp;IF(AND(H30&lt;&gt;"",ISNUMBER(E30),ABS(E30)&gt;0.005),"Residuo distinto de 0. ","")&amp;IF(AND(K30&lt;&gt;"",OR(NOT(ISNUMBER(K30)),N(K30)&lt;0)),"Saldo L2 no numerico o negativo. ","")&amp;IF(AND(H30&lt;&gt;"",H30&lt;TEXT(TODAY(),"yyyy-mm-dd"),G30&gt;=$P$2,K30="",OR(N(J30)&gt;0,N(M29)&gt;0)),"Falta cerrar el Saldo L2 de este dia. ","")&amp;IF(AND(H30&lt;&gt;"",SUMPRODUCT((Registros!$C$2:$C$3000=H30)*ISTEXT(Registros!$AP$2:$AP$3000))&gt;0),"Hay P/L guardado como texto en Registros (no suma). ","")))</f>
        <v/>
      </c>
    </row>
    <row r="31" customFormat="false" ht="15" hidden="false" customHeight="true" outlineLevel="0" collapsed="false">
      <c r="A31" s="13" t="n">
        <f aca="false">IF(D30="","",IF(G30&gt;=$P$2,MIN(D30,C30),D30))</f>
        <v>8</v>
      </c>
      <c r="B31" s="13" t="n">
        <f aca="false">IF(A31="","",A31/8)</f>
        <v>1</v>
      </c>
      <c r="C31" s="13" t="n">
        <f aca="false">IF(OR(A31="",B31=""),"",A31+B31)</f>
        <v>9</v>
      </c>
      <c r="D31" s="13" t="n">
        <f aca="false">IF(A31="","",A31+SUMIFS(Registros!$AP:$AP,Registros!$C:$C,H31))</f>
        <v>8</v>
      </c>
      <c r="E31" s="13" t="n">
        <f aca="false">IF(A31="","",ROUND(A31-8*B31,2))</f>
        <v>0</v>
      </c>
      <c r="F31" s="13" t="n">
        <f aca="false">IF(OR(D31="",C31=""),"",D31-C31)</f>
        <v>-1</v>
      </c>
      <c r="G31" s="20" t="n">
        <f aca="false">IF(G30="","",G30+1)</f>
        <v>30</v>
      </c>
      <c r="H31" s="15"/>
      <c r="I31" s="14"/>
      <c r="J31" s="16" t="str">
        <f aca="false">IF(OR(H31="",D31="",C31="",G31&lt;$P$2),"",MAX(0,ROUND(D31-C31,2)))</f>
        <v/>
      </c>
      <c r="K31" s="17"/>
      <c r="L31" s="16" t="str">
        <f aca="false">IF(NOT(ISNUMBER(K31)),"",ROUND(K31-N(M30)-N(J31),2))</f>
        <v/>
      </c>
      <c r="M31" s="16" t="n">
        <f aca="false">IF(ISNUMBER(K31),K31,N(M30))</f>
        <v>0</v>
      </c>
      <c r="N31" s="0" t="str">
        <f aca="true">IF(AND(H31="",K31=""),"",TRIM(IF(AND(H31&lt;&gt;"",NOT(AND(LEN(H31)=10,MID(H31,5,1)="-",MID(H31,8,1)="-"))),"Fecha con formato invalido (usa AAAA-MM-DD). ","")&amp;IF(AND(H31&lt;&gt;"",COUNTIF($H$2:$H$367,H31)&gt;1),"Fecha repetida en otro dia. ","")&amp;IF(AND(H31&lt;&gt;"",H30&lt;&gt;"",H31&lt;=H30),"La fecha no es posterior a la del dia anterior. ","")&amp;IF(AND(H31&lt;&gt;"",ISNUMBER(A31),ISNUMBER(D30),ISNUMBER(C30),ABS(A31-IF(G30&gt;=$P$2,MIN(D30,C30),D30))&gt;0.005),"Bank roll inicial no sigue la regla del dia anterior (alguien sobrescribio la formula). ","")&amp;IF(AND(H31&lt;&gt;"",ISNUMBER(B31),ISNUMBER(A31),ABS(B31-A31/8)&gt;0.00001),"Stake distinto de Bank roll/8. ","")&amp;IF(AND(H31&lt;&gt;"",ISNUMBER(E31),ABS(E31)&gt;0.005),"Residuo distinto de 0. ","")&amp;IF(AND(K31&lt;&gt;"",OR(NOT(ISNUMBER(K31)),N(K31)&lt;0)),"Saldo L2 no numerico o negativo. ","")&amp;IF(AND(H31&lt;&gt;"",H31&lt;TEXT(TODAY(),"yyyy-mm-dd"),G31&gt;=$P$2,K31="",OR(N(J31)&gt;0,N(M30)&gt;0)),"Falta cerrar el Saldo L2 de este dia. ","")&amp;IF(AND(H31&lt;&gt;"",SUMPRODUCT((Registros!$C$2:$C$3000=H31)*ISTEXT(Registros!$AP$2:$AP$3000))&gt;0),"Hay P/L guardado como texto en Registros (no suma). ","")))</f>
        <v/>
      </c>
    </row>
    <row r="32" customFormat="false" ht="15" hidden="false" customHeight="true" outlineLevel="0" collapsed="false">
      <c r="A32" s="13" t="n">
        <f aca="false">IF(D31="","",IF(G31&gt;=$P$2,MIN(D31,C31),D31))</f>
        <v>8</v>
      </c>
      <c r="B32" s="13" t="n">
        <f aca="false">IF(A32="","",A32/8)</f>
        <v>1</v>
      </c>
      <c r="C32" s="13" t="n">
        <f aca="false">IF(OR(A32="",B32=""),"",A32+B32)</f>
        <v>9</v>
      </c>
      <c r="D32" s="13" t="n">
        <f aca="false">IF(A32="","",A32+SUMIFS(Registros!$AP:$AP,Registros!$C:$C,H32))</f>
        <v>8</v>
      </c>
      <c r="E32" s="13" t="n">
        <f aca="false">IF(A32="","",ROUND(A32-8*B32,2))</f>
        <v>0</v>
      </c>
      <c r="F32" s="13" t="n">
        <f aca="false">IF(OR(D32="",C32=""),"",D32-C32)</f>
        <v>-1</v>
      </c>
      <c r="G32" s="20" t="n">
        <f aca="false">IF(G31="","",G31+1)</f>
        <v>31</v>
      </c>
      <c r="H32" s="15"/>
      <c r="I32" s="14"/>
      <c r="J32" s="16" t="str">
        <f aca="false">IF(OR(H32="",D32="",C32="",G32&lt;$P$2),"",MAX(0,ROUND(D32-C32,2)))</f>
        <v/>
      </c>
      <c r="K32" s="17"/>
      <c r="L32" s="16" t="str">
        <f aca="false">IF(NOT(ISNUMBER(K32)),"",ROUND(K32-N(M31)-N(J32),2))</f>
        <v/>
      </c>
      <c r="M32" s="16" t="n">
        <f aca="false">IF(ISNUMBER(K32),K32,N(M31))</f>
        <v>0</v>
      </c>
      <c r="N32" s="0" t="str">
        <f aca="true">IF(AND(H32="",K32=""),"",TRIM(IF(AND(H32&lt;&gt;"",NOT(AND(LEN(H32)=10,MID(H32,5,1)="-",MID(H32,8,1)="-"))),"Fecha con formato invalido (usa AAAA-MM-DD). ","")&amp;IF(AND(H32&lt;&gt;"",COUNTIF($H$2:$H$367,H32)&gt;1),"Fecha repetida en otro dia. ","")&amp;IF(AND(H32&lt;&gt;"",H31&lt;&gt;"",H32&lt;=H31),"La fecha no es posterior a la del dia anterior. ","")&amp;IF(AND(H32&lt;&gt;"",ISNUMBER(A32),ISNUMBER(D31),ISNUMBER(C31),ABS(A32-IF(G31&gt;=$P$2,MIN(D31,C31),D31))&gt;0.005),"Bank roll inicial no sigue la regla del dia anterior (alguien sobrescribio la formula). ","")&amp;IF(AND(H32&lt;&gt;"",ISNUMBER(B32),ISNUMBER(A32),ABS(B32-A32/8)&gt;0.00001),"Stake distinto de Bank roll/8. ","")&amp;IF(AND(H32&lt;&gt;"",ISNUMBER(E32),ABS(E32)&gt;0.005),"Residuo distinto de 0. ","")&amp;IF(AND(K32&lt;&gt;"",OR(NOT(ISNUMBER(K32)),N(K32)&lt;0)),"Saldo L2 no numerico o negativo. ","")&amp;IF(AND(H32&lt;&gt;"",H32&lt;TEXT(TODAY(),"yyyy-mm-dd"),G32&gt;=$P$2,K32="",OR(N(J32)&gt;0,N(M31)&gt;0)),"Falta cerrar el Saldo L2 de este dia. ","")&amp;IF(AND(H32&lt;&gt;"",SUMPRODUCT((Registros!$C$2:$C$3000=H32)*ISTEXT(Registros!$AP$2:$AP$3000))&gt;0),"Hay P/L guardado como texto en Registros (no suma). ","")))</f>
        <v/>
      </c>
    </row>
    <row r="33" customFormat="false" ht="15" hidden="false" customHeight="true" outlineLevel="0" collapsed="false">
      <c r="A33" s="13" t="n">
        <f aca="false">IF(D32="","",IF(G32&gt;=$P$2,MIN(D32,C32),D32))</f>
        <v>8</v>
      </c>
      <c r="B33" s="13" t="n">
        <f aca="false">IF(A33="","",A33/8)</f>
        <v>1</v>
      </c>
      <c r="C33" s="13" t="n">
        <f aca="false">IF(OR(A33="",B33=""),"",A33+B33)</f>
        <v>9</v>
      </c>
      <c r="D33" s="13" t="n">
        <f aca="false">IF(A33="","",A33+SUMIFS(Registros!$AP:$AP,Registros!$C:$C,H33))</f>
        <v>8</v>
      </c>
      <c r="E33" s="13" t="n">
        <f aca="false">IF(A33="","",ROUND(A33-8*B33,2))</f>
        <v>0</v>
      </c>
      <c r="F33" s="13" t="n">
        <f aca="false">IF(OR(D33="",C33=""),"",D33-C33)</f>
        <v>-1</v>
      </c>
      <c r="G33" s="20" t="n">
        <f aca="false">IF(G32="","",G32+1)</f>
        <v>32</v>
      </c>
      <c r="H33" s="15"/>
      <c r="I33" s="14"/>
      <c r="J33" s="16" t="str">
        <f aca="false">IF(OR(H33="",D33="",C33="",G33&lt;$P$2),"",MAX(0,ROUND(D33-C33,2)))</f>
        <v/>
      </c>
      <c r="K33" s="17"/>
      <c r="L33" s="16" t="str">
        <f aca="false">IF(NOT(ISNUMBER(K33)),"",ROUND(K33-N(M32)-N(J33),2))</f>
        <v/>
      </c>
      <c r="M33" s="16" t="n">
        <f aca="false">IF(ISNUMBER(K33),K33,N(M32))</f>
        <v>0</v>
      </c>
      <c r="N33" s="0" t="str">
        <f aca="true">IF(AND(H33="",K33=""),"",TRIM(IF(AND(H33&lt;&gt;"",NOT(AND(LEN(H33)=10,MID(H33,5,1)="-",MID(H33,8,1)="-"))),"Fecha con formato invalido (usa AAAA-MM-DD). ","")&amp;IF(AND(H33&lt;&gt;"",COUNTIF($H$2:$H$367,H33)&gt;1),"Fecha repetida en otro dia. ","")&amp;IF(AND(H33&lt;&gt;"",H32&lt;&gt;"",H33&lt;=H32),"La fecha no es posterior a la del dia anterior. ","")&amp;IF(AND(H33&lt;&gt;"",ISNUMBER(A33),ISNUMBER(D32),ISNUMBER(C32),ABS(A33-IF(G32&gt;=$P$2,MIN(D32,C32),D32))&gt;0.005),"Bank roll inicial no sigue la regla del dia anterior (alguien sobrescribio la formula). ","")&amp;IF(AND(H33&lt;&gt;"",ISNUMBER(B33),ISNUMBER(A33),ABS(B33-A33/8)&gt;0.00001),"Stake distinto de Bank roll/8. ","")&amp;IF(AND(H33&lt;&gt;"",ISNUMBER(E33),ABS(E33)&gt;0.005),"Residuo distinto de 0. ","")&amp;IF(AND(K33&lt;&gt;"",OR(NOT(ISNUMBER(K33)),N(K33)&lt;0)),"Saldo L2 no numerico o negativo. ","")&amp;IF(AND(H33&lt;&gt;"",H33&lt;TEXT(TODAY(),"yyyy-mm-dd"),G33&gt;=$P$2,K33="",OR(N(J33)&gt;0,N(M32)&gt;0)),"Falta cerrar el Saldo L2 de este dia. ","")&amp;IF(AND(H33&lt;&gt;"",SUMPRODUCT((Registros!$C$2:$C$3000=H33)*ISTEXT(Registros!$AP$2:$AP$3000))&gt;0),"Hay P/L guardado como texto en Registros (no suma). ","")))</f>
        <v/>
      </c>
    </row>
    <row r="34" customFormat="false" ht="15" hidden="false" customHeight="true" outlineLevel="0" collapsed="false">
      <c r="A34" s="13" t="n">
        <f aca="false">IF(D33="","",IF(G33&gt;=$P$2,MIN(D33,C33),D33))</f>
        <v>8</v>
      </c>
      <c r="B34" s="13" t="n">
        <f aca="false">IF(A34="","",A34/8)</f>
        <v>1</v>
      </c>
      <c r="C34" s="13" t="n">
        <f aca="false">IF(OR(A34="",B34=""),"",A34+B34)</f>
        <v>9</v>
      </c>
      <c r="D34" s="13" t="n">
        <f aca="false">IF(A34="","",A34+SUMIFS(Registros!$AP:$AP,Registros!$C:$C,H34))</f>
        <v>8</v>
      </c>
      <c r="E34" s="13" t="n">
        <f aca="false">IF(A34="","",ROUND(A34-8*B34,2))</f>
        <v>0</v>
      </c>
      <c r="F34" s="13" t="n">
        <f aca="false">IF(OR(D34="",C34=""),"",D34-C34)</f>
        <v>-1</v>
      </c>
      <c r="G34" s="20" t="n">
        <f aca="false">IF(G33="","",G33+1)</f>
        <v>33</v>
      </c>
      <c r="H34" s="15"/>
      <c r="I34" s="14"/>
      <c r="J34" s="16" t="str">
        <f aca="false">IF(OR(H34="",D34="",C34="",G34&lt;$P$2),"",MAX(0,ROUND(D34-C34,2)))</f>
        <v/>
      </c>
      <c r="K34" s="17"/>
      <c r="L34" s="16" t="str">
        <f aca="false">IF(NOT(ISNUMBER(K34)),"",ROUND(K34-N(M33)-N(J34),2))</f>
        <v/>
      </c>
      <c r="M34" s="16" t="n">
        <f aca="false">IF(ISNUMBER(K34),K34,N(M33))</f>
        <v>0</v>
      </c>
      <c r="N34" s="0" t="str">
        <f aca="true">IF(AND(H34="",K34=""),"",TRIM(IF(AND(H34&lt;&gt;"",NOT(AND(LEN(H34)=10,MID(H34,5,1)="-",MID(H34,8,1)="-"))),"Fecha con formato invalido (usa AAAA-MM-DD). ","")&amp;IF(AND(H34&lt;&gt;"",COUNTIF($H$2:$H$367,H34)&gt;1),"Fecha repetida en otro dia. ","")&amp;IF(AND(H34&lt;&gt;"",H33&lt;&gt;"",H34&lt;=H33),"La fecha no es posterior a la del dia anterior. ","")&amp;IF(AND(H34&lt;&gt;"",ISNUMBER(A34),ISNUMBER(D33),ISNUMBER(C33),ABS(A34-IF(G33&gt;=$P$2,MIN(D33,C33),D33))&gt;0.005),"Bank roll inicial no sigue la regla del dia anterior (alguien sobrescribio la formula). ","")&amp;IF(AND(H34&lt;&gt;"",ISNUMBER(B34),ISNUMBER(A34),ABS(B34-A34/8)&gt;0.00001),"Stake distinto de Bank roll/8. ","")&amp;IF(AND(H34&lt;&gt;"",ISNUMBER(E34),ABS(E34)&gt;0.005),"Residuo distinto de 0. ","")&amp;IF(AND(K34&lt;&gt;"",OR(NOT(ISNUMBER(K34)),N(K34)&lt;0)),"Saldo L2 no numerico o negativo. ","")&amp;IF(AND(H34&lt;&gt;"",H34&lt;TEXT(TODAY(),"yyyy-mm-dd"),G34&gt;=$P$2,K34="",OR(N(J34)&gt;0,N(M33)&gt;0)),"Falta cerrar el Saldo L2 de este dia. ","")&amp;IF(AND(H34&lt;&gt;"",SUMPRODUCT((Registros!$C$2:$C$3000=H34)*ISTEXT(Registros!$AP$2:$AP$3000))&gt;0),"Hay P/L guardado como texto en Registros (no suma). ","")))</f>
        <v/>
      </c>
    </row>
    <row r="35" customFormat="false" ht="15" hidden="false" customHeight="true" outlineLevel="0" collapsed="false">
      <c r="A35" s="13" t="n">
        <f aca="false">IF(D34="","",IF(G34&gt;=$P$2,MIN(D34,C34),D34))</f>
        <v>8</v>
      </c>
      <c r="B35" s="13" t="n">
        <f aca="false">IF(A35="","",A35/8)</f>
        <v>1</v>
      </c>
      <c r="C35" s="13" t="n">
        <f aca="false">IF(OR(A35="",B35=""),"",A35+B35)</f>
        <v>9</v>
      </c>
      <c r="D35" s="13" t="n">
        <f aca="false">IF(A35="","",A35+SUMIFS(Registros!$AP:$AP,Registros!$C:$C,H35))</f>
        <v>8</v>
      </c>
      <c r="E35" s="13" t="n">
        <f aca="false">IF(A35="","",ROUND(A35-8*B35,2))</f>
        <v>0</v>
      </c>
      <c r="F35" s="13" t="n">
        <f aca="false">IF(OR(D35="",C35=""),"",D35-C35)</f>
        <v>-1</v>
      </c>
      <c r="G35" s="20" t="n">
        <f aca="false">IF(G34="","",G34+1)</f>
        <v>34</v>
      </c>
      <c r="H35" s="15"/>
      <c r="I35" s="14"/>
      <c r="J35" s="16" t="str">
        <f aca="false">IF(OR(H35="",D35="",C35="",G35&lt;$P$2),"",MAX(0,ROUND(D35-C35,2)))</f>
        <v/>
      </c>
      <c r="K35" s="17"/>
      <c r="L35" s="16" t="str">
        <f aca="false">IF(NOT(ISNUMBER(K35)),"",ROUND(K35-N(M34)-N(J35),2))</f>
        <v/>
      </c>
      <c r="M35" s="16" t="n">
        <f aca="false">IF(ISNUMBER(K35),K35,N(M34))</f>
        <v>0</v>
      </c>
      <c r="N35" s="0" t="str">
        <f aca="true">IF(AND(H35="",K35=""),"",TRIM(IF(AND(H35&lt;&gt;"",NOT(AND(LEN(H35)=10,MID(H35,5,1)="-",MID(H35,8,1)="-"))),"Fecha con formato invalido (usa AAAA-MM-DD). ","")&amp;IF(AND(H35&lt;&gt;"",COUNTIF($H$2:$H$367,H35)&gt;1),"Fecha repetida en otro dia. ","")&amp;IF(AND(H35&lt;&gt;"",H34&lt;&gt;"",H35&lt;=H34),"La fecha no es posterior a la del dia anterior. ","")&amp;IF(AND(H35&lt;&gt;"",ISNUMBER(A35),ISNUMBER(D34),ISNUMBER(C34),ABS(A35-IF(G34&gt;=$P$2,MIN(D34,C34),D34))&gt;0.005),"Bank roll inicial no sigue la regla del dia anterior (alguien sobrescribio la formula). ","")&amp;IF(AND(H35&lt;&gt;"",ISNUMBER(B35),ISNUMBER(A35),ABS(B35-A35/8)&gt;0.00001),"Stake distinto de Bank roll/8. ","")&amp;IF(AND(H35&lt;&gt;"",ISNUMBER(E35),ABS(E35)&gt;0.005),"Residuo distinto de 0. ","")&amp;IF(AND(K35&lt;&gt;"",OR(NOT(ISNUMBER(K35)),N(K35)&lt;0)),"Saldo L2 no numerico o negativo. ","")&amp;IF(AND(H35&lt;&gt;"",H35&lt;TEXT(TODAY(),"yyyy-mm-dd"),G35&gt;=$P$2,K35="",OR(N(J35)&gt;0,N(M34)&gt;0)),"Falta cerrar el Saldo L2 de este dia. ","")&amp;IF(AND(H35&lt;&gt;"",SUMPRODUCT((Registros!$C$2:$C$3000=H35)*ISTEXT(Registros!$AP$2:$AP$3000))&gt;0),"Hay P/L guardado como texto en Registros (no suma). ","")))</f>
        <v/>
      </c>
    </row>
    <row r="36" customFormat="false" ht="15" hidden="false" customHeight="true" outlineLevel="0" collapsed="false">
      <c r="A36" s="13" t="n">
        <f aca="false">IF(D35="","",IF(G35&gt;=$P$2,MIN(D35,C35),D35))</f>
        <v>8</v>
      </c>
      <c r="B36" s="13" t="n">
        <f aca="false">IF(A36="","",A36/8)</f>
        <v>1</v>
      </c>
      <c r="C36" s="13" t="n">
        <f aca="false">IF(OR(A36="",B36=""),"",A36+B36)</f>
        <v>9</v>
      </c>
      <c r="D36" s="13" t="n">
        <f aca="false">IF(A36="","",A36+SUMIFS(Registros!$AP:$AP,Registros!$C:$C,H36))</f>
        <v>8</v>
      </c>
      <c r="E36" s="13" t="n">
        <f aca="false">IF(A36="","",ROUND(A36-8*B36,2))</f>
        <v>0</v>
      </c>
      <c r="F36" s="13" t="n">
        <f aca="false">IF(OR(D36="",C36=""),"",D36-C36)</f>
        <v>-1</v>
      </c>
      <c r="G36" s="20" t="n">
        <f aca="false">IF(G35="","",G35+1)</f>
        <v>35</v>
      </c>
      <c r="H36" s="15"/>
      <c r="I36" s="14"/>
      <c r="J36" s="16" t="str">
        <f aca="false">IF(OR(H36="",D36="",C36="",G36&lt;$P$2),"",MAX(0,ROUND(D36-C36,2)))</f>
        <v/>
      </c>
      <c r="K36" s="17"/>
      <c r="L36" s="16" t="str">
        <f aca="false">IF(NOT(ISNUMBER(K36)),"",ROUND(K36-N(M35)-N(J36),2))</f>
        <v/>
      </c>
      <c r="M36" s="16" t="n">
        <f aca="false">IF(ISNUMBER(K36),K36,N(M35))</f>
        <v>0</v>
      </c>
      <c r="N36" s="0" t="str">
        <f aca="true">IF(AND(H36="",K36=""),"",TRIM(IF(AND(H36&lt;&gt;"",NOT(AND(LEN(H36)=10,MID(H36,5,1)="-",MID(H36,8,1)="-"))),"Fecha con formato invalido (usa AAAA-MM-DD). ","")&amp;IF(AND(H36&lt;&gt;"",COUNTIF($H$2:$H$367,H36)&gt;1),"Fecha repetida en otro dia. ","")&amp;IF(AND(H36&lt;&gt;"",H35&lt;&gt;"",H36&lt;=H35),"La fecha no es posterior a la del dia anterior. ","")&amp;IF(AND(H36&lt;&gt;"",ISNUMBER(A36),ISNUMBER(D35),ISNUMBER(C35),ABS(A36-IF(G35&gt;=$P$2,MIN(D35,C35),D35))&gt;0.005),"Bank roll inicial no sigue la regla del dia anterior (alguien sobrescribio la formula). ","")&amp;IF(AND(H36&lt;&gt;"",ISNUMBER(B36),ISNUMBER(A36),ABS(B36-A36/8)&gt;0.00001),"Stake distinto de Bank roll/8. ","")&amp;IF(AND(H36&lt;&gt;"",ISNUMBER(E36),ABS(E36)&gt;0.005),"Residuo distinto de 0. ","")&amp;IF(AND(K36&lt;&gt;"",OR(NOT(ISNUMBER(K36)),N(K36)&lt;0)),"Saldo L2 no numerico o negativo. ","")&amp;IF(AND(H36&lt;&gt;"",H36&lt;TEXT(TODAY(),"yyyy-mm-dd"),G36&gt;=$P$2,K36="",OR(N(J36)&gt;0,N(M35)&gt;0)),"Falta cerrar el Saldo L2 de este dia. ","")&amp;IF(AND(H36&lt;&gt;"",SUMPRODUCT((Registros!$C$2:$C$3000=H36)*ISTEXT(Registros!$AP$2:$AP$3000))&gt;0),"Hay P/L guardado como texto en Registros (no suma). ","")))</f>
        <v/>
      </c>
    </row>
    <row r="37" customFormat="false" ht="15" hidden="false" customHeight="true" outlineLevel="0" collapsed="false">
      <c r="A37" s="13" t="n">
        <f aca="false">IF(D36="","",IF(G36&gt;=$P$2,MIN(D36,C36),D36))</f>
        <v>8</v>
      </c>
      <c r="B37" s="13" t="n">
        <f aca="false">IF(A37="","",A37/8)</f>
        <v>1</v>
      </c>
      <c r="C37" s="13" t="n">
        <f aca="false">IF(OR(A37="",B37=""),"",A37+B37)</f>
        <v>9</v>
      </c>
      <c r="D37" s="13" t="n">
        <f aca="false">IF(A37="","",A37+SUMIFS(Registros!$AP:$AP,Registros!$C:$C,H37))</f>
        <v>8</v>
      </c>
      <c r="E37" s="13" t="n">
        <f aca="false">IF(A37="","",ROUND(A37-8*B37,2))</f>
        <v>0</v>
      </c>
      <c r="F37" s="13" t="n">
        <f aca="false">IF(OR(D37="",C37=""),"",D37-C37)</f>
        <v>-1</v>
      </c>
      <c r="G37" s="20" t="n">
        <f aca="false">IF(G36="","",G36+1)</f>
        <v>36</v>
      </c>
      <c r="H37" s="15"/>
      <c r="I37" s="14"/>
      <c r="J37" s="16" t="str">
        <f aca="false">IF(OR(H37="",D37="",C37="",G37&lt;$P$2),"",MAX(0,ROUND(D37-C37,2)))</f>
        <v/>
      </c>
      <c r="K37" s="17"/>
      <c r="L37" s="16" t="str">
        <f aca="false">IF(NOT(ISNUMBER(K37)),"",ROUND(K37-N(M36)-N(J37),2))</f>
        <v/>
      </c>
      <c r="M37" s="16" t="n">
        <f aca="false">IF(ISNUMBER(K37),K37,N(M36))</f>
        <v>0</v>
      </c>
      <c r="N37" s="0" t="str">
        <f aca="true">IF(AND(H37="",K37=""),"",TRIM(IF(AND(H37&lt;&gt;"",NOT(AND(LEN(H37)=10,MID(H37,5,1)="-",MID(H37,8,1)="-"))),"Fecha con formato invalido (usa AAAA-MM-DD). ","")&amp;IF(AND(H37&lt;&gt;"",COUNTIF($H$2:$H$367,H37)&gt;1),"Fecha repetida en otro dia. ","")&amp;IF(AND(H37&lt;&gt;"",H36&lt;&gt;"",H37&lt;=H36),"La fecha no es posterior a la del dia anterior. ","")&amp;IF(AND(H37&lt;&gt;"",ISNUMBER(A37),ISNUMBER(D36),ISNUMBER(C36),ABS(A37-IF(G36&gt;=$P$2,MIN(D36,C36),D36))&gt;0.005),"Bank roll inicial no sigue la regla del dia anterior (alguien sobrescribio la formula). ","")&amp;IF(AND(H37&lt;&gt;"",ISNUMBER(B37),ISNUMBER(A37),ABS(B37-A37/8)&gt;0.00001),"Stake distinto de Bank roll/8. ","")&amp;IF(AND(H37&lt;&gt;"",ISNUMBER(E37),ABS(E37)&gt;0.005),"Residuo distinto de 0. ","")&amp;IF(AND(K37&lt;&gt;"",OR(NOT(ISNUMBER(K37)),N(K37)&lt;0)),"Saldo L2 no numerico o negativo. ","")&amp;IF(AND(H37&lt;&gt;"",H37&lt;TEXT(TODAY(),"yyyy-mm-dd"),G37&gt;=$P$2,K37="",OR(N(J37)&gt;0,N(M36)&gt;0)),"Falta cerrar el Saldo L2 de este dia. ","")&amp;IF(AND(H37&lt;&gt;"",SUMPRODUCT((Registros!$C$2:$C$3000=H37)*ISTEXT(Registros!$AP$2:$AP$3000))&gt;0),"Hay P/L guardado como texto en Registros (no suma). ","")))</f>
        <v/>
      </c>
    </row>
    <row r="38" customFormat="false" ht="15" hidden="false" customHeight="true" outlineLevel="0" collapsed="false">
      <c r="A38" s="13" t="n">
        <f aca="false">IF(D37="","",IF(G37&gt;=$P$2,MIN(D37,C37),D37))</f>
        <v>8</v>
      </c>
      <c r="B38" s="13" t="n">
        <f aca="false">IF(A38="","",A38/8)</f>
        <v>1</v>
      </c>
      <c r="C38" s="13" t="n">
        <f aca="false">IF(OR(A38="",B38=""),"",A38+B38)</f>
        <v>9</v>
      </c>
      <c r="D38" s="13" t="n">
        <f aca="false">IF(A38="","",A38+SUMIFS(Registros!$AP:$AP,Registros!$C:$C,H38))</f>
        <v>8</v>
      </c>
      <c r="E38" s="13" t="n">
        <f aca="false">IF(A38="","",ROUND(A38-8*B38,2))</f>
        <v>0</v>
      </c>
      <c r="F38" s="13" t="n">
        <f aca="false">IF(OR(D38="",C38=""),"",D38-C38)</f>
        <v>-1</v>
      </c>
      <c r="G38" s="20" t="n">
        <f aca="false">IF(G37="","",G37+1)</f>
        <v>37</v>
      </c>
      <c r="H38" s="15"/>
      <c r="I38" s="14"/>
      <c r="J38" s="16" t="str">
        <f aca="false">IF(OR(H38="",D38="",C38="",G38&lt;$P$2),"",MAX(0,ROUND(D38-C38,2)))</f>
        <v/>
      </c>
      <c r="K38" s="17"/>
      <c r="L38" s="16" t="str">
        <f aca="false">IF(NOT(ISNUMBER(K38)),"",ROUND(K38-N(M37)-N(J38),2))</f>
        <v/>
      </c>
      <c r="M38" s="16" t="n">
        <f aca="false">IF(ISNUMBER(K38),K38,N(M37))</f>
        <v>0</v>
      </c>
      <c r="N38" s="0" t="str">
        <f aca="true">IF(AND(H38="",K38=""),"",TRIM(IF(AND(H38&lt;&gt;"",NOT(AND(LEN(H38)=10,MID(H38,5,1)="-",MID(H38,8,1)="-"))),"Fecha con formato invalido (usa AAAA-MM-DD). ","")&amp;IF(AND(H38&lt;&gt;"",COUNTIF($H$2:$H$367,H38)&gt;1),"Fecha repetida en otro dia. ","")&amp;IF(AND(H38&lt;&gt;"",H37&lt;&gt;"",H38&lt;=H37),"La fecha no es posterior a la del dia anterior. ","")&amp;IF(AND(H38&lt;&gt;"",ISNUMBER(A38),ISNUMBER(D37),ISNUMBER(C37),ABS(A38-IF(G37&gt;=$P$2,MIN(D37,C37),D37))&gt;0.005),"Bank roll inicial no sigue la regla del dia anterior (alguien sobrescribio la formula). ","")&amp;IF(AND(H38&lt;&gt;"",ISNUMBER(B38),ISNUMBER(A38),ABS(B38-A38/8)&gt;0.00001),"Stake distinto de Bank roll/8. ","")&amp;IF(AND(H38&lt;&gt;"",ISNUMBER(E38),ABS(E38)&gt;0.005),"Residuo distinto de 0. ","")&amp;IF(AND(K38&lt;&gt;"",OR(NOT(ISNUMBER(K38)),N(K38)&lt;0)),"Saldo L2 no numerico o negativo. ","")&amp;IF(AND(H38&lt;&gt;"",H38&lt;TEXT(TODAY(),"yyyy-mm-dd"),G38&gt;=$P$2,K38="",OR(N(J38)&gt;0,N(M37)&gt;0)),"Falta cerrar el Saldo L2 de este dia. ","")&amp;IF(AND(H38&lt;&gt;"",SUMPRODUCT((Registros!$C$2:$C$3000=H38)*ISTEXT(Registros!$AP$2:$AP$3000))&gt;0),"Hay P/L guardado como texto en Registros (no suma). ","")))</f>
        <v/>
      </c>
    </row>
    <row r="39" customFormat="false" ht="15" hidden="false" customHeight="true" outlineLevel="0" collapsed="false">
      <c r="A39" s="13" t="n">
        <f aca="false">IF(D38="","",IF(G38&gt;=$P$2,MIN(D38,C38),D38))</f>
        <v>8</v>
      </c>
      <c r="B39" s="13" t="n">
        <f aca="false">IF(A39="","",A39/8)</f>
        <v>1</v>
      </c>
      <c r="C39" s="13" t="n">
        <f aca="false">IF(OR(A39="",B39=""),"",A39+B39)</f>
        <v>9</v>
      </c>
      <c r="D39" s="13" t="n">
        <f aca="false">IF(A39="","",A39+SUMIFS(Registros!$AP:$AP,Registros!$C:$C,H39))</f>
        <v>8</v>
      </c>
      <c r="E39" s="13" t="n">
        <f aca="false">IF(A39="","",ROUND(A39-8*B39,2))</f>
        <v>0</v>
      </c>
      <c r="F39" s="13" t="n">
        <f aca="false">IF(OR(D39="",C39=""),"",D39-C39)</f>
        <v>-1</v>
      </c>
      <c r="G39" s="20" t="n">
        <f aca="false">IF(G38="","",G38+1)</f>
        <v>38</v>
      </c>
      <c r="H39" s="15"/>
      <c r="I39" s="14"/>
      <c r="J39" s="16" t="str">
        <f aca="false">IF(OR(H39="",D39="",C39="",G39&lt;$P$2),"",MAX(0,ROUND(D39-C39,2)))</f>
        <v/>
      </c>
      <c r="K39" s="17"/>
      <c r="L39" s="16" t="str">
        <f aca="false">IF(NOT(ISNUMBER(K39)),"",ROUND(K39-N(M38)-N(J39),2))</f>
        <v/>
      </c>
      <c r="M39" s="16" t="n">
        <f aca="false">IF(ISNUMBER(K39),K39,N(M38))</f>
        <v>0</v>
      </c>
      <c r="N39" s="0" t="str">
        <f aca="true">IF(AND(H39="",K39=""),"",TRIM(IF(AND(H39&lt;&gt;"",NOT(AND(LEN(H39)=10,MID(H39,5,1)="-",MID(H39,8,1)="-"))),"Fecha con formato invalido (usa AAAA-MM-DD). ","")&amp;IF(AND(H39&lt;&gt;"",COUNTIF($H$2:$H$367,H39)&gt;1),"Fecha repetida en otro dia. ","")&amp;IF(AND(H39&lt;&gt;"",H38&lt;&gt;"",H39&lt;=H38),"La fecha no es posterior a la del dia anterior. ","")&amp;IF(AND(H39&lt;&gt;"",ISNUMBER(A39),ISNUMBER(D38),ISNUMBER(C38),ABS(A39-IF(G38&gt;=$P$2,MIN(D38,C38),D38))&gt;0.005),"Bank roll inicial no sigue la regla del dia anterior (alguien sobrescribio la formula). ","")&amp;IF(AND(H39&lt;&gt;"",ISNUMBER(B39),ISNUMBER(A39),ABS(B39-A39/8)&gt;0.00001),"Stake distinto de Bank roll/8. ","")&amp;IF(AND(H39&lt;&gt;"",ISNUMBER(E39),ABS(E39)&gt;0.005),"Residuo distinto de 0. ","")&amp;IF(AND(K39&lt;&gt;"",OR(NOT(ISNUMBER(K39)),N(K39)&lt;0)),"Saldo L2 no numerico o negativo. ","")&amp;IF(AND(H39&lt;&gt;"",H39&lt;TEXT(TODAY(),"yyyy-mm-dd"),G39&gt;=$P$2,K39="",OR(N(J39)&gt;0,N(M38)&gt;0)),"Falta cerrar el Saldo L2 de este dia. ","")&amp;IF(AND(H39&lt;&gt;"",SUMPRODUCT((Registros!$C$2:$C$3000=H39)*ISTEXT(Registros!$AP$2:$AP$3000))&gt;0),"Hay P/L guardado como texto en Registros (no suma). ","")))</f>
        <v/>
      </c>
    </row>
    <row r="40" customFormat="false" ht="15" hidden="false" customHeight="true" outlineLevel="0" collapsed="false">
      <c r="A40" s="13" t="n">
        <f aca="false">IF(D39="","",IF(G39&gt;=$P$2,MIN(D39,C39),D39))</f>
        <v>8</v>
      </c>
      <c r="B40" s="13" t="n">
        <f aca="false">IF(A40="","",A40/8)</f>
        <v>1</v>
      </c>
      <c r="C40" s="13" t="n">
        <f aca="false">IF(OR(A40="",B40=""),"",A40+B40)</f>
        <v>9</v>
      </c>
      <c r="D40" s="13" t="n">
        <f aca="false">IF(A40="","",A40+SUMIFS(Registros!$AP:$AP,Registros!$C:$C,H40))</f>
        <v>8</v>
      </c>
      <c r="E40" s="13" t="n">
        <f aca="false">IF(A40="","",ROUND(A40-8*B40,2))</f>
        <v>0</v>
      </c>
      <c r="F40" s="13" t="n">
        <f aca="false">IF(OR(D40="",C40=""),"",D40-C40)</f>
        <v>-1</v>
      </c>
      <c r="G40" s="20" t="n">
        <f aca="false">IF(G39="","",G39+1)</f>
        <v>39</v>
      </c>
      <c r="H40" s="15"/>
      <c r="I40" s="14"/>
      <c r="J40" s="16" t="str">
        <f aca="false">IF(OR(H40="",D40="",C40="",G40&lt;$P$2),"",MAX(0,ROUND(D40-C40,2)))</f>
        <v/>
      </c>
      <c r="K40" s="17"/>
      <c r="L40" s="16" t="str">
        <f aca="false">IF(NOT(ISNUMBER(K40)),"",ROUND(K40-N(M39)-N(J40),2))</f>
        <v/>
      </c>
      <c r="M40" s="16" t="n">
        <f aca="false">IF(ISNUMBER(K40),K40,N(M39))</f>
        <v>0</v>
      </c>
      <c r="N40" s="0" t="str">
        <f aca="true">IF(AND(H40="",K40=""),"",TRIM(IF(AND(H40&lt;&gt;"",NOT(AND(LEN(H40)=10,MID(H40,5,1)="-",MID(H40,8,1)="-"))),"Fecha con formato invalido (usa AAAA-MM-DD). ","")&amp;IF(AND(H40&lt;&gt;"",COUNTIF($H$2:$H$367,H40)&gt;1),"Fecha repetida en otro dia. ","")&amp;IF(AND(H40&lt;&gt;"",H39&lt;&gt;"",H40&lt;=H39),"La fecha no es posterior a la del dia anterior. ","")&amp;IF(AND(H40&lt;&gt;"",ISNUMBER(A40),ISNUMBER(D39),ISNUMBER(C39),ABS(A40-IF(G39&gt;=$P$2,MIN(D39,C39),D39))&gt;0.005),"Bank roll inicial no sigue la regla del dia anterior (alguien sobrescribio la formula). ","")&amp;IF(AND(H40&lt;&gt;"",ISNUMBER(B40),ISNUMBER(A40),ABS(B40-A40/8)&gt;0.00001),"Stake distinto de Bank roll/8. ","")&amp;IF(AND(H40&lt;&gt;"",ISNUMBER(E40),ABS(E40)&gt;0.005),"Residuo distinto de 0. ","")&amp;IF(AND(K40&lt;&gt;"",OR(NOT(ISNUMBER(K40)),N(K40)&lt;0)),"Saldo L2 no numerico o negativo. ","")&amp;IF(AND(H40&lt;&gt;"",H40&lt;TEXT(TODAY(),"yyyy-mm-dd"),G40&gt;=$P$2,K40="",OR(N(J40)&gt;0,N(M39)&gt;0)),"Falta cerrar el Saldo L2 de este dia. ","")&amp;IF(AND(H40&lt;&gt;"",SUMPRODUCT((Registros!$C$2:$C$3000=H40)*ISTEXT(Registros!$AP$2:$AP$3000))&gt;0),"Hay P/L guardado como texto en Registros (no suma). ","")))</f>
        <v/>
      </c>
    </row>
    <row r="41" customFormat="false" ht="15" hidden="false" customHeight="true" outlineLevel="0" collapsed="false">
      <c r="A41" s="13" t="n">
        <f aca="false">IF(D40="","",IF(G40&gt;=$P$2,MIN(D40,C40),D40))</f>
        <v>8</v>
      </c>
      <c r="B41" s="13" t="n">
        <f aca="false">IF(A41="","",A41/8)</f>
        <v>1</v>
      </c>
      <c r="C41" s="13" t="n">
        <f aca="false">IF(OR(A41="",B41=""),"",A41+B41)</f>
        <v>9</v>
      </c>
      <c r="D41" s="13" t="n">
        <f aca="false">IF(A41="","",A41+SUMIFS(Registros!$AP:$AP,Registros!$C:$C,H41))</f>
        <v>8</v>
      </c>
      <c r="E41" s="13" t="n">
        <f aca="false">IF(A41="","",ROUND(A41-8*B41,2))</f>
        <v>0</v>
      </c>
      <c r="F41" s="13" t="n">
        <f aca="false">IF(OR(D41="",C41=""),"",D41-C41)</f>
        <v>-1</v>
      </c>
      <c r="G41" s="20" t="n">
        <f aca="false">IF(G40="","",G40+1)</f>
        <v>40</v>
      </c>
      <c r="H41" s="15"/>
      <c r="I41" s="14"/>
      <c r="J41" s="16" t="str">
        <f aca="false">IF(OR(H41="",D41="",C41="",G41&lt;$P$2),"",MAX(0,ROUND(D41-C41,2)))</f>
        <v/>
      </c>
      <c r="K41" s="17"/>
      <c r="L41" s="16" t="str">
        <f aca="false">IF(NOT(ISNUMBER(K41)),"",ROUND(K41-N(M40)-N(J41),2))</f>
        <v/>
      </c>
      <c r="M41" s="16" t="n">
        <f aca="false">IF(ISNUMBER(K41),K41,N(M40))</f>
        <v>0</v>
      </c>
      <c r="N41" s="0" t="str">
        <f aca="true">IF(AND(H41="",K41=""),"",TRIM(IF(AND(H41&lt;&gt;"",NOT(AND(LEN(H41)=10,MID(H41,5,1)="-",MID(H41,8,1)="-"))),"Fecha con formato invalido (usa AAAA-MM-DD). ","")&amp;IF(AND(H41&lt;&gt;"",COUNTIF($H$2:$H$367,H41)&gt;1),"Fecha repetida en otro dia. ","")&amp;IF(AND(H41&lt;&gt;"",H40&lt;&gt;"",H41&lt;=H40),"La fecha no es posterior a la del dia anterior. ","")&amp;IF(AND(H41&lt;&gt;"",ISNUMBER(A41),ISNUMBER(D40),ISNUMBER(C40),ABS(A41-IF(G40&gt;=$P$2,MIN(D40,C40),D40))&gt;0.005),"Bank roll inicial no sigue la regla del dia anterior (alguien sobrescribio la formula). ","")&amp;IF(AND(H41&lt;&gt;"",ISNUMBER(B41),ISNUMBER(A41),ABS(B41-A41/8)&gt;0.00001),"Stake distinto de Bank roll/8. ","")&amp;IF(AND(H41&lt;&gt;"",ISNUMBER(E41),ABS(E41)&gt;0.005),"Residuo distinto de 0. ","")&amp;IF(AND(K41&lt;&gt;"",OR(NOT(ISNUMBER(K41)),N(K41)&lt;0)),"Saldo L2 no numerico o negativo. ","")&amp;IF(AND(H41&lt;&gt;"",H41&lt;TEXT(TODAY(),"yyyy-mm-dd"),G41&gt;=$P$2,K41="",OR(N(J41)&gt;0,N(M40)&gt;0)),"Falta cerrar el Saldo L2 de este dia. ","")&amp;IF(AND(H41&lt;&gt;"",SUMPRODUCT((Registros!$C$2:$C$3000=H41)*ISTEXT(Registros!$AP$2:$AP$3000))&gt;0),"Hay P/L guardado como texto en Registros (no suma). ","")))</f>
        <v/>
      </c>
    </row>
    <row r="42" customFormat="false" ht="15" hidden="false" customHeight="true" outlineLevel="0" collapsed="false">
      <c r="A42" s="13" t="n">
        <f aca="false">IF(D41="","",IF(G41&gt;=$P$2,MIN(D41,C41),D41))</f>
        <v>8</v>
      </c>
      <c r="B42" s="13" t="n">
        <f aca="false">IF(A42="","",A42/8)</f>
        <v>1</v>
      </c>
      <c r="C42" s="13" t="n">
        <f aca="false">IF(OR(A42="",B42=""),"",A42+B42)</f>
        <v>9</v>
      </c>
      <c r="D42" s="13" t="n">
        <f aca="false">IF(A42="","",A42+SUMIFS(Registros!$AP:$AP,Registros!$C:$C,H42))</f>
        <v>8</v>
      </c>
      <c r="E42" s="13" t="n">
        <f aca="false">IF(A42="","",ROUND(A42-8*B42,2))</f>
        <v>0</v>
      </c>
      <c r="F42" s="13" t="n">
        <f aca="false">IF(OR(D42="",C42=""),"",D42-C42)</f>
        <v>-1</v>
      </c>
      <c r="G42" s="20" t="n">
        <f aca="false">IF(G41="","",G41+1)</f>
        <v>41</v>
      </c>
      <c r="H42" s="15"/>
      <c r="I42" s="14"/>
      <c r="J42" s="16" t="str">
        <f aca="false">IF(OR(H42="",D42="",C42="",G42&lt;$P$2),"",MAX(0,ROUND(D42-C42,2)))</f>
        <v/>
      </c>
      <c r="K42" s="17"/>
      <c r="L42" s="16" t="str">
        <f aca="false">IF(NOT(ISNUMBER(K42)),"",ROUND(K42-N(M41)-N(J42),2))</f>
        <v/>
      </c>
      <c r="M42" s="16" t="n">
        <f aca="false">IF(ISNUMBER(K42),K42,N(M41))</f>
        <v>0</v>
      </c>
      <c r="N42" s="0" t="str">
        <f aca="true">IF(AND(H42="",K42=""),"",TRIM(IF(AND(H42&lt;&gt;"",NOT(AND(LEN(H42)=10,MID(H42,5,1)="-",MID(H42,8,1)="-"))),"Fecha con formato invalido (usa AAAA-MM-DD). ","")&amp;IF(AND(H42&lt;&gt;"",COUNTIF($H$2:$H$367,H42)&gt;1),"Fecha repetida en otro dia. ","")&amp;IF(AND(H42&lt;&gt;"",H41&lt;&gt;"",H42&lt;=H41),"La fecha no es posterior a la del dia anterior. ","")&amp;IF(AND(H42&lt;&gt;"",ISNUMBER(A42),ISNUMBER(D41),ISNUMBER(C41),ABS(A42-IF(G41&gt;=$P$2,MIN(D41,C41),D41))&gt;0.005),"Bank roll inicial no sigue la regla del dia anterior (alguien sobrescribio la formula). ","")&amp;IF(AND(H42&lt;&gt;"",ISNUMBER(B42),ISNUMBER(A42),ABS(B42-A42/8)&gt;0.00001),"Stake distinto de Bank roll/8. ","")&amp;IF(AND(H42&lt;&gt;"",ISNUMBER(E42),ABS(E42)&gt;0.005),"Residuo distinto de 0. ","")&amp;IF(AND(K42&lt;&gt;"",OR(NOT(ISNUMBER(K42)),N(K42)&lt;0)),"Saldo L2 no numerico o negativo. ","")&amp;IF(AND(H42&lt;&gt;"",H42&lt;TEXT(TODAY(),"yyyy-mm-dd"),G42&gt;=$P$2,K42="",OR(N(J42)&gt;0,N(M41)&gt;0)),"Falta cerrar el Saldo L2 de este dia. ","")&amp;IF(AND(H42&lt;&gt;"",SUMPRODUCT((Registros!$C$2:$C$3000=H42)*ISTEXT(Registros!$AP$2:$AP$3000))&gt;0),"Hay P/L guardado como texto en Registros (no suma). ","")))</f>
        <v/>
      </c>
    </row>
    <row r="43" customFormat="false" ht="15" hidden="false" customHeight="true" outlineLevel="0" collapsed="false">
      <c r="A43" s="13" t="n">
        <f aca="false">IF(D42="","",IF(G42&gt;=$P$2,MIN(D42,C42),D42))</f>
        <v>8</v>
      </c>
      <c r="B43" s="13" t="n">
        <f aca="false">IF(A43="","",A43/8)</f>
        <v>1</v>
      </c>
      <c r="C43" s="13" t="n">
        <f aca="false">IF(OR(A43="",B43=""),"",A43+B43)</f>
        <v>9</v>
      </c>
      <c r="D43" s="13" t="n">
        <f aca="false">IF(A43="","",A43+SUMIFS(Registros!$AP:$AP,Registros!$C:$C,H43))</f>
        <v>8</v>
      </c>
      <c r="E43" s="13" t="n">
        <f aca="false">IF(A43="","",ROUND(A43-8*B43,2))</f>
        <v>0</v>
      </c>
      <c r="F43" s="13" t="n">
        <f aca="false">IF(OR(D43="",C43=""),"",D43-C43)</f>
        <v>-1</v>
      </c>
      <c r="G43" s="20" t="n">
        <f aca="false">IF(G42="","",G42+1)</f>
        <v>42</v>
      </c>
      <c r="H43" s="15"/>
      <c r="I43" s="14"/>
      <c r="J43" s="16" t="str">
        <f aca="false">IF(OR(H43="",D43="",C43="",G43&lt;$P$2),"",MAX(0,ROUND(D43-C43,2)))</f>
        <v/>
      </c>
      <c r="K43" s="17"/>
      <c r="L43" s="16" t="str">
        <f aca="false">IF(NOT(ISNUMBER(K43)),"",ROUND(K43-N(M42)-N(J43),2))</f>
        <v/>
      </c>
      <c r="M43" s="16" t="n">
        <f aca="false">IF(ISNUMBER(K43),K43,N(M42))</f>
        <v>0</v>
      </c>
      <c r="N43" s="0" t="str">
        <f aca="true">IF(AND(H43="",K43=""),"",TRIM(IF(AND(H43&lt;&gt;"",NOT(AND(LEN(H43)=10,MID(H43,5,1)="-",MID(H43,8,1)="-"))),"Fecha con formato invalido (usa AAAA-MM-DD). ","")&amp;IF(AND(H43&lt;&gt;"",COUNTIF($H$2:$H$367,H43)&gt;1),"Fecha repetida en otro dia. ","")&amp;IF(AND(H43&lt;&gt;"",H42&lt;&gt;"",H43&lt;=H42),"La fecha no es posterior a la del dia anterior. ","")&amp;IF(AND(H43&lt;&gt;"",ISNUMBER(A43),ISNUMBER(D42),ISNUMBER(C42),ABS(A43-IF(G42&gt;=$P$2,MIN(D42,C42),D42))&gt;0.005),"Bank roll inicial no sigue la regla del dia anterior (alguien sobrescribio la formula). ","")&amp;IF(AND(H43&lt;&gt;"",ISNUMBER(B43),ISNUMBER(A43),ABS(B43-A43/8)&gt;0.00001),"Stake distinto de Bank roll/8. ","")&amp;IF(AND(H43&lt;&gt;"",ISNUMBER(E43),ABS(E43)&gt;0.005),"Residuo distinto de 0. ","")&amp;IF(AND(K43&lt;&gt;"",OR(NOT(ISNUMBER(K43)),N(K43)&lt;0)),"Saldo L2 no numerico o negativo. ","")&amp;IF(AND(H43&lt;&gt;"",H43&lt;TEXT(TODAY(),"yyyy-mm-dd"),G43&gt;=$P$2,K43="",OR(N(J43)&gt;0,N(M42)&gt;0)),"Falta cerrar el Saldo L2 de este dia. ","")&amp;IF(AND(H43&lt;&gt;"",SUMPRODUCT((Registros!$C$2:$C$3000=H43)*ISTEXT(Registros!$AP$2:$AP$3000))&gt;0),"Hay P/L guardado como texto en Registros (no suma). ","")))</f>
        <v/>
      </c>
    </row>
    <row r="44" customFormat="false" ht="15" hidden="false" customHeight="true" outlineLevel="0" collapsed="false">
      <c r="A44" s="13" t="n">
        <f aca="false">IF(D43="","",IF(G43&gt;=$P$2,MIN(D43,C43),D43))</f>
        <v>8</v>
      </c>
      <c r="B44" s="13" t="n">
        <f aca="false">IF(A44="","",A44/8)</f>
        <v>1</v>
      </c>
      <c r="C44" s="13" t="n">
        <f aca="false">IF(OR(A44="",B44=""),"",A44+B44)</f>
        <v>9</v>
      </c>
      <c r="D44" s="13" t="n">
        <f aca="false">IF(A44="","",A44+SUMIFS(Registros!$AP:$AP,Registros!$C:$C,H44))</f>
        <v>8</v>
      </c>
      <c r="E44" s="13" t="n">
        <f aca="false">IF(A44="","",ROUND(A44-8*B44,2))</f>
        <v>0</v>
      </c>
      <c r="F44" s="13" t="n">
        <f aca="false">IF(OR(D44="",C44=""),"",D44-C44)</f>
        <v>-1</v>
      </c>
      <c r="G44" s="20" t="n">
        <f aca="false">IF(G43="","",G43+1)</f>
        <v>43</v>
      </c>
      <c r="H44" s="15"/>
      <c r="I44" s="14"/>
      <c r="J44" s="16" t="str">
        <f aca="false">IF(OR(H44="",D44="",C44="",G44&lt;$P$2),"",MAX(0,ROUND(D44-C44,2)))</f>
        <v/>
      </c>
      <c r="K44" s="17"/>
      <c r="L44" s="16" t="str">
        <f aca="false">IF(NOT(ISNUMBER(K44)),"",ROUND(K44-N(M43)-N(J44),2))</f>
        <v/>
      </c>
      <c r="M44" s="16" t="n">
        <f aca="false">IF(ISNUMBER(K44),K44,N(M43))</f>
        <v>0</v>
      </c>
      <c r="N44" s="0" t="str">
        <f aca="true">IF(AND(H44="",K44=""),"",TRIM(IF(AND(H44&lt;&gt;"",NOT(AND(LEN(H44)=10,MID(H44,5,1)="-",MID(H44,8,1)="-"))),"Fecha con formato invalido (usa AAAA-MM-DD). ","")&amp;IF(AND(H44&lt;&gt;"",COUNTIF($H$2:$H$367,H44)&gt;1),"Fecha repetida en otro dia. ","")&amp;IF(AND(H44&lt;&gt;"",H43&lt;&gt;"",H44&lt;=H43),"La fecha no es posterior a la del dia anterior. ","")&amp;IF(AND(H44&lt;&gt;"",ISNUMBER(A44),ISNUMBER(D43),ISNUMBER(C43),ABS(A44-IF(G43&gt;=$P$2,MIN(D43,C43),D43))&gt;0.005),"Bank roll inicial no sigue la regla del dia anterior (alguien sobrescribio la formula). ","")&amp;IF(AND(H44&lt;&gt;"",ISNUMBER(B44),ISNUMBER(A44),ABS(B44-A44/8)&gt;0.00001),"Stake distinto de Bank roll/8. ","")&amp;IF(AND(H44&lt;&gt;"",ISNUMBER(E44),ABS(E44)&gt;0.005),"Residuo distinto de 0. ","")&amp;IF(AND(K44&lt;&gt;"",OR(NOT(ISNUMBER(K44)),N(K44)&lt;0)),"Saldo L2 no numerico o negativo. ","")&amp;IF(AND(H44&lt;&gt;"",H44&lt;TEXT(TODAY(),"yyyy-mm-dd"),G44&gt;=$P$2,K44="",OR(N(J44)&gt;0,N(M43)&gt;0)),"Falta cerrar el Saldo L2 de este dia. ","")&amp;IF(AND(H44&lt;&gt;"",SUMPRODUCT((Registros!$C$2:$C$3000=H44)*ISTEXT(Registros!$AP$2:$AP$3000))&gt;0),"Hay P/L guardado como texto en Registros (no suma). ","")))</f>
        <v/>
      </c>
    </row>
    <row r="45" customFormat="false" ht="15" hidden="false" customHeight="true" outlineLevel="0" collapsed="false">
      <c r="A45" s="13" t="n">
        <f aca="false">IF(D44="","",IF(G44&gt;=$P$2,MIN(D44,C44),D44))</f>
        <v>8</v>
      </c>
      <c r="B45" s="13" t="n">
        <f aca="false">IF(A45="","",A45/8)</f>
        <v>1</v>
      </c>
      <c r="C45" s="13" t="n">
        <f aca="false">IF(OR(A45="",B45=""),"",A45+B45)</f>
        <v>9</v>
      </c>
      <c r="D45" s="13" t="n">
        <f aca="false">IF(A45="","",A45+SUMIFS(Registros!$AP:$AP,Registros!$C:$C,H45))</f>
        <v>8</v>
      </c>
      <c r="E45" s="13" t="n">
        <f aca="false">IF(A45="","",ROUND(A45-8*B45,2))</f>
        <v>0</v>
      </c>
      <c r="F45" s="13" t="n">
        <f aca="false">IF(OR(D45="",C45=""),"",D45-C45)</f>
        <v>-1</v>
      </c>
      <c r="G45" s="20" t="n">
        <f aca="false">IF(G44="","",G44+1)</f>
        <v>44</v>
      </c>
      <c r="H45" s="15"/>
      <c r="I45" s="14"/>
      <c r="J45" s="16" t="str">
        <f aca="false">IF(OR(H45="",D45="",C45="",G45&lt;$P$2),"",MAX(0,ROUND(D45-C45,2)))</f>
        <v/>
      </c>
      <c r="K45" s="17"/>
      <c r="L45" s="16" t="str">
        <f aca="false">IF(NOT(ISNUMBER(K45)),"",ROUND(K45-N(M44)-N(J45),2))</f>
        <v/>
      </c>
      <c r="M45" s="16" t="n">
        <f aca="false">IF(ISNUMBER(K45),K45,N(M44))</f>
        <v>0</v>
      </c>
      <c r="N45" s="0" t="str">
        <f aca="true">IF(AND(H45="",K45=""),"",TRIM(IF(AND(H45&lt;&gt;"",NOT(AND(LEN(H45)=10,MID(H45,5,1)="-",MID(H45,8,1)="-"))),"Fecha con formato invalido (usa AAAA-MM-DD). ","")&amp;IF(AND(H45&lt;&gt;"",COUNTIF($H$2:$H$367,H45)&gt;1),"Fecha repetida en otro dia. ","")&amp;IF(AND(H45&lt;&gt;"",H44&lt;&gt;"",H45&lt;=H44),"La fecha no es posterior a la del dia anterior. ","")&amp;IF(AND(H45&lt;&gt;"",ISNUMBER(A45),ISNUMBER(D44),ISNUMBER(C44),ABS(A45-IF(G44&gt;=$P$2,MIN(D44,C44),D44))&gt;0.005),"Bank roll inicial no sigue la regla del dia anterior (alguien sobrescribio la formula). ","")&amp;IF(AND(H45&lt;&gt;"",ISNUMBER(B45),ISNUMBER(A45),ABS(B45-A45/8)&gt;0.00001),"Stake distinto de Bank roll/8. ","")&amp;IF(AND(H45&lt;&gt;"",ISNUMBER(E45),ABS(E45)&gt;0.005),"Residuo distinto de 0. ","")&amp;IF(AND(K45&lt;&gt;"",OR(NOT(ISNUMBER(K45)),N(K45)&lt;0)),"Saldo L2 no numerico o negativo. ","")&amp;IF(AND(H45&lt;&gt;"",H45&lt;TEXT(TODAY(),"yyyy-mm-dd"),G45&gt;=$P$2,K45="",OR(N(J45)&gt;0,N(M44)&gt;0)),"Falta cerrar el Saldo L2 de este dia. ","")&amp;IF(AND(H45&lt;&gt;"",SUMPRODUCT((Registros!$C$2:$C$3000=H45)*ISTEXT(Registros!$AP$2:$AP$3000))&gt;0),"Hay P/L guardado como texto en Registros (no suma). ","")))</f>
        <v/>
      </c>
    </row>
    <row r="46" customFormat="false" ht="15" hidden="false" customHeight="true" outlineLevel="0" collapsed="false">
      <c r="A46" s="13" t="n">
        <f aca="false">IF(D45="","",IF(G45&gt;=$P$2,MIN(D45,C45),D45))</f>
        <v>8</v>
      </c>
      <c r="B46" s="13" t="n">
        <f aca="false">IF(A46="","",A46/8)</f>
        <v>1</v>
      </c>
      <c r="C46" s="13" t="n">
        <f aca="false">IF(OR(A46="",B46=""),"",A46+B46)</f>
        <v>9</v>
      </c>
      <c r="D46" s="13" t="n">
        <f aca="false">IF(A46="","",A46+SUMIFS(Registros!$AP:$AP,Registros!$C:$C,H46))</f>
        <v>8</v>
      </c>
      <c r="E46" s="13" t="n">
        <f aca="false">IF(A46="","",ROUND(A46-8*B46,2))</f>
        <v>0</v>
      </c>
      <c r="F46" s="13" t="n">
        <f aca="false">IF(OR(D46="",C46=""),"",D46-C46)</f>
        <v>-1</v>
      </c>
      <c r="G46" s="20" t="n">
        <f aca="false">IF(G45="","",G45+1)</f>
        <v>45</v>
      </c>
      <c r="H46" s="15"/>
      <c r="I46" s="14"/>
      <c r="J46" s="16" t="str">
        <f aca="false">IF(OR(H46="",D46="",C46="",G46&lt;$P$2),"",MAX(0,ROUND(D46-C46,2)))</f>
        <v/>
      </c>
      <c r="K46" s="17"/>
      <c r="L46" s="16" t="str">
        <f aca="false">IF(NOT(ISNUMBER(K46)),"",ROUND(K46-N(M45)-N(J46),2))</f>
        <v/>
      </c>
      <c r="M46" s="16" t="n">
        <f aca="false">IF(ISNUMBER(K46),K46,N(M45))</f>
        <v>0</v>
      </c>
      <c r="N46" s="0" t="str">
        <f aca="true">IF(AND(H46="",K46=""),"",TRIM(IF(AND(H46&lt;&gt;"",NOT(AND(LEN(H46)=10,MID(H46,5,1)="-",MID(H46,8,1)="-"))),"Fecha con formato invalido (usa AAAA-MM-DD). ","")&amp;IF(AND(H46&lt;&gt;"",COUNTIF($H$2:$H$367,H46)&gt;1),"Fecha repetida en otro dia. ","")&amp;IF(AND(H46&lt;&gt;"",H45&lt;&gt;"",H46&lt;=H45),"La fecha no es posterior a la del dia anterior. ","")&amp;IF(AND(H46&lt;&gt;"",ISNUMBER(A46),ISNUMBER(D45),ISNUMBER(C45),ABS(A46-IF(G45&gt;=$P$2,MIN(D45,C45),D45))&gt;0.005),"Bank roll inicial no sigue la regla del dia anterior (alguien sobrescribio la formula). ","")&amp;IF(AND(H46&lt;&gt;"",ISNUMBER(B46),ISNUMBER(A46),ABS(B46-A46/8)&gt;0.00001),"Stake distinto de Bank roll/8. ","")&amp;IF(AND(H46&lt;&gt;"",ISNUMBER(E46),ABS(E46)&gt;0.005),"Residuo distinto de 0. ","")&amp;IF(AND(K46&lt;&gt;"",OR(NOT(ISNUMBER(K46)),N(K46)&lt;0)),"Saldo L2 no numerico o negativo. ","")&amp;IF(AND(H46&lt;&gt;"",H46&lt;TEXT(TODAY(),"yyyy-mm-dd"),G46&gt;=$P$2,K46="",OR(N(J46)&gt;0,N(M45)&gt;0)),"Falta cerrar el Saldo L2 de este dia. ","")&amp;IF(AND(H46&lt;&gt;"",SUMPRODUCT((Registros!$C$2:$C$3000=H46)*ISTEXT(Registros!$AP$2:$AP$3000))&gt;0),"Hay P/L guardado como texto en Registros (no suma). ","")))</f>
        <v/>
      </c>
    </row>
    <row r="47" customFormat="false" ht="15" hidden="false" customHeight="true" outlineLevel="0" collapsed="false">
      <c r="A47" s="13" t="n">
        <f aca="false">IF(D46="","",IF(G46&gt;=$P$2,MIN(D46,C46),D46))</f>
        <v>8</v>
      </c>
      <c r="B47" s="13" t="n">
        <f aca="false">IF(A47="","",A47/8)</f>
        <v>1</v>
      </c>
      <c r="C47" s="13" t="n">
        <f aca="false">IF(OR(A47="",B47=""),"",A47+B47)</f>
        <v>9</v>
      </c>
      <c r="D47" s="13" t="n">
        <f aca="false">IF(A47="","",A47+SUMIFS(Registros!$AP:$AP,Registros!$C:$C,H47))</f>
        <v>8</v>
      </c>
      <c r="E47" s="13" t="n">
        <f aca="false">IF(A47="","",ROUND(A47-8*B47,2))</f>
        <v>0</v>
      </c>
      <c r="F47" s="13" t="n">
        <f aca="false">IF(OR(D47="",C47=""),"",D47-C47)</f>
        <v>-1</v>
      </c>
      <c r="G47" s="20" t="n">
        <f aca="false">IF(G46="","",G46+1)</f>
        <v>46</v>
      </c>
      <c r="H47" s="15"/>
      <c r="I47" s="14"/>
      <c r="J47" s="16" t="str">
        <f aca="false">IF(OR(H47="",D47="",C47="",G47&lt;$P$2),"",MAX(0,ROUND(D47-C47,2)))</f>
        <v/>
      </c>
      <c r="K47" s="17"/>
      <c r="L47" s="16" t="str">
        <f aca="false">IF(NOT(ISNUMBER(K47)),"",ROUND(K47-N(M46)-N(J47),2))</f>
        <v/>
      </c>
      <c r="M47" s="16" t="n">
        <f aca="false">IF(ISNUMBER(K47),K47,N(M46))</f>
        <v>0</v>
      </c>
      <c r="N47" s="0" t="str">
        <f aca="true">IF(AND(H47="",K47=""),"",TRIM(IF(AND(H47&lt;&gt;"",NOT(AND(LEN(H47)=10,MID(H47,5,1)="-",MID(H47,8,1)="-"))),"Fecha con formato invalido (usa AAAA-MM-DD). ","")&amp;IF(AND(H47&lt;&gt;"",COUNTIF($H$2:$H$367,H47)&gt;1),"Fecha repetida en otro dia. ","")&amp;IF(AND(H47&lt;&gt;"",H46&lt;&gt;"",H47&lt;=H46),"La fecha no es posterior a la del dia anterior. ","")&amp;IF(AND(H47&lt;&gt;"",ISNUMBER(A47),ISNUMBER(D46),ISNUMBER(C46),ABS(A47-IF(G46&gt;=$P$2,MIN(D46,C46),D46))&gt;0.005),"Bank roll inicial no sigue la regla del dia anterior (alguien sobrescribio la formula). ","")&amp;IF(AND(H47&lt;&gt;"",ISNUMBER(B47),ISNUMBER(A47),ABS(B47-A47/8)&gt;0.00001),"Stake distinto de Bank roll/8. ","")&amp;IF(AND(H47&lt;&gt;"",ISNUMBER(E47),ABS(E47)&gt;0.005),"Residuo distinto de 0. ","")&amp;IF(AND(K47&lt;&gt;"",OR(NOT(ISNUMBER(K47)),N(K47)&lt;0)),"Saldo L2 no numerico o negativo. ","")&amp;IF(AND(H47&lt;&gt;"",H47&lt;TEXT(TODAY(),"yyyy-mm-dd"),G47&gt;=$P$2,K47="",OR(N(J47)&gt;0,N(M46)&gt;0)),"Falta cerrar el Saldo L2 de este dia. ","")&amp;IF(AND(H47&lt;&gt;"",SUMPRODUCT((Registros!$C$2:$C$3000=H47)*ISTEXT(Registros!$AP$2:$AP$3000))&gt;0),"Hay P/L guardado como texto en Registros (no suma). ","")))</f>
        <v/>
      </c>
    </row>
    <row r="48" customFormat="false" ht="15" hidden="false" customHeight="true" outlineLevel="0" collapsed="false">
      <c r="A48" s="13" t="n">
        <f aca="false">IF(D47="","",IF(G47&gt;=$P$2,MIN(D47,C47),D47))</f>
        <v>8</v>
      </c>
      <c r="B48" s="13" t="n">
        <f aca="false">IF(A48="","",A48/8)</f>
        <v>1</v>
      </c>
      <c r="C48" s="13" t="n">
        <f aca="false">IF(OR(A48="",B48=""),"",A48+B48)</f>
        <v>9</v>
      </c>
      <c r="D48" s="13" t="n">
        <f aca="false">IF(A48="","",A48+SUMIFS(Registros!$AP:$AP,Registros!$C:$C,H48))</f>
        <v>8</v>
      </c>
      <c r="E48" s="13" t="n">
        <f aca="false">IF(A48="","",ROUND(A48-8*B48,2))</f>
        <v>0</v>
      </c>
      <c r="F48" s="13" t="n">
        <f aca="false">IF(OR(D48="",C48=""),"",D48-C48)</f>
        <v>-1</v>
      </c>
      <c r="G48" s="20" t="n">
        <f aca="false">IF(G47="","",G47+1)</f>
        <v>47</v>
      </c>
      <c r="H48" s="15"/>
      <c r="I48" s="14"/>
      <c r="J48" s="16" t="str">
        <f aca="false">IF(OR(H48="",D48="",C48="",G48&lt;$P$2),"",MAX(0,ROUND(D48-C48,2)))</f>
        <v/>
      </c>
      <c r="K48" s="17"/>
      <c r="L48" s="16" t="str">
        <f aca="false">IF(NOT(ISNUMBER(K48)),"",ROUND(K48-N(M47)-N(J48),2))</f>
        <v/>
      </c>
      <c r="M48" s="16" t="n">
        <f aca="false">IF(ISNUMBER(K48),K48,N(M47))</f>
        <v>0</v>
      </c>
      <c r="N48" s="0" t="str">
        <f aca="true">IF(AND(H48="",K48=""),"",TRIM(IF(AND(H48&lt;&gt;"",NOT(AND(LEN(H48)=10,MID(H48,5,1)="-",MID(H48,8,1)="-"))),"Fecha con formato invalido (usa AAAA-MM-DD). ","")&amp;IF(AND(H48&lt;&gt;"",COUNTIF($H$2:$H$367,H48)&gt;1),"Fecha repetida en otro dia. ","")&amp;IF(AND(H48&lt;&gt;"",H47&lt;&gt;"",H48&lt;=H47),"La fecha no es posterior a la del dia anterior. ","")&amp;IF(AND(H48&lt;&gt;"",ISNUMBER(A48),ISNUMBER(D47),ISNUMBER(C47),ABS(A48-IF(G47&gt;=$P$2,MIN(D47,C47),D47))&gt;0.005),"Bank roll inicial no sigue la regla del dia anterior (alguien sobrescribio la formula). ","")&amp;IF(AND(H48&lt;&gt;"",ISNUMBER(B48),ISNUMBER(A48),ABS(B48-A48/8)&gt;0.00001),"Stake distinto de Bank roll/8. ","")&amp;IF(AND(H48&lt;&gt;"",ISNUMBER(E48),ABS(E48)&gt;0.005),"Residuo distinto de 0. ","")&amp;IF(AND(K48&lt;&gt;"",OR(NOT(ISNUMBER(K48)),N(K48)&lt;0)),"Saldo L2 no numerico o negativo. ","")&amp;IF(AND(H48&lt;&gt;"",H48&lt;TEXT(TODAY(),"yyyy-mm-dd"),G48&gt;=$P$2,K48="",OR(N(J48)&gt;0,N(M47)&gt;0)),"Falta cerrar el Saldo L2 de este dia. ","")&amp;IF(AND(H48&lt;&gt;"",SUMPRODUCT((Registros!$C$2:$C$3000=H48)*ISTEXT(Registros!$AP$2:$AP$3000))&gt;0),"Hay P/L guardado como texto en Registros (no suma). ","")))</f>
        <v/>
      </c>
    </row>
    <row r="49" customFormat="false" ht="15" hidden="false" customHeight="true" outlineLevel="0" collapsed="false">
      <c r="A49" s="13" t="n">
        <f aca="false">IF(D48="","",IF(G48&gt;=$P$2,MIN(D48,C48),D48))</f>
        <v>8</v>
      </c>
      <c r="B49" s="13" t="n">
        <f aca="false">IF(A49="","",A49/8)</f>
        <v>1</v>
      </c>
      <c r="C49" s="13" t="n">
        <f aca="false">IF(OR(A49="",B49=""),"",A49+B49)</f>
        <v>9</v>
      </c>
      <c r="D49" s="13" t="n">
        <f aca="false">IF(A49="","",A49+SUMIFS(Registros!$AP:$AP,Registros!$C:$C,H49))</f>
        <v>8</v>
      </c>
      <c r="E49" s="13" t="n">
        <f aca="false">IF(A49="","",ROUND(A49-8*B49,2))</f>
        <v>0</v>
      </c>
      <c r="F49" s="13" t="n">
        <f aca="false">IF(OR(D49="",C49=""),"",D49-C49)</f>
        <v>-1</v>
      </c>
      <c r="G49" s="20" t="n">
        <f aca="false">IF(G48="","",G48+1)</f>
        <v>48</v>
      </c>
      <c r="H49" s="15"/>
      <c r="I49" s="14"/>
      <c r="J49" s="16" t="str">
        <f aca="false">IF(OR(H49="",D49="",C49="",G49&lt;$P$2),"",MAX(0,ROUND(D49-C49,2)))</f>
        <v/>
      </c>
      <c r="K49" s="17"/>
      <c r="L49" s="16" t="str">
        <f aca="false">IF(NOT(ISNUMBER(K49)),"",ROUND(K49-N(M48)-N(J49),2))</f>
        <v/>
      </c>
      <c r="M49" s="16" t="n">
        <f aca="false">IF(ISNUMBER(K49),K49,N(M48))</f>
        <v>0</v>
      </c>
      <c r="N49" s="0" t="str">
        <f aca="true">IF(AND(H49="",K49=""),"",TRIM(IF(AND(H49&lt;&gt;"",NOT(AND(LEN(H49)=10,MID(H49,5,1)="-",MID(H49,8,1)="-"))),"Fecha con formato invalido (usa AAAA-MM-DD). ","")&amp;IF(AND(H49&lt;&gt;"",COUNTIF($H$2:$H$367,H49)&gt;1),"Fecha repetida en otro dia. ","")&amp;IF(AND(H49&lt;&gt;"",H48&lt;&gt;"",H49&lt;=H48),"La fecha no es posterior a la del dia anterior. ","")&amp;IF(AND(H49&lt;&gt;"",ISNUMBER(A49),ISNUMBER(D48),ISNUMBER(C48),ABS(A49-IF(G48&gt;=$P$2,MIN(D48,C48),D48))&gt;0.005),"Bank roll inicial no sigue la regla del dia anterior (alguien sobrescribio la formula). ","")&amp;IF(AND(H49&lt;&gt;"",ISNUMBER(B49),ISNUMBER(A49),ABS(B49-A49/8)&gt;0.00001),"Stake distinto de Bank roll/8. ","")&amp;IF(AND(H49&lt;&gt;"",ISNUMBER(E49),ABS(E49)&gt;0.005),"Residuo distinto de 0. ","")&amp;IF(AND(K49&lt;&gt;"",OR(NOT(ISNUMBER(K49)),N(K49)&lt;0)),"Saldo L2 no numerico o negativo. ","")&amp;IF(AND(H49&lt;&gt;"",H49&lt;TEXT(TODAY(),"yyyy-mm-dd"),G49&gt;=$P$2,K49="",OR(N(J49)&gt;0,N(M48)&gt;0)),"Falta cerrar el Saldo L2 de este dia. ","")&amp;IF(AND(H49&lt;&gt;"",SUMPRODUCT((Registros!$C$2:$C$3000=H49)*ISTEXT(Registros!$AP$2:$AP$3000))&gt;0),"Hay P/L guardado como texto en Registros (no suma). ","")))</f>
        <v/>
      </c>
    </row>
    <row r="50" customFormat="false" ht="15" hidden="false" customHeight="true" outlineLevel="0" collapsed="false">
      <c r="A50" s="13" t="n">
        <f aca="false">IF(D49="","",IF(G49&gt;=$P$2,MIN(D49,C49),D49))</f>
        <v>8</v>
      </c>
      <c r="B50" s="13" t="n">
        <f aca="false">IF(A50="","",A50/8)</f>
        <v>1</v>
      </c>
      <c r="C50" s="13" t="n">
        <f aca="false">IF(OR(A50="",B50=""),"",A50+B50)</f>
        <v>9</v>
      </c>
      <c r="D50" s="13" t="n">
        <f aca="false">IF(A50="","",A50+SUMIFS(Registros!$AP:$AP,Registros!$C:$C,H50))</f>
        <v>8</v>
      </c>
      <c r="E50" s="13" t="n">
        <f aca="false">IF(A50="","",ROUND(A50-8*B50,2))</f>
        <v>0</v>
      </c>
      <c r="F50" s="13" t="n">
        <f aca="false">IF(OR(D50="",C50=""),"",D50-C50)</f>
        <v>-1</v>
      </c>
      <c r="G50" s="20" t="n">
        <f aca="false">IF(G49="","",G49+1)</f>
        <v>49</v>
      </c>
      <c r="H50" s="15"/>
      <c r="I50" s="14"/>
      <c r="J50" s="16" t="str">
        <f aca="false">IF(OR(H50="",D50="",C50="",G50&lt;$P$2),"",MAX(0,ROUND(D50-C50,2)))</f>
        <v/>
      </c>
      <c r="K50" s="17"/>
      <c r="L50" s="16" t="str">
        <f aca="false">IF(NOT(ISNUMBER(K50)),"",ROUND(K50-N(M49)-N(J50),2))</f>
        <v/>
      </c>
      <c r="M50" s="16" t="n">
        <f aca="false">IF(ISNUMBER(K50),K50,N(M49))</f>
        <v>0</v>
      </c>
      <c r="N50" s="0" t="str">
        <f aca="true">IF(AND(H50="",K50=""),"",TRIM(IF(AND(H50&lt;&gt;"",NOT(AND(LEN(H50)=10,MID(H50,5,1)="-",MID(H50,8,1)="-"))),"Fecha con formato invalido (usa AAAA-MM-DD). ","")&amp;IF(AND(H50&lt;&gt;"",COUNTIF($H$2:$H$367,H50)&gt;1),"Fecha repetida en otro dia. ","")&amp;IF(AND(H50&lt;&gt;"",H49&lt;&gt;"",H50&lt;=H49),"La fecha no es posterior a la del dia anterior. ","")&amp;IF(AND(H50&lt;&gt;"",ISNUMBER(A50),ISNUMBER(D49),ISNUMBER(C49),ABS(A50-IF(G49&gt;=$P$2,MIN(D49,C49),D49))&gt;0.005),"Bank roll inicial no sigue la regla del dia anterior (alguien sobrescribio la formula). ","")&amp;IF(AND(H50&lt;&gt;"",ISNUMBER(B50),ISNUMBER(A50),ABS(B50-A50/8)&gt;0.00001),"Stake distinto de Bank roll/8. ","")&amp;IF(AND(H50&lt;&gt;"",ISNUMBER(E50),ABS(E50)&gt;0.005),"Residuo distinto de 0. ","")&amp;IF(AND(K50&lt;&gt;"",OR(NOT(ISNUMBER(K50)),N(K50)&lt;0)),"Saldo L2 no numerico o negativo. ","")&amp;IF(AND(H50&lt;&gt;"",H50&lt;TEXT(TODAY(),"yyyy-mm-dd"),G50&gt;=$P$2,K50="",OR(N(J50)&gt;0,N(M49)&gt;0)),"Falta cerrar el Saldo L2 de este dia. ","")&amp;IF(AND(H50&lt;&gt;"",SUMPRODUCT((Registros!$C$2:$C$3000=H50)*ISTEXT(Registros!$AP$2:$AP$3000))&gt;0),"Hay P/L guardado como texto en Registros (no suma). ","")))</f>
        <v/>
      </c>
    </row>
    <row r="51" customFormat="false" ht="15" hidden="false" customHeight="true" outlineLevel="0" collapsed="false">
      <c r="A51" s="13" t="n">
        <f aca="false">IF(D50="","",IF(G50&gt;=$P$2,MIN(D50,C50),D50))</f>
        <v>8</v>
      </c>
      <c r="B51" s="13" t="n">
        <f aca="false">IF(A51="","",A51/8)</f>
        <v>1</v>
      </c>
      <c r="C51" s="13" t="n">
        <f aca="false">IF(OR(A51="",B51=""),"",A51+B51)</f>
        <v>9</v>
      </c>
      <c r="D51" s="13" t="n">
        <f aca="false">IF(A51="","",A51+SUMIFS(Registros!$AP:$AP,Registros!$C:$C,H51))</f>
        <v>8</v>
      </c>
      <c r="E51" s="13" t="n">
        <f aca="false">IF(A51="","",ROUND(A51-8*B51,2))</f>
        <v>0</v>
      </c>
      <c r="F51" s="13" t="n">
        <f aca="false">IF(OR(D51="",C51=""),"",D51-C51)</f>
        <v>-1</v>
      </c>
      <c r="G51" s="20" t="n">
        <f aca="false">IF(G50="","",G50+1)</f>
        <v>50</v>
      </c>
      <c r="H51" s="15"/>
      <c r="I51" s="14"/>
      <c r="J51" s="16" t="str">
        <f aca="false">IF(OR(H51="",D51="",C51="",G51&lt;$P$2),"",MAX(0,ROUND(D51-C51,2)))</f>
        <v/>
      </c>
      <c r="K51" s="17"/>
      <c r="L51" s="16" t="str">
        <f aca="false">IF(NOT(ISNUMBER(K51)),"",ROUND(K51-N(M50)-N(J51),2))</f>
        <v/>
      </c>
      <c r="M51" s="16" t="n">
        <f aca="false">IF(ISNUMBER(K51),K51,N(M50))</f>
        <v>0</v>
      </c>
      <c r="N51" s="0" t="str">
        <f aca="true">IF(AND(H51="",K51=""),"",TRIM(IF(AND(H51&lt;&gt;"",NOT(AND(LEN(H51)=10,MID(H51,5,1)="-",MID(H51,8,1)="-"))),"Fecha con formato invalido (usa AAAA-MM-DD). ","")&amp;IF(AND(H51&lt;&gt;"",COUNTIF($H$2:$H$367,H51)&gt;1),"Fecha repetida en otro dia. ","")&amp;IF(AND(H51&lt;&gt;"",H50&lt;&gt;"",H51&lt;=H50),"La fecha no es posterior a la del dia anterior. ","")&amp;IF(AND(H51&lt;&gt;"",ISNUMBER(A51),ISNUMBER(D50),ISNUMBER(C50),ABS(A51-IF(G50&gt;=$P$2,MIN(D50,C50),D50))&gt;0.005),"Bank roll inicial no sigue la regla del dia anterior (alguien sobrescribio la formula). ","")&amp;IF(AND(H51&lt;&gt;"",ISNUMBER(B51),ISNUMBER(A51),ABS(B51-A51/8)&gt;0.00001),"Stake distinto de Bank roll/8. ","")&amp;IF(AND(H51&lt;&gt;"",ISNUMBER(E51),ABS(E51)&gt;0.005),"Residuo distinto de 0. ","")&amp;IF(AND(K51&lt;&gt;"",OR(NOT(ISNUMBER(K51)),N(K51)&lt;0)),"Saldo L2 no numerico o negativo. ","")&amp;IF(AND(H51&lt;&gt;"",H51&lt;TEXT(TODAY(),"yyyy-mm-dd"),G51&gt;=$P$2,K51="",OR(N(J51)&gt;0,N(M50)&gt;0)),"Falta cerrar el Saldo L2 de este dia. ","")&amp;IF(AND(H51&lt;&gt;"",SUMPRODUCT((Registros!$C$2:$C$3000=H51)*ISTEXT(Registros!$AP$2:$AP$3000))&gt;0),"Hay P/L guardado como texto en Registros (no suma). ","")))</f>
        <v/>
      </c>
    </row>
    <row r="52" customFormat="false" ht="15" hidden="false" customHeight="true" outlineLevel="0" collapsed="false">
      <c r="A52" s="13" t="n">
        <f aca="false">IF(D51="","",IF(G51&gt;=$P$2,MIN(D51,C51),D51))</f>
        <v>8</v>
      </c>
      <c r="B52" s="13" t="n">
        <f aca="false">IF(A52="","",A52/8)</f>
        <v>1</v>
      </c>
      <c r="C52" s="13" t="n">
        <f aca="false">IF(OR(A52="",B52=""),"",A52+B52)</f>
        <v>9</v>
      </c>
      <c r="D52" s="13" t="n">
        <f aca="false">IF(A52="","",A52+SUMIFS(Registros!$AP:$AP,Registros!$C:$C,H52))</f>
        <v>8</v>
      </c>
      <c r="E52" s="13" t="n">
        <f aca="false">IF(A52="","",ROUND(A52-8*B52,2))</f>
        <v>0</v>
      </c>
      <c r="F52" s="13" t="n">
        <f aca="false">IF(OR(D52="",C52=""),"",D52-C52)</f>
        <v>-1</v>
      </c>
      <c r="G52" s="20" t="n">
        <f aca="false">IF(G51="","",G51+1)</f>
        <v>51</v>
      </c>
      <c r="H52" s="15"/>
      <c r="I52" s="14"/>
      <c r="J52" s="16" t="str">
        <f aca="false">IF(OR(H52="",D52="",C52="",G52&lt;$P$2),"",MAX(0,ROUND(D52-C52,2)))</f>
        <v/>
      </c>
      <c r="K52" s="17"/>
      <c r="L52" s="16" t="str">
        <f aca="false">IF(NOT(ISNUMBER(K52)),"",ROUND(K52-N(M51)-N(J52),2))</f>
        <v/>
      </c>
      <c r="M52" s="16" t="n">
        <f aca="false">IF(ISNUMBER(K52),K52,N(M51))</f>
        <v>0</v>
      </c>
      <c r="N52" s="0" t="str">
        <f aca="true">IF(AND(H52="",K52=""),"",TRIM(IF(AND(H52&lt;&gt;"",NOT(AND(LEN(H52)=10,MID(H52,5,1)="-",MID(H52,8,1)="-"))),"Fecha con formato invalido (usa AAAA-MM-DD). ","")&amp;IF(AND(H52&lt;&gt;"",COUNTIF($H$2:$H$367,H52)&gt;1),"Fecha repetida en otro dia. ","")&amp;IF(AND(H52&lt;&gt;"",H51&lt;&gt;"",H52&lt;=H51),"La fecha no es posterior a la del dia anterior. ","")&amp;IF(AND(H52&lt;&gt;"",ISNUMBER(A52),ISNUMBER(D51),ISNUMBER(C51),ABS(A52-IF(G51&gt;=$P$2,MIN(D51,C51),D51))&gt;0.005),"Bank roll inicial no sigue la regla del dia anterior (alguien sobrescribio la formula). ","")&amp;IF(AND(H52&lt;&gt;"",ISNUMBER(B52),ISNUMBER(A52),ABS(B52-A52/8)&gt;0.00001),"Stake distinto de Bank roll/8. ","")&amp;IF(AND(H52&lt;&gt;"",ISNUMBER(E52),ABS(E52)&gt;0.005),"Residuo distinto de 0. ","")&amp;IF(AND(K52&lt;&gt;"",OR(NOT(ISNUMBER(K52)),N(K52)&lt;0)),"Saldo L2 no numerico o negativo. ","")&amp;IF(AND(H52&lt;&gt;"",H52&lt;TEXT(TODAY(),"yyyy-mm-dd"),G52&gt;=$P$2,K52="",OR(N(J52)&gt;0,N(M51)&gt;0)),"Falta cerrar el Saldo L2 de este dia. ","")&amp;IF(AND(H52&lt;&gt;"",SUMPRODUCT((Registros!$C$2:$C$3000=H52)*ISTEXT(Registros!$AP$2:$AP$3000))&gt;0),"Hay P/L guardado como texto en Registros (no suma). ","")))</f>
        <v/>
      </c>
    </row>
    <row r="53" customFormat="false" ht="15" hidden="false" customHeight="true" outlineLevel="0" collapsed="false">
      <c r="A53" s="13" t="n">
        <f aca="false">IF(D52="","",IF(G52&gt;=$P$2,MIN(D52,C52),D52))</f>
        <v>8</v>
      </c>
      <c r="B53" s="13" t="n">
        <f aca="false">IF(A53="","",A53/8)</f>
        <v>1</v>
      </c>
      <c r="C53" s="13" t="n">
        <f aca="false">IF(OR(A53="",B53=""),"",A53+B53)</f>
        <v>9</v>
      </c>
      <c r="D53" s="13" t="n">
        <f aca="false">IF(A53="","",A53+SUMIFS(Registros!$AP:$AP,Registros!$C:$C,H53))</f>
        <v>8</v>
      </c>
      <c r="E53" s="13" t="n">
        <f aca="false">IF(A53="","",ROUND(A53-8*B53,2))</f>
        <v>0</v>
      </c>
      <c r="F53" s="13" t="n">
        <f aca="false">IF(OR(D53="",C53=""),"",D53-C53)</f>
        <v>-1</v>
      </c>
      <c r="G53" s="20" t="n">
        <f aca="false">IF(G52="","",G52+1)</f>
        <v>52</v>
      </c>
      <c r="H53" s="15"/>
      <c r="I53" s="14"/>
      <c r="J53" s="16" t="str">
        <f aca="false">IF(OR(H53="",D53="",C53="",G53&lt;$P$2),"",MAX(0,ROUND(D53-C53,2)))</f>
        <v/>
      </c>
      <c r="K53" s="17"/>
      <c r="L53" s="16" t="str">
        <f aca="false">IF(NOT(ISNUMBER(K53)),"",ROUND(K53-N(M52)-N(J53),2))</f>
        <v/>
      </c>
      <c r="M53" s="16" t="n">
        <f aca="false">IF(ISNUMBER(K53),K53,N(M52))</f>
        <v>0</v>
      </c>
      <c r="N53" s="0" t="str">
        <f aca="true">IF(AND(H53="",K53=""),"",TRIM(IF(AND(H53&lt;&gt;"",NOT(AND(LEN(H53)=10,MID(H53,5,1)="-",MID(H53,8,1)="-"))),"Fecha con formato invalido (usa AAAA-MM-DD). ","")&amp;IF(AND(H53&lt;&gt;"",COUNTIF($H$2:$H$367,H53)&gt;1),"Fecha repetida en otro dia. ","")&amp;IF(AND(H53&lt;&gt;"",H52&lt;&gt;"",H53&lt;=H52),"La fecha no es posterior a la del dia anterior. ","")&amp;IF(AND(H53&lt;&gt;"",ISNUMBER(A53),ISNUMBER(D52),ISNUMBER(C52),ABS(A53-IF(G52&gt;=$P$2,MIN(D52,C52),D52))&gt;0.005),"Bank roll inicial no sigue la regla del dia anterior (alguien sobrescribio la formula). ","")&amp;IF(AND(H53&lt;&gt;"",ISNUMBER(B53),ISNUMBER(A53),ABS(B53-A53/8)&gt;0.00001),"Stake distinto de Bank roll/8. ","")&amp;IF(AND(H53&lt;&gt;"",ISNUMBER(E53),ABS(E53)&gt;0.005),"Residuo distinto de 0. ","")&amp;IF(AND(K53&lt;&gt;"",OR(NOT(ISNUMBER(K53)),N(K53)&lt;0)),"Saldo L2 no numerico o negativo. ","")&amp;IF(AND(H53&lt;&gt;"",H53&lt;TEXT(TODAY(),"yyyy-mm-dd"),G53&gt;=$P$2,K53="",OR(N(J53)&gt;0,N(M52)&gt;0)),"Falta cerrar el Saldo L2 de este dia. ","")&amp;IF(AND(H53&lt;&gt;"",SUMPRODUCT((Registros!$C$2:$C$3000=H53)*ISTEXT(Registros!$AP$2:$AP$3000))&gt;0),"Hay P/L guardado como texto en Registros (no suma). ","")))</f>
        <v/>
      </c>
    </row>
    <row r="54" customFormat="false" ht="15" hidden="false" customHeight="true" outlineLevel="0" collapsed="false">
      <c r="A54" s="13" t="n">
        <f aca="false">IF(D53="","",IF(G53&gt;=$P$2,MIN(D53,C53),D53))</f>
        <v>8</v>
      </c>
      <c r="B54" s="13" t="n">
        <f aca="false">IF(A54="","",A54/8)</f>
        <v>1</v>
      </c>
      <c r="C54" s="13" t="n">
        <f aca="false">IF(OR(A54="",B54=""),"",A54+B54)</f>
        <v>9</v>
      </c>
      <c r="D54" s="13" t="n">
        <f aca="false">IF(A54="","",A54+SUMIFS(Registros!$AP:$AP,Registros!$C:$C,H54))</f>
        <v>8</v>
      </c>
      <c r="E54" s="13" t="n">
        <f aca="false">IF(A54="","",ROUND(A54-8*B54,2))</f>
        <v>0</v>
      </c>
      <c r="F54" s="13" t="n">
        <f aca="false">IF(OR(D54="",C54=""),"",D54-C54)</f>
        <v>-1</v>
      </c>
      <c r="G54" s="20" t="n">
        <f aca="false">IF(G53="","",G53+1)</f>
        <v>53</v>
      </c>
      <c r="H54" s="15"/>
      <c r="I54" s="14"/>
      <c r="J54" s="16" t="str">
        <f aca="false">IF(OR(H54="",D54="",C54="",G54&lt;$P$2),"",MAX(0,ROUND(D54-C54,2)))</f>
        <v/>
      </c>
      <c r="K54" s="17"/>
      <c r="L54" s="16" t="str">
        <f aca="false">IF(NOT(ISNUMBER(K54)),"",ROUND(K54-N(M53)-N(J54),2))</f>
        <v/>
      </c>
      <c r="M54" s="16" t="n">
        <f aca="false">IF(ISNUMBER(K54),K54,N(M53))</f>
        <v>0</v>
      </c>
      <c r="N54" s="0" t="str">
        <f aca="true">IF(AND(H54="",K54=""),"",TRIM(IF(AND(H54&lt;&gt;"",NOT(AND(LEN(H54)=10,MID(H54,5,1)="-",MID(H54,8,1)="-"))),"Fecha con formato invalido (usa AAAA-MM-DD). ","")&amp;IF(AND(H54&lt;&gt;"",COUNTIF($H$2:$H$367,H54)&gt;1),"Fecha repetida en otro dia. ","")&amp;IF(AND(H54&lt;&gt;"",H53&lt;&gt;"",H54&lt;=H53),"La fecha no es posterior a la del dia anterior. ","")&amp;IF(AND(H54&lt;&gt;"",ISNUMBER(A54),ISNUMBER(D53),ISNUMBER(C53),ABS(A54-IF(G53&gt;=$P$2,MIN(D53,C53),D53))&gt;0.005),"Bank roll inicial no sigue la regla del dia anterior (alguien sobrescribio la formula). ","")&amp;IF(AND(H54&lt;&gt;"",ISNUMBER(B54),ISNUMBER(A54),ABS(B54-A54/8)&gt;0.00001),"Stake distinto de Bank roll/8. ","")&amp;IF(AND(H54&lt;&gt;"",ISNUMBER(E54),ABS(E54)&gt;0.005),"Residuo distinto de 0. ","")&amp;IF(AND(K54&lt;&gt;"",OR(NOT(ISNUMBER(K54)),N(K54)&lt;0)),"Saldo L2 no numerico o negativo. ","")&amp;IF(AND(H54&lt;&gt;"",H54&lt;TEXT(TODAY(),"yyyy-mm-dd"),G54&gt;=$P$2,K54="",OR(N(J54)&gt;0,N(M53)&gt;0)),"Falta cerrar el Saldo L2 de este dia. ","")&amp;IF(AND(H54&lt;&gt;"",SUMPRODUCT((Registros!$C$2:$C$3000=H54)*ISTEXT(Registros!$AP$2:$AP$3000))&gt;0),"Hay P/L guardado como texto en Registros (no suma). ","")))</f>
        <v/>
      </c>
    </row>
    <row r="55" customFormat="false" ht="15" hidden="false" customHeight="true" outlineLevel="0" collapsed="false">
      <c r="A55" s="13" t="n">
        <f aca="false">IF(D54="","",IF(G54&gt;=$P$2,MIN(D54,C54),D54))</f>
        <v>8</v>
      </c>
      <c r="B55" s="13" t="n">
        <f aca="false">IF(A55="","",A55/8)</f>
        <v>1</v>
      </c>
      <c r="C55" s="13" t="n">
        <f aca="false">IF(OR(A55="",B55=""),"",A55+B55)</f>
        <v>9</v>
      </c>
      <c r="D55" s="13" t="n">
        <f aca="false">IF(A55="","",A55+SUMIFS(Registros!$AP:$AP,Registros!$C:$C,H55))</f>
        <v>8</v>
      </c>
      <c r="E55" s="13" t="n">
        <f aca="false">IF(A55="","",ROUND(A55-8*B55,2))</f>
        <v>0</v>
      </c>
      <c r="F55" s="13" t="n">
        <f aca="false">IF(OR(D55="",C55=""),"",D55-C55)</f>
        <v>-1</v>
      </c>
      <c r="G55" s="20" t="n">
        <f aca="false">IF(G54="","",G54+1)</f>
        <v>54</v>
      </c>
      <c r="H55" s="15"/>
      <c r="I55" s="14"/>
      <c r="J55" s="16" t="str">
        <f aca="false">IF(OR(H55="",D55="",C55="",G55&lt;$P$2),"",MAX(0,ROUND(D55-C55,2)))</f>
        <v/>
      </c>
      <c r="K55" s="17"/>
      <c r="L55" s="16" t="str">
        <f aca="false">IF(NOT(ISNUMBER(K55)),"",ROUND(K55-N(M54)-N(J55),2))</f>
        <v/>
      </c>
      <c r="M55" s="16" t="n">
        <f aca="false">IF(ISNUMBER(K55),K55,N(M54))</f>
        <v>0</v>
      </c>
      <c r="N55" s="0" t="str">
        <f aca="true">IF(AND(H55="",K55=""),"",TRIM(IF(AND(H55&lt;&gt;"",NOT(AND(LEN(H55)=10,MID(H55,5,1)="-",MID(H55,8,1)="-"))),"Fecha con formato invalido (usa AAAA-MM-DD). ","")&amp;IF(AND(H55&lt;&gt;"",COUNTIF($H$2:$H$367,H55)&gt;1),"Fecha repetida en otro dia. ","")&amp;IF(AND(H55&lt;&gt;"",H54&lt;&gt;"",H55&lt;=H54),"La fecha no es posterior a la del dia anterior. ","")&amp;IF(AND(H55&lt;&gt;"",ISNUMBER(A55),ISNUMBER(D54),ISNUMBER(C54),ABS(A55-IF(G54&gt;=$P$2,MIN(D54,C54),D54))&gt;0.005),"Bank roll inicial no sigue la regla del dia anterior (alguien sobrescribio la formula). ","")&amp;IF(AND(H55&lt;&gt;"",ISNUMBER(B55),ISNUMBER(A55),ABS(B55-A55/8)&gt;0.00001),"Stake distinto de Bank roll/8. ","")&amp;IF(AND(H55&lt;&gt;"",ISNUMBER(E55),ABS(E55)&gt;0.005),"Residuo distinto de 0. ","")&amp;IF(AND(K55&lt;&gt;"",OR(NOT(ISNUMBER(K55)),N(K55)&lt;0)),"Saldo L2 no numerico o negativo. ","")&amp;IF(AND(H55&lt;&gt;"",H55&lt;TEXT(TODAY(),"yyyy-mm-dd"),G55&gt;=$P$2,K55="",OR(N(J55)&gt;0,N(M54)&gt;0)),"Falta cerrar el Saldo L2 de este dia. ","")&amp;IF(AND(H55&lt;&gt;"",SUMPRODUCT((Registros!$C$2:$C$3000=H55)*ISTEXT(Registros!$AP$2:$AP$3000))&gt;0),"Hay P/L guardado como texto en Registros (no suma). ","")))</f>
        <v/>
      </c>
    </row>
    <row r="56" customFormat="false" ht="15" hidden="false" customHeight="true" outlineLevel="0" collapsed="false">
      <c r="A56" s="13" t="n">
        <f aca="false">IF(D55="","",IF(G55&gt;=$P$2,MIN(D55,C55),D55))</f>
        <v>8</v>
      </c>
      <c r="B56" s="13" t="n">
        <f aca="false">IF(A56="","",A56/8)</f>
        <v>1</v>
      </c>
      <c r="C56" s="13" t="n">
        <f aca="false">IF(OR(A56="",B56=""),"",A56+B56)</f>
        <v>9</v>
      </c>
      <c r="D56" s="13" t="n">
        <f aca="false">IF(A56="","",A56+SUMIFS(Registros!$AP:$AP,Registros!$C:$C,H56))</f>
        <v>8</v>
      </c>
      <c r="E56" s="13" t="n">
        <f aca="false">IF(A56="","",ROUND(A56-8*B56,2))</f>
        <v>0</v>
      </c>
      <c r="F56" s="13" t="n">
        <f aca="false">IF(OR(D56="",C56=""),"",D56-C56)</f>
        <v>-1</v>
      </c>
      <c r="G56" s="20" t="n">
        <f aca="false">IF(G55="","",G55+1)</f>
        <v>55</v>
      </c>
      <c r="H56" s="15"/>
      <c r="I56" s="14"/>
      <c r="J56" s="16" t="str">
        <f aca="false">IF(OR(H56="",D56="",C56="",G56&lt;$P$2),"",MAX(0,ROUND(D56-C56,2)))</f>
        <v/>
      </c>
      <c r="K56" s="17"/>
      <c r="L56" s="16" t="str">
        <f aca="false">IF(NOT(ISNUMBER(K56)),"",ROUND(K56-N(M55)-N(J56),2))</f>
        <v/>
      </c>
      <c r="M56" s="16" t="n">
        <f aca="false">IF(ISNUMBER(K56),K56,N(M55))</f>
        <v>0</v>
      </c>
      <c r="N56" s="0" t="str">
        <f aca="true">IF(AND(H56="",K56=""),"",TRIM(IF(AND(H56&lt;&gt;"",NOT(AND(LEN(H56)=10,MID(H56,5,1)="-",MID(H56,8,1)="-"))),"Fecha con formato invalido (usa AAAA-MM-DD). ","")&amp;IF(AND(H56&lt;&gt;"",COUNTIF($H$2:$H$367,H56)&gt;1),"Fecha repetida en otro dia. ","")&amp;IF(AND(H56&lt;&gt;"",H55&lt;&gt;"",H56&lt;=H55),"La fecha no es posterior a la del dia anterior. ","")&amp;IF(AND(H56&lt;&gt;"",ISNUMBER(A56),ISNUMBER(D55),ISNUMBER(C55),ABS(A56-IF(G55&gt;=$P$2,MIN(D55,C55),D55))&gt;0.005),"Bank roll inicial no sigue la regla del dia anterior (alguien sobrescribio la formula). ","")&amp;IF(AND(H56&lt;&gt;"",ISNUMBER(B56),ISNUMBER(A56),ABS(B56-A56/8)&gt;0.00001),"Stake distinto de Bank roll/8. ","")&amp;IF(AND(H56&lt;&gt;"",ISNUMBER(E56),ABS(E56)&gt;0.005),"Residuo distinto de 0. ","")&amp;IF(AND(K56&lt;&gt;"",OR(NOT(ISNUMBER(K56)),N(K56)&lt;0)),"Saldo L2 no numerico o negativo. ","")&amp;IF(AND(H56&lt;&gt;"",H56&lt;TEXT(TODAY(),"yyyy-mm-dd"),G56&gt;=$P$2,K56="",OR(N(J56)&gt;0,N(M55)&gt;0)),"Falta cerrar el Saldo L2 de este dia. ","")&amp;IF(AND(H56&lt;&gt;"",SUMPRODUCT((Registros!$C$2:$C$3000=H56)*ISTEXT(Registros!$AP$2:$AP$3000))&gt;0),"Hay P/L guardado como texto en Registros (no suma). ","")))</f>
        <v/>
      </c>
    </row>
    <row r="57" customFormat="false" ht="15" hidden="false" customHeight="true" outlineLevel="0" collapsed="false">
      <c r="A57" s="13" t="n">
        <f aca="false">IF(D56="","",IF(G56&gt;=$P$2,MIN(D56,C56),D56))</f>
        <v>8</v>
      </c>
      <c r="B57" s="13" t="n">
        <f aca="false">IF(A57="","",A57/8)</f>
        <v>1</v>
      </c>
      <c r="C57" s="13" t="n">
        <f aca="false">IF(OR(A57="",B57=""),"",A57+B57)</f>
        <v>9</v>
      </c>
      <c r="D57" s="13" t="n">
        <f aca="false">IF(A57="","",A57+SUMIFS(Registros!$AP:$AP,Registros!$C:$C,H57))</f>
        <v>8</v>
      </c>
      <c r="E57" s="13" t="n">
        <f aca="false">IF(A57="","",ROUND(A57-8*B57,2))</f>
        <v>0</v>
      </c>
      <c r="F57" s="13" t="n">
        <f aca="false">IF(OR(D57="",C57=""),"",D57-C57)</f>
        <v>-1</v>
      </c>
      <c r="G57" s="20" t="n">
        <f aca="false">IF(G56="","",G56+1)</f>
        <v>56</v>
      </c>
      <c r="H57" s="15"/>
      <c r="I57" s="14"/>
      <c r="J57" s="16" t="str">
        <f aca="false">IF(OR(H57="",D57="",C57="",G57&lt;$P$2),"",MAX(0,ROUND(D57-C57,2)))</f>
        <v/>
      </c>
      <c r="K57" s="17"/>
      <c r="L57" s="16" t="str">
        <f aca="false">IF(NOT(ISNUMBER(K57)),"",ROUND(K57-N(M56)-N(J57),2))</f>
        <v/>
      </c>
      <c r="M57" s="16" t="n">
        <f aca="false">IF(ISNUMBER(K57),K57,N(M56))</f>
        <v>0</v>
      </c>
      <c r="N57" s="0" t="str">
        <f aca="true">IF(AND(H57="",K57=""),"",TRIM(IF(AND(H57&lt;&gt;"",NOT(AND(LEN(H57)=10,MID(H57,5,1)="-",MID(H57,8,1)="-"))),"Fecha con formato invalido (usa AAAA-MM-DD). ","")&amp;IF(AND(H57&lt;&gt;"",COUNTIF($H$2:$H$367,H57)&gt;1),"Fecha repetida en otro dia. ","")&amp;IF(AND(H57&lt;&gt;"",H56&lt;&gt;"",H57&lt;=H56),"La fecha no es posterior a la del dia anterior. ","")&amp;IF(AND(H57&lt;&gt;"",ISNUMBER(A57),ISNUMBER(D56),ISNUMBER(C56),ABS(A57-IF(G56&gt;=$P$2,MIN(D56,C56),D56))&gt;0.005),"Bank roll inicial no sigue la regla del dia anterior (alguien sobrescribio la formula). ","")&amp;IF(AND(H57&lt;&gt;"",ISNUMBER(B57),ISNUMBER(A57),ABS(B57-A57/8)&gt;0.00001),"Stake distinto de Bank roll/8. ","")&amp;IF(AND(H57&lt;&gt;"",ISNUMBER(E57),ABS(E57)&gt;0.005),"Residuo distinto de 0. ","")&amp;IF(AND(K57&lt;&gt;"",OR(NOT(ISNUMBER(K57)),N(K57)&lt;0)),"Saldo L2 no numerico o negativo. ","")&amp;IF(AND(H57&lt;&gt;"",H57&lt;TEXT(TODAY(),"yyyy-mm-dd"),G57&gt;=$P$2,K57="",OR(N(J57)&gt;0,N(M56)&gt;0)),"Falta cerrar el Saldo L2 de este dia. ","")&amp;IF(AND(H57&lt;&gt;"",SUMPRODUCT((Registros!$C$2:$C$3000=H57)*ISTEXT(Registros!$AP$2:$AP$3000))&gt;0),"Hay P/L guardado como texto en Registros (no suma). ","")))</f>
        <v/>
      </c>
    </row>
    <row r="58" customFormat="false" ht="15" hidden="false" customHeight="true" outlineLevel="0" collapsed="false">
      <c r="A58" s="13" t="n">
        <f aca="false">IF(D57="","",IF(G57&gt;=$P$2,MIN(D57,C57),D57))</f>
        <v>8</v>
      </c>
      <c r="B58" s="13" t="n">
        <f aca="false">IF(A58="","",A58/8)</f>
        <v>1</v>
      </c>
      <c r="C58" s="13" t="n">
        <f aca="false">IF(OR(A58="",B58=""),"",A58+B58)</f>
        <v>9</v>
      </c>
      <c r="D58" s="13" t="n">
        <f aca="false">IF(A58="","",A58+SUMIFS(Registros!$AP:$AP,Registros!$C:$C,H58))</f>
        <v>8</v>
      </c>
      <c r="E58" s="13" t="n">
        <f aca="false">IF(A58="","",ROUND(A58-8*B58,2))</f>
        <v>0</v>
      </c>
      <c r="F58" s="13" t="n">
        <f aca="false">IF(OR(D58="",C58=""),"",D58-C58)</f>
        <v>-1</v>
      </c>
      <c r="G58" s="20" t="n">
        <f aca="false">IF(G57="","",G57+1)</f>
        <v>57</v>
      </c>
      <c r="H58" s="15"/>
      <c r="I58" s="14"/>
      <c r="J58" s="16" t="str">
        <f aca="false">IF(OR(H58="",D58="",C58="",G58&lt;$P$2),"",MAX(0,ROUND(D58-C58,2)))</f>
        <v/>
      </c>
      <c r="K58" s="17"/>
      <c r="L58" s="16" t="str">
        <f aca="false">IF(NOT(ISNUMBER(K58)),"",ROUND(K58-N(M57)-N(J58),2))</f>
        <v/>
      </c>
      <c r="M58" s="16" t="n">
        <f aca="false">IF(ISNUMBER(K58),K58,N(M57))</f>
        <v>0</v>
      </c>
      <c r="N58" s="0" t="str">
        <f aca="true">IF(AND(H58="",K58=""),"",TRIM(IF(AND(H58&lt;&gt;"",NOT(AND(LEN(H58)=10,MID(H58,5,1)="-",MID(H58,8,1)="-"))),"Fecha con formato invalido (usa AAAA-MM-DD). ","")&amp;IF(AND(H58&lt;&gt;"",COUNTIF($H$2:$H$367,H58)&gt;1),"Fecha repetida en otro dia. ","")&amp;IF(AND(H58&lt;&gt;"",H57&lt;&gt;"",H58&lt;=H57),"La fecha no es posterior a la del dia anterior. ","")&amp;IF(AND(H58&lt;&gt;"",ISNUMBER(A58),ISNUMBER(D57),ISNUMBER(C57),ABS(A58-IF(G57&gt;=$P$2,MIN(D57,C57),D57))&gt;0.005),"Bank roll inicial no sigue la regla del dia anterior (alguien sobrescribio la formula). ","")&amp;IF(AND(H58&lt;&gt;"",ISNUMBER(B58),ISNUMBER(A58),ABS(B58-A58/8)&gt;0.00001),"Stake distinto de Bank roll/8. ","")&amp;IF(AND(H58&lt;&gt;"",ISNUMBER(E58),ABS(E58)&gt;0.005),"Residuo distinto de 0. ","")&amp;IF(AND(K58&lt;&gt;"",OR(NOT(ISNUMBER(K58)),N(K58)&lt;0)),"Saldo L2 no numerico o negativo. ","")&amp;IF(AND(H58&lt;&gt;"",H58&lt;TEXT(TODAY(),"yyyy-mm-dd"),G58&gt;=$P$2,K58="",OR(N(J58)&gt;0,N(M57)&gt;0)),"Falta cerrar el Saldo L2 de este dia. ","")&amp;IF(AND(H58&lt;&gt;"",SUMPRODUCT((Registros!$C$2:$C$3000=H58)*ISTEXT(Registros!$AP$2:$AP$3000))&gt;0),"Hay P/L guardado como texto en Registros (no suma). ","")))</f>
        <v/>
      </c>
    </row>
    <row r="59" customFormat="false" ht="15" hidden="false" customHeight="true" outlineLevel="0" collapsed="false">
      <c r="A59" s="13" t="n">
        <f aca="false">IF(D58="","",IF(G58&gt;=$P$2,MIN(D58,C58),D58))</f>
        <v>8</v>
      </c>
      <c r="B59" s="13" t="n">
        <f aca="false">IF(A59="","",A59/8)</f>
        <v>1</v>
      </c>
      <c r="C59" s="13" t="n">
        <f aca="false">IF(OR(A59="",B59=""),"",A59+B59)</f>
        <v>9</v>
      </c>
      <c r="D59" s="13" t="n">
        <f aca="false">IF(A59="","",A59+SUMIFS(Registros!$AP:$AP,Registros!$C:$C,H59))</f>
        <v>8</v>
      </c>
      <c r="E59" s="13" t="n">
        <f aca="false">IF(A59="","",ROUND(A59-8*B59,2))</f>
        <v>0</v>
      </c>
      <c r="F59" s="13" t="n">
        <f aca="false">IF(OR(D59="",C59=""),"",D59-C59)</f>
        <v>-1</v>
      </c>
      <c r="G59" s="20" t="n">
        <f aca="false">IF(G58="","",G58+1)</f>
        <v>58</v>
      </c>
      <c r="H59" s="15"/>
      <c r="I59" s="14"/>
      <c r="J59" s="16" t="str">
        <f aca="false">IF(OR(H59="",D59="",C59="",G59&lt;$P$2),"",MAX(0,ROUND(D59-C59,2)))</f>
        <v/>
      </c>
      <c r="K59" s="17"/>
      <c r="L59" s="16" t="str">
        <f aca="false">IF(NOT(ISNUMBER(K59)),"",ROUND(K59-N(M58)-N(J59),2))</f>
        <v/>
      </c>
      <c r="M59" s="16" t="n">
        <f aca="false">IF(ISNUMBER(K59),K59,N(M58))</f>
        <v>0</v>
      </c>
      <c r="N59" s="0" t="str">
        <f aca="true">IF(AND(H59="",K59=""),"",TRIM(IF(AND(H59&lt;&gt;"",NOT(AND(LEN(H59)=10,MID(H59,5,1)="-",MID(H59,8,1)="-"))),"Fecha con formato invalido (usa AAAA-MM-DD). ","")&amp;IF(AND(H59&lt;&gt;"",COUNTIF($H$2:$H$367,H59)&gt;1),"Fecha repetida en otro dia. ","")&amp;IF(AND(H59&lt;&gt;"",H58&lt;&gt;"",H59&lt;=H58),"La fecha no es posterior a la del dia anterior. ","")&amp;IF(AND(H59&lt;&gt;"",ISNUMBER(A59),ISNUMBER(D58),ISNUMBER(C58),ABS(A59-IF(G58&gt;=$P$2,MIN(D58,C58),D58))&gt;0.005),"Bank roll inicial no sigue la regla del dia anterior (alguien sobrescribio la formula). ","")&amp;IF(AND(H59&lt;&gt;"",ISNUMBER(B59),ISNUMBER(A59),ABS(B59-A59/8)&gt;0.00001),"Stake distinto de Bank roll/8. ","")&amp;IF(AND(H59&lt;&gt;"",ISNUMBER(E59),ABS(E59)&gt;0.005),"Residuo distinto de 0. ","")&amp;IF(AND(K59&lt;&gt;"",OR(NOT(ISNUMBER(K59)),N(K59)&lt;0)),"Saldo L2 no numerico o negativo. ","")&amp;IF(AND(H59&lt;&gt;"",H59&lt;TEXT(TODAY(),"yyyy-mm-dd"),G59&gt;=$P$2,K59="",OR(N(J59)&gt;0,N(M58)&gt;0)),"Falta cerrar el Saldo L2 de este dia. ","")&amp;IF(AND(H59&lt;&gt;"",SUMPRODUCT((Registros!$C$2:$C$3000=H59)*ISTEXT(Registros!$AP$2:$AP$3000))&gt;0),"Hay P/L guardado como texto en Registros (no suma). ","")))</f>
        <v/>
      </c>
    </row>
    <row r="60" customFormat="false" ht="15" hidden="false" customHeight="true" outlineLevel="0" collapsed="false">
      <c r="A60" s="13" t="n">
        <f aca="false">IF(D59="","",IF(G59&gt;=$P$2,MIN(D59,C59),D59))</f>
        <v>8</v>
      </c>
      <c r="B60" s="13" t="n">
        <f aca="false">IF(A60="","",A60/8)</f>
        <v>1</v>
      </c>
      <c r="C60" s="13" t="n">
        <f aca="false">IF(OR(A60="",B60=""),"",A60+B60)</f>
        <v>9</v>
      </c>
      <c r="D60" s="13" t="n">
        <f aca="false">IF(A60="","",A60+SUMIFS(Registros!$AP:$AP,Registros!$C:$C,H60))</f>
        <v>8</v>
      </c>
      <c r="E60" s="13" t="n">
        <f aca="false">IF(A60="","",ROUND(A60-8*B60,2))</f>
        <v>0</v>
      </c>
      <c r="F60" s="13" t="n">
        <f aca="false">IF(OR(D60="",C60=""),"",D60-C60)</f>
        <v>-1</v>
      </c>
      <c r="G60" s="20" t="n">
        <f aca="false">IF(G59="","",G59+1)</f>
        <v>59</v>
      </c>
      <c r="H60" s="15"/>
      <c r="I60" s="14"/>
      <c r="J60" s="16" t="str">
        <f aca="false">IF(OR(H60="",D60="",C60="",G60&lt;$P$2),"",MAX(0,ROUND(D60-C60,2)))</f>
        <v/>
      </c>
      <c r="K60" s="17"/>
      <c r="L60" s="16" t="str">
        <f aca="false">IF(NOT(ISNUMBER(K60)),"",ROUND(K60-N(M59)-N(J60),2))</f>
        <v/>
      </c>
      <c r="M60" s="16" t="n">
        <f aca="false">IF(ISNUMBER(K60),K60,N(M59))</f>
        <v>0</v>
      </c>
      <c r="N60" s="0" t="str">
        <f aca="true">IF(AND(H60="",K60=""),"",TRIM(IF(AND(H60&lt;&gt;"",NOT(AND(LEN(H60)=10,MID(H60,5,1)="-",MID(H60,8,1)="-"))),"Fecha con formato invalido (usa AAAA-MM-DD). ","")&amp;IF(AND(H60&lt;&gt;"",COUNTIF($H$2:$H$367,H60)&gt;1),"Fecha repetida en otro dia. ","")&amp;IF(AND(H60&lt;&gt;"",H59&lt;&gt;"",H60&lt;=H59),"La fecha no es posterior a la del dia anterior. ","")&amp;IF(AND(H60&lt;&gt;"",ISNUMBER(A60),ISNUMBER(D59),ISNUMBER(C59),ABS(A60-IF(G59&gt;=$P$2,MIN(D59,C59),D59))&gt;0.005),"Bank roll inicial no sigue la regla del dia anterior (alguien sobrescribio la formula). ","")&amp;IF(AND(H60&lt;&gt;"",ISNUMBER(B60),ISNUMBER(A60),ABS(B60-A60/8)&gt;0.00001),"Stake distinto de Bank roll/8. ","")&amp;IF(AND(H60&lt;&gt;"",ISNUMBER(E60),ABS(E60)&gt;0.005),"Residuo distinto de 0. ","")&amp;IF(AND(K60&lt;&gt;"",OR(NOT(ISNUMBER(K60)),N(K60)&lt;0)),"Saldo L2 no numerico o negativo. ","")&amp;IF(AND(H60&lt;&gt;"",H60&lt;TEXT(TODAY(),"yyyy-mm-dd"),G60&gt;=$P$2,K60="",OR(N(J60)&gt;0,N(M59)&gt;0)),"Falta cerrar el Saldo L2 de este dia. ","")&amp;IF(AND(H60&lt;&gt;"",SUMPRODUCT((Registros!$C$2:$C$3000=H60)*ISTEXT(Registros!$AP$2:$AP$3000))&gt;0),"Hay P/L guardado como texto en Registros (no suma). ","")))</f>
        <v/>
      </c>
    </row>
    <row r="61" customFormat="false" ht="15" hidden="false" customHeight="true" outlineLevel="0" collapsed="false">
      <c r="A61" s="13" t="n">
        <f aca="false">IF(D60="","",IF(G60&gt;=$P$2,MIN(D60,C60),D60))</f>
        <v>8</v>
      </c>
      <c r="B61" s="13" t="n">
        <f aca="false">IF(A61="","",A61/8)</f>
        <v>1</v>
      </c>
      <c r="C61" s="13" t="n">
        <f aca="false">IF(OR(A61="",B61=""),"",A61+B61)</f>
        <v>9</v>
      </c>
      <c r="D61" s="13" t="n">
        <f aca="false">IF(A61="","",A61+SUMIFS(Registros!$AP:$AP,Registros!$C:$C,H61))</f>
        <v>8</v>
      </c>
      <c r="E61" s="13" t="n">
        <f aca="false">IF(A61="","",ROUND(A61-8*B61,2))</f>
        <v>0</v>
      </c>
      <c r="F61" s="13" t="n">
        <f aca="false">IF(OR(D61="",C61=""),"",D61-C61)</f>
        <v>-1</v>
      </c>
      <c r="G61" s="20" t="n">
        <f aca="false">IF(G60="","",G60+1)</f>
        <v>60</v>
      </c>
      <c r="H61" s="15"/>
      <c r="I61" s="14"/>
      <c r="J61" s="16" t="str">
        <f aca="false">IF(OR(H61="",D61="",C61="",G61&lt;$P$2),"",MAX(0,ROUND(D61-C61,2)))</f>
        <v/>
      </c>
      <c r="K61" s="17"/>
      <c r="L61" s="16" t="str">
        <f aca="false">IF(NOT(ISNUMBER(K61)),"",ROUND(K61-N(M60)-N(J61),2))</f>
        <v/>
      </c>
      <c r="M61" s="16" t="n">
        <f aca="false">IF(ISNUMBER(K61),K61,N(M60))</f>
        <v>0</v>
      </c>
      <c r="N61" s="0" t="str">
        <f aca="true">IF(AND(H61="",K61=""),"",TRIM(IF(AND(H61&lt;&gt;"",NOT(AND(LEN(H61)=10,MID(H61,5,1)="-",MID(H61,8,1)="-"))),"Fecha con formato invalido (usa AAAA-MM-DD). ","")&amp;IF(AND(H61&lt;&gt;"",COUNTIF($H$2:$H$367,H61)&gt;1),"Fecha repetida en otro dia. ","")&amp;IF(AND(H61&lt;&gt;"",H60&lt;&gt;"",H61&lt;=H60),"La fecha no es posterior a la del dia anterior. ","")&amp;IF(AND(H61&lt;&gt;"",ISNUMBER(A61),ISNUMBER(D60),ISNUMBER(C60),ABS(A61-IF(G60&gt;=$P$2,MIN(D60,C60),D60))&gt;0.005),"Bank roll inicial no sigue la regla del dia anterior (alguien sobrescribio la formula). ","")&amp;IF(AND(H61&lt;&gt;"",ISNUMBER(B61),ISNUMBER(A61),ABS(B61-A61/8)&gt;0.00001),"Stake distinto de Bank roll/8. ","")&amp;IF(AND(H61&lt;&gt;"",ISNUMBER(E61),ABS(E61)&gt;0.005),"Residuo distinto de 0. ","")&amp;IF(AND(K61&lt;&gt;"",OR(NOT(ISNUMBER(K61)),N(K61)&lt;0)),"Saldo L2 no numerico o negativo. ","")&amp;IF(AND(H61&lt;&gt;"",H61&lt;TEXT(TODAY(),"yyyy-mm-dd"),G61&gt;=$P$2,K61="",OR(N(J61)&gt;0,N(M60)&gt;0)),"Falta cerrar el Saldo L2 de este dia. ","")&amp;IF(AND(H61&lt;&gt;"",SUMPRODUCT((Registros!$C$2:$C$3000=H61)*ISTEXT(Registros!$AP$2:$AP$3000))&gt;0),"Hay P/L guardado como texto en Registros (no suma). ","")))</f>
        <v/>
      </c>
    </row>
    <row r="62" customFormat="false" ht="15" hidden="false" customHeight="true" outlineLevel="0" collapsed="false">
      <c r="A62" s="13" t="n">
        <f aca="false">IF(D61="","",IF(G61&gt;=$P$2,MIN(D61,C61),D61))</f>
        <v>8</v>
      </c>
      <c r="B62" s="13" t="n">
        <f aca="false">IF(A62="","",A62/8)</f>
        <v>1</v>
      </c>
      <c r="C62" s="13" t="n">
        <f aca="false">IF(OR(A62="",B62=""),"",A62+B62)</f>
        <v>9</v>
      </c>
      <c r="D62" s="13" t="n">
        <f aca="false">IF(A62="","",A62+SUMIFS(Registros!$AP:$AP,Registros!$C:$C,H62))</f>
        <v>8</v>
      </c>
      <c r="E62" s="13" t="n">
        <f aca="false">IF(A62="","",ROUND(A62-8*B62,2))</f>
        <v>0</v>
      </c>
      <c r="F62" s="13" t="n">
        <f aca="false">IF(OR(D62="",C62=""),"",D62-C62)</f>
        <v>-1</v>
      </c>
      <c r="G62" s="20" t="n">
        <f aca="false">IF(G61="","",G61+1)</f>
        <v>61</v>
      </c>
      <c r="H62" s="15"/>
      <c r="I62" s="14"/>
      <c r="J62" s="16" t="str">
        <f aca="false">IF(OR(H62="",D62="",C62="",G62&lt;$P$2),"",MAX(0,ROUND(D62-C62,2)))</f>
        <v/>
      </c>
      <c r="K62" s="17"/>
      <c r="L62" s="16" t="str">
        <f aca="false">IF(NOT(ISNUMBER(K62)),"",ROUND(K62-N(M61)-N(J62),2))</f>
        <v/>
      </c>
      <c r="M62" s="16" t="n">
        <f aca="false">IF(ISNUMBER(K62),K62,N(M61))</f>
        <v>0</v>
      </c>
      <c r="N62" s="0" t="str">
        <f aca="true">IF(AND(H62="",K62=""),"",TRIM(IF(AND(H62&lt;&gt;"",NOT(AND(LEN(H62)=10,MID(H62,5,1)="-",MID(H62,8,1)="-"))),"Fecha con formato invalido (usa AAAA-MM-DD). ","")&amp;IF(AND(H62&lt;&gt;"",COUNTIF($H$2:$H$367,H62)&gt;1),"Fecha repetida en otro dia. ","")&amp;IF(AND(H62&lt;&gt;"",H61&lt;&gt;"",H62&lt;=H61),"La fecha no es posterior a la del dia anterior. ","")&amp;IF(AND(H62&lt;&gt;"",ISNUMBER(A62),ISNUMBER(D61),ISNUMBER(C61),ABS(A62-IF(G61&gt;=$P$2,MIN(D61,C61),D61))&gt;0.005),"Bank roll inicial no sigue la regla del dia anterior (alguien sobrescribio la formula). ","")&amp;IF(AND(H62&lt;&gt;"",ISNUMBER(B62),ISNUMBER(A62),ABS(B62-A62/8)&gt;0.00001),"Stake distinto de Bank roll/8. ","")&amp;IF(AND(H62&lt;&gt;"",ISNUMBER(E62),ABS(E62)&gt;0.005),"Residuo distinto de 0. ","")&amp;IF(AND(K62&lt;&gt;"",OR(NOT(ISNUMBER(K62)),N(K62)&lt;0)),"Saldo L2 no numerico o negativo. ","")&amp;IF(AND(H62&lt;&gt;"",H62&lt;TEXT(TODAY(),"yyyy-mm-dd"),G62&gt;=$P$2,K62="",OR(N(J62)&gt;0,N(M61)&gt;0)),"Falta cerrar el Saldo L2 de este dia. ","")&amp;IF(AND(H62&lt;&gt;"",SUMPRODUCT((Registros!$C$2:$C$3000=H62)*ISTEXT(Registros!$AP$2:$AP$3000))&gt;0),"Hay P/L guardado como texto en Registros (no suma). ","")))</f>
        <v/>
      </c>
    </row>
    <row r="63" customFormat="false" ht="15" hidden="false" customHeight="true" outlineLevel="0" collapsed="false">
      <c r="A63" s="13" t="n">
        <f aca="false">IF(D62="","",IF(G62&gt;=$P$2,MIN(D62,C62),D62))</f>
        <v>8</v>
      </c>
      <c r="B63" s="13" t="n">
        <f aca="false">IF(A63="","",A63/8)</f>
        <v>1</v>
      </c>
      <c r="C63" s="13" t="n">
        <f aca="false">IF(OR(A63="",B63=""),"",A63+B63)</f>
        <v>9</v>
      </c>
      <c r="D63" s="13" t="n">
        <f aca="false">IF(A63="","",A63+SUMIFS(Registros!$AP:$AP,Registros!$C:$C,H63))</f>
        <v>8</v>
      </c>
      <c r="E63" s="13" t="n">
        <f aca="false">IF(A63="","",ROUND(A63-8*B63,2))</f>
        <v>0</v>
      </c>
      <c r="F63" s="13" t="n">
        <f aca="false">IF(OR(D63="",C63=""),"",D63-C63)</f>
        <v>-1</v>
      </c>
      <c r="G63" s="20" t="n">
        <f aca="false">IF(G62="","",G62+1)</f>
        <v>62</v>
      </c>
      <c r="H63" s="15"/>
      <c r="I63" s="14"/>
      <c r="J63" s="16" t="str">
        <f aca="false">IF(OR(H63="",D63="",C63="",G63&lt;$P$2),"",MAX(0,ROUND(D63-C63,2)))</f>
        <v/>
      </c>
      <c r="K63" s="17"/>
      <c r="L63" s="16" t="str">
        <f aca="false">IF(NOT(ISNUMBER(K63)),"",ROUND(K63-N(M62)-N(J63),2))</f>
        <v/>
      </c>
      <c r="M63" s="16" t="n">
        <f aca="false">IF(ISNUMBER(K63),K63,N(M62))</f>
        <v>0</v>
      </c>
      <c r="N63" s="0" t="str">
        <f aca="true">IF(AND(H63="",K63=""),"",TRIM(IF(AND(H63&lt;&gt;"",NOT(AND(LEN(H63)=10,MID(H63,5,1)="-",MID(H63,8,1)="-"))),"Fecha con formato invalido (usa AAAA-MM-DD). ","")&amp;IF(AND(H63&lt;&gt;"",COUNTIF($H$2:$H$367,H63)&gt;1),"Fecha repetida en otro dia. ","")&amp;IF(AND(H63&lt;&gt;"",H62&lt;&gt;"",H63&lt;=H62),"La fecha no es posterior a la del dia anterior. ","")&amp;IF(AND(H63&lt;&gt;"",ISNUMBER(A63),ISNUMBER(D62),ISNUMBER(C62),ABS(A63-IF(G62&gt;=$P$2,MIN(D62,C62),D62))&gt;0.005),"Bank roll inicial no sigue la regla del dia anterior (alguien sobrescribio la formula). ","")&amp;IF(AND(H63&lt;&gt;"",ISNUMBER(B63),ISNUMBER(A63),ABS(B63-A63/8)&gt;0.00001),"Stake distinto de Bank roll/8. ","")&amp;IF(AND(H63&lt;&gt;"",ISNUMBER(E63),ABS(E63)&gt;0.005),"Residuo distinto de 0. ","")&amp;IF(AND(K63&lt;&gt;"",OR(NOT(ISNUMBER(K63)),N(K63)&lt;0)),"Saldo L2 no numerico o negativo. ","")&amp;IF(AND(H63&lt;&gt;"",H63&lt;TEXT(TODAY(),"yyyy-mm-dd"),G63&gt;=$P$2,K63="",OR(N(J63)&gt;0,N(M62)&gt;0)),"Falta cerrar el Saldo L2 de este dia. ","")&amp;IF(AND(H63&lt;&gt;"",SUMPRODUCT((Registros!$C$2:$C$3000=H63)*ISTEXT(Registros!$AP$2:$AP$3000))&gt;0),"Hay P/L guardado como texto en Registros (no suma). ","")))</f>
        <v/>
      </c>
    </row>
    <row r="64" customFormat="false" ht="15" hidden="false" customHeight="true" outlineLevel="0" collapsed="false">
      <c r="A64" s="13" t="n">
        <f aca="false">IF(D63="","",IF(G63&gt;=$P$2,MIN(D63,C63),D63))</f>
        <v>8</v>
      </c>
      <c r="B64" s="13" t="n">
        <f aca="false">IF(A64="","",A64/8)</f>
        <v>1</v>
      </c>
      <c r="C64" s="13" t="n">
        <f aca="false">IF(OR(A64="",B64=""),"",A64+B64)</f>
        <v>9</v>
      </c>
      <c r="D64" s="13" t="n">
        <f aca="false">IF(A64="","",A64+SUMIFS(Registros!$AP:$AP,Registros!$C:$C,H64))</f>
        <v>8</v>
      </c>
      <c r="E64" s="13" t="n">
        <f aca="false">IF(A64="","",ROUND(A64-8*B64,2))</f>
        <v>0</v>
      </c>
      <c r="F64" s="13" t="n">
        <f aca="false">IF(OR(D64="",C64=""),"",D64-C64)</f>
        <v>-1</v>
      </c>
      <c r="G64" s="20" t="n">
        <f aca="false">IF(G63="","",G63+1)</f>
        <v>63</v>
      </c>
      <c r="H64" s="15"/>
      <c r="I64" s="14"/>
      <c r="J64" s="16" t="str">
        <f aca="false">IF(OR(H64="",D64="",C64="",G64&lt;$P$2),"",MAX(0,ROUND(D64-C64,2)))</f>
        <v/>
      </c>
      <c r="K64" s="17"/>
      <c r="L64" s="16" t="str">
        <f aca="false">IF(NOT(ISNUMBER(K64)),"",ROUND(K64-N(M63)-N(J64),2))</f>
        <v/>
      </c>
      <c r="M64" s="16" t="n">
        <f aca="false">IF(ISNUMBER(K64),K64,N(M63))</f>
        <v>0</v>
      </c>
      <c r="N64" s="0" t="str">
        <f aca="true">IF(AND(H64="",K64=""),"",TRIM(IF(AND(H64&lt;&gt;"",NOT(AND(LEN(H64)=10,MID(H64,5,1)="-",MID(H64,8,1)="-"))),"Fecha con formato invalido (usa AAAA-MM-DD). ","")&amp;IF(AND(H64&lt;&gt;"",COUNTIF($H$2:$H$367,H64)&gt;1),"Fecha repetida en otro dia. ","")&amp;IF(AND(H64&lt;&gt;"",H63&lt;&gt;"",H64&lt;=H63),"La fecha no es posterior a la del dia anterior. ","")&amp;IF(AND(H64&lt;&gt;"",ISNUMBER(A64),ISNUMBER(D63),ISNUMBER(C63),ABS(A64-IF(G63&gt;=$P$2,MIN(D63,C63),D63))&gt;0.005),"Bank roll inicial no sigue la regla del dia anterior (alguien sobrescribio la formula). ","")&amp;IF(AND(H64&lt;&gt;"",ISNUMBER(B64),ISNUMBER(A64),ABS(B64-A64/8)&gt;0.00001),"Stake distinto de Bank roll/8. ","")&amp;IF(AND(H64&lt;&gt;"",ISNUMBER(E64),ABS(E64)&gt;0.005),"Residuo distinto de 0. ","")&amp;IF(AND(K64&lt;&gt;"",OR(NOT(ISNUMBER(K64)),N(K64)&lt;0)),"Saldo L2 no numerico o negativo. ","")&amp;IF(AND(H64&lt;&gt;"",H64&lt;TEXT(TODAY(),"yyyy-mm-dd"),G64&gt;=$P$2,K64="",OR(N(J64)&gt;0,N(M63)&gt;0)),"Falta cerrar el Saldo L2 de este dia. ","")&amp;IF(AND(H64&lt;&gt;"",SUMPRODUCT((Registros!$C$2:$C$3000=H64)*ISTEXT(Registros!$AP$2:$AP$3000))&gt;0),"Hay P/L guardado como texto en Registros (no suma). ","")))</f>
        <v/>
      </c>
    </row>
    <row r="65" customFormat="false" ht="15" hidden="false" customHeight="true" outlineLevel="0" collapsed="false">
      <c r="A65" s="13" t="n">
        <f aca="false">IF(D64="","",IF(G64&gt;=$P$2,MIN(D64,C64),D64))</f>
        <v>8</v>
      </c>
      <c r="B65" s="13" t="n">
        <f aca="false">IF(A65="","",A65/8)</f>
        <v>1</v>
      </c>
      <c r="C65" s="13" t="n">
        <f aca="false">IF(OR(A65="",B65=""),"",A65+B65)</f>
        <v>9</v>
      </c>
      <c r="D65" s="13" t="n">
        <f aca="false">IF(A65="","",A65+SUMIFS(Registros!$AP:$AP,Registros!$C:$C,H65))</f>
        <v>8</v>
      </c>
      <c r="E65" s="13" t="n">
        <f aca="false">IF(A65="","",ROUND(A65-8*B65,2))</f>
        <v>0</v>
      </c>
      <c r="F65" s="13" t="n">
        <f aca="false">IF(OR(D65="",C65=""),"",D65-C65)</f>
        <v>-1</v>
      </c>
      <c r="G65" s="20" t="n">
        <f aca="false">IF(G64="","",G64+1)</f>
        <v>64</v>
      </c>
      <c r="H65" s="15"/>
      <c r="I65" s="14"/>
      <c r="J65" s="16" t="str">
        <f aca="false">IF(OR(H65="",D65="",C65="",G65&lt;$P$2),"",MAX(0,ROUND(D65-C65,2)))</f>
        <v/>
      </c>
      <c r="K65" s="17"/>
      <c r="L65" s="16" t="str">
        <f aca="false">IF(NOT(ISNUMBER(K65)),"",ROUND(K65-N(M64)-N(J65),2))</f>
        <v/>
      </c>
      <c r="M65" s="16" t="n">
        <f aca="false">IF(ISNUMBER(K65),K65,N(M64))</f>
        <v>0</v>
      </c>
      <c r="N65" s="0" t="str">
        <f aca="true">IF(AND(H65="",K65=""),"",TRIM(IF(AND(H65&lt;&gt;"",NOT(AND(LEN(H65)=10,MID(H65,5,1)="-",MID(H65,8,1)="-"))),"Fecha con formato invalido (usa AAAA-MM-DD). ","")&amp;IF(AND(H65&lt;&gt;"",COUNTIF($H$2:$H$367,H65)&gt;1),"Fecha repetida en otro dia. ","")&amp;IF(AND(H65&lt;&gt;"",H64&lt;&gt;"",H65&lt;=H64),"La fecha no es posterior a la del dia anterior. ","")&amp;IF(AND(H65&lt;&gt;"",ISNUMBER(A65),ISNUMBER(D64),ISNUMBER(C64),ABS(A65-IF(G64&gt;=$P$2,MIN(D64,C64),D64))&gt;0.005),"Bank roll inicial no sigue la regla del dia anterior (alguien sobrescribio la formula). ","")&amp;IF(AND(H65&lt;&gt;"",ISNUMBER(B65),ISNUMBER(A65),ABS(B65-A65/8)&gt;0.00001),"Stake distinto de Bank roll/8. ","")&amp;IF(AND(H65&lt;&gt;"",ISNUMBER(E65),ABS(E65)&gt;0.005),"Residuo distinto de 0. ","")&amp;IF(AND(K65&lt;&gt;"",OR(NOT(ISNUMBER(K65)),N(K65)&lt;0)),"Saldo L2 no numerico o negativo. ","")&amp;IF(AND(H65&lt;&gt;"",H65&lt;TEXT(TODAY(),"yyyy-mm-dd"),G65&gt;=$P$2,K65="",OR(N(J65)&gt;0,N(M64)&gt;0)),"Falta cerrar el Saldo L2 de este dia. ","")&amp;IF(AND(H65&lt;&gt;"",SUMPRODUCT((Registros!$C$2:$C$3000=H65)*ISTEXT(Registros!$AP$2:$AP$3000))&gt;0),"Hay P/L guardado como texto en Registros (no suma). ","")))</f>
        <v/>
      </c>
    </row>
    <row r="66" customFormat="false" ht="15" hidden="false" customHeight="true" outlineLevel="0" collapsed="false">
      <c r="A66" s="13" t="n">
        <f aca="false">IF(D65="","",IF(G65&gt;=$P$2,MIN(D65,C65),D65))</f>
        <v>8</v>
      </c>
      <c r="B66" s="13" t="n">
        <f aca="false">IF(A66="","",A66/8)</f>
        <v>1</v>
      </c>
      <c r="C66" s="13" t="n">
        <f aca="false">IF(OR(A66="",B66=""),"",A66+B66)</f>
        <v>9</v>
      </c>
      <c r="D66" s="13" t="n">
        <f aca="false">IF(A66="","",A66+SUMIFS(Registros!$AP:$AP,Registros!$C:$C,H66))</f>
        <v>8</v>
      </c>
      <c r="E66" s="13" t="n">
        <f aca="false">IF(A66="","",ROUND(A66-8*B66,2))</f>
        <v>0</v>
      </c>
      <c r="F66" s="13" t="n">
        <f aca="false">IF(OR(D66="",C66=""),"",D66-C66)</f>
        <v>-1</v>
      </c>
      <c r="G66" s="20" t="n">
        <f aca="false">IF(G65="","",G65+1)</f>
        <v>65</v>
      </c>
      <c r="H66" s="15"/>
      <c r="I66" s="14"/>
      <c r="J66" s="16" t="str">
        <f aca="false">IF(OR(H66="",D66="",C66="",G66&lt;$P$2),"",MAX(0,ROUND(D66-C66,2)))</f>
        <v/>
      </c>
      <c r="K66" s="17"/>
      <c r="L66" s="16" t="str">
        <f aca="false">IF(NOT(ISNUMBER(K66)),"",ROUND(K66-N(M65)-N(J66),2))</f>
        <v/>
      </c>
      <c r="M66" s="16" t="n">
        <f aca="false">IF(ISNUMBER(K66),K66,N(M65))</f>
        <v>0</v>
      </c>
      <c r="N66" s="0" t="str">
        <f aca="true">IF(AND(H66="",K66=""),"",TRIM(IF(AND(H66&lt;&gt;"",NOT(AND(LEN(H66)=10,MID(H66,5,1)="-",MID(H66,8,1)="-"))),"Fecha con formato invalido (usa AAAA-MM-DD). ","")&amp;IF(AND(H66&lt;&gt;"",COUNTIF($H$2:$H$367,H66)&gt;1),"Fecha repetida en otro dia. ","")&amp;IF(AND(H66&lt;&gt;"",H65&lt;&gt;"",H66&lt;=H65),"La fecha no es posterior a la del dia anterior. ","")&amp;IF(AND(H66&lt;&gt;"",ISNUMBER(A66),ISNUMBER(D65),ISNUMBER(C65),ABS(A66-IF(G65&gt;=$P$2,MIN(D65,C65),D65))&gt;0.005),"Bank roll inicial no sigue la regla del dia anterior (alguien sobrescribio la formula). ","")&amp;IF(AND(H66&lt;&gt;"",ISNUMBER(B66),ISNUMBER(A66),ABS(B66-A66/8)&gt;0.00001),"Stake distinto de Bank roll/8. ","")&amp;IF(AND(H66&lt;&gt;"",ISNUMBER(E66),ABS(E66)&gt;0.005),"Residuo distinto de 0. ","")&amp;IF(AND(K66&lt;&gt;"",OR(NOT(ISNUMBER(K66)),N(K66)&lt;0)),"Saldo L2 no numerico o negativo. ","")&amp;IF(AND(H66&lt;&gt;"",H66&lt;TEXT(TODAY(),"yyyy-mm-dd"),G66&gt;=$P$2,K66="",OR(N(J66)&gt;0,N(M65)&gt;0)),"Falta cerrar el Saldo L2 de este dia. ","")&amp;IF(AND(H66&lt;&gt;"",SUMPRODUCT((Registros!$C$2:$C$3000=H66)*ISTEXT(Registros!$AP$2:$AP$3000))&gt;0),"Hay P/L guardado como texto en Registros (no suma). ","")))</f>
        <v/>
      </c>
    </row>
    <row r="67" customFormat="false" ht="15" hidden="false" customHeight="true" outlineLevel="0" collapsed="false">
      <c r="A67" s="13" t="n">
        <f aca="false">IF(D66="","",IF(G66&gt;=$P$2,MIN(D66,C66),D66))</f>
        <v>8</v>
      </c>
      <c r="B67" s="13" t="n">
        <f aca="false">IF(A67="","",A67/8)</f>
        <v>1</v>
      </c>
      <c r="C67" s="13" t="n">
        <f aca="false">IF(OR(A67="",B67=""),"",A67+B67)</f>
        <v>9</v>
      </c>
      <c r="D67" s="13" t="n">
        <f aca="false">IF(A67="","",A67+SUMIFS(Registros!$AP:$AP,Registros!$C:$C,H67))</f>
        <v>8</v>
      </c>
      <c r="E67" s="13" t="n">
        <f aca="false">IF(A67="","",ROUND(A67-8*B67,2))</f>
        <v>0</v>
      </c>
      <c r="F67" s="13" t="n">
        <f aca="false">IF(OR(D67="",C67=""),"",D67-C67)</f>
        <v>-1</v>
      </c>
      <c r="G67" s="20" t="n">
        <f aca="false">IF(G66="","",G66+1)</f>
        <v>66</v>
      </c>
      <c r="H67" s="15"/>
      <c r="I67" s="14"/>
      <c r="J67" s="16" t="str">
        <f aca="false">IF(OR(H67="",D67="",C67="",G67&lt;$P$2),"",MAX(0,ROUND(D67-C67,2)))</f>
        <v/>
      </c>
      <c r="K67" s="17"/>
      <c r="L67" s="16" t="str">
        <f aca="false">IF(NOT(ISNUMBER(K67)),"",ROUND(K67-N(M66)-N(J67),2))</f>
        <v/>
      </c>
      <c r="M67" s="16" t="n">
        <f aca="false">IF(ISNUMBER(K67),K67,N(M66))</f>
        <v>0</v>
      </c>
      <c r="N67" s="0" t="str">
        <f aca="true">IF(AND(H67="",K67=""),"",TRIM(IF(AND(H67&lt;&gt;"",NOT(AND(LEN(H67)=10,MID(H67,5,1)="-",MID(H67,8,1)="-"))),"Fecha con formato invalido (usa AAAA-MM-DD). ","")&amp;IF(AND(H67&lt;&gt;"",COUNTIF($H$2:$H$367,H67)&gt;1),"Fecha repetida en otro dia. ","")&amp;IF(AND(H67&lt;&gt;"",H66&lt;&gt;"",H67&lt;=H66),"La fecha no es posterior a la del dia anterior. ","")&amp;IF(AND(H67&lt;&gt;"",ISNUMBER(A67),ISNUMBER(D66),ISNUMBER(C66),ABS(A67-IF(G66&gt;=$P$2,MIN(D66,C66),D66))&gt;0.005),"Bank roll inicial no sigue la regla del dia anterior (alguien sobrescribio la formula). ","")&amp;IF(AND(H67&lt;&gt;"",ISNUMBER(B67),ISNUMBER(A67),ABS(B67-A67/8)&gt;0.00001),"Stake distinto de Bank roll/8. ","")&amp;IF(AND(H67&lt;&gt;"",ISNUMBER(E67),ABS(E67)&gt;0.005),"Residuo distinto de 0. ","")&amp;IF(AND(K67&lt;&gt;"",OR(NOT(ISNUMBER(K67)),N(K67)&lt;0)),"Saldo L2 no numerico o negativo. ","")&amp;IF(AND(H67&lt;&gt;"",H67&lt;TEXT(TODAY(),"yyyy-mm-dd"),G67&gt;=$P$2,K67="",OR(N(J67)&gt;0,N(M66)&gt;0)),"Falta cerrar el Saldo L2 de este dia. ","")&amp;IF(AND(H67&lt;&gt;"",SUMPRODUCT((Registros!$C$2:$C$3000=H67)*ISTEXT(Registros!$AP$2:$AP$3000))&gt;0),"Hay P/L guardado como texto en Registros (no suma). ","")))</f>
        <v/>
      </c>
    </row>
    <row r="68" customFormat="false" ht="15" hidden="false" customHeight="true" outlineLevel="0" collapsed="false">
      <c r="A68" s="13" t="n">
        <f aca="false">IF(D67="","",IF(G67&gt;=$P$2,MIN(D67,C67),D67))</f>
        <v>8</v>
      </c>
      <c r="B68" s="13" t="n">
        <f aca="false">IF(A68="","",A68/8)</f>
        <v>1</v>
      </c>
      <c r="C68" s="13" t="n">
        <f aca="false">IF(OR(A68="",B68=""),"",A68+B68)</f>
        <v>9</v>
      </c>
      <c r="D68" s="13" t="n">
        <f aca="false">IF(A68="","",A68+SUMIFS(Registros!$AP:$AP,Registros!$C:$C,H68))</f>
        <v>8</v>
      </c>
      <c r="E68" s="13" t="n">
        <f aca="false">IF(A68="","",ROUND(A68-8*B68,2))</f>
        <v>0</v>
      </c>
      <c r="F68" s="13" t="n">
        <f aca="false">IF(OR(D68="",C68=""),"",D68-C68)</f>
        <v>-1</v>
      </c>
      <c r="G68" s="20" t="n">
        <f aca="false">IF(G67="","",G67+1)</f>
        <v>67</v>
      </c>
      <c r="H68" s="15"/>
      <c r="I68" s="14"/>
      <c r="J68" s="16" t="str">
        <f aca="false">IF(OR(H68="",D68="",C68="",G68&lt;$P$2),"",MAX(0,ROUND(D68-C68,2)))</f>
        <v/>
      </c>
      <c r="K68" s="17"/>
      <c r="L68" s="16" t="str">
        <f aca="false">IF(NOT(ISNUMBER(K68)),"",ROUND(K68-N(M67)-N(J68),2))</f>
        <v/>
      </c>
      <c r="M68" s="16" t="n">
        <f aca="false">IF(ISNUMBER(K68),K68,N(M67))</f>
        <v>0</v>
      </c>
      <c r="N68" s="0" t="str">
        <f aca="true">IF(AND(H68="",K68=""),"",TRIM(IF(AND(H68&lt;&gt;"",NOT(AND(LEN(H68)=10,MID(H68,5,1)="-",MID(H68,8,1)="-"))),"Fecha con formato invalido (usa AAAA-MM-DD). ","")&amp;IF(AND(H68&lt;&gt;"",COUNTIF($H$2:$H$367,H68)&gt;1),"Fecha repetida en otro dia. ","")&amp;IF(AND(H68&lt;&gt;"",H67&lt;&gt;"",H68&lt;=H67),"La fecha no es posterior a la del dia anterior. ","")&amp;IF(AND(H68&lt;&gt;"",ISNUMBER(A68),ISNUMBER(D67),ISNUMBER(C67),ABS(A68-IF(G67&gt;=$P$2,MIN(D67,C67),D67))&gt;0.005),"Bank roll inicial no sigue la regla del dia anterior (alguien sobrescribio la formula). ","")&amp;IF(AND(H68&lt;&gt;"",ISNUMBER(B68),ISNUMBER(A68),ABS(B68-A68/8)&gt;0.00001),"Stake distinto de Bank roll/8. ","")&amp;IF(AND(H68&lt;&gt;"",ISNUMBER(E68),ABS(E68)&gt;0.005),"Residuo distinto de 0. ","")&amp;IF(AND(K68&lt;&gt;"",OR(NOT(ISNUMBER(K68)),N(K68)&lt;0)),"Saldo L2 no numerico o negativo. ","")&amp;IF(AND(H68&lt;&gt;"",H68&lt;TEXT(TODAY(),"yyyy-mm-dd"),G68&gt;=$P$2,K68="",OR(N(J68)&gt;0,N(M67)&gt;0)),"Falta cerrar el Saldo L2 de este dia. ","")&amp;IF(AND(H68&lt;&gt;"",SUMPRODUCT((Registros!$C$2:$C$3000=H68)*ISTEXT(Registros!$AP$2:$AP$3000))&gt;0),"Hay P/L guardado como texto en Registros (no suma). ","")))</f>
        <v/>
      </c>
    </row>
    <row r="69" customFormat="false" ht="15" hidden="false" customHeight="true" outlineLevel="0" collapsed="false">
      <c r="A69" s="13" t="n">
        <f aca="false">IF(D68="","",IF(G68&gt;=$P$2,MIN(D68,C68),D68))</f>
        <v>8</v>
      </c>
      <c r="B69" s="13" t="n">
        <f aca="false">IF(A69="","",A69/8)</f>
        <v>1</v>
      </c>
      <c r="C69" s="13" t="n">
        <f aca="false">IF(OR(A69="",B69=""),"",A69+B69)</f>
        <v>9</v>
      </c>
      <c r="D69" s="13" t="n">
        <f aca="false">IF(A69="","",A69+SUMIFS(Registros!$AP:$AP,Registros!$C:$C,H69))</f>
        <v>8</v>
      </c>
      <c r="E69" s="13" t="n">
        <f aca="false">IF(A69="","",ROUND(A69-8*B69,2))</f>
        <v>0</v>
      </c>
      <c r="F69" s="13" t="n">
        <f aca="false">IF(OR(D69="",C69=""),"",D69-C69)</f>
        <v>-1</v>
      </c>
      <c r="G69" s="20" t="n">
        <f aca="false">IF(G68="","",G68+1)</f>
        <v>68</v>
      </c>
      <c r="H69" s="15"/>
      <c r="I69" s="14"/>
      <c r="J69" s="16" t="str">
        <f aca="false">IF(OR(H69="",D69="",C69="",G69&lt;$P$2),"",MAX(0,ROUND(D69-C69,2)))</f>
        <v/>
      </c>
      <c r="K69" s="17"/>
      <c r="L69" s="16" t="str">
        <f aca="false">IF(NOT(ISNUMBER(K69)),"",ROUND(K69-N(M68)-N(J69),2))</f>
        <v/>
      </c>
      <c r="M69" s="16" t="n">
        <f aca="false">IF(ISNUMBER(K69),K69,N(M68))</f>
        <v>0</v>
      </c>
      <c r="N69" s="0" t="str">
        <f aca="true">IF(AND(H69="",K69=""),"",TRIM(IF(AND(H69&lt;&gt;"",NOT(AND(LEN(H69)=10,MID(H69,5,1)="-",MID(H69,8,1)="-"))),"Fecha con formato invalido (usa AAAA-MM-DD). ","")&amp;IF(AND(H69&lt;&gt;"",COUNTIF($H$2:$H$367,H69)&gt;1),"Fecha repetida en otro dia. ","")&amp;IF(AND(H69&lt;&gt;"",H68&lt;&gt;"",H69&lt;=H68),"La fecha no es posterior a la del dia anterior. ","")&amp;IF(AND(H69&lt;&gt;"",ISNUMBER(A69),ISNUMBER(D68),ISNUMBER(C68),ABS(A69-IF(G68&gt;=$P$2,MIN(D68,C68),D68))&gt;0.005),"Bank roll inicial no sigue la regla del dia anterior (alguien sobrescribio la formula). ","")&amp;IF(AND(H69&lt;&gt;"",ISNUMBER(B69),ISNUMBER(A69),ABS(B69-A69/8)&gt;0.00001),"Stake distinto de Bank roll/8. ","")&amp;IF(AND(H69&lt;&gt;"",ISNUMBER(E69),ABS(E69)&gt;0.005),"Residuo distinto de 0. ","")&amp;IF(AND(K69&lt;&gt;"",OR(NOT(ISNUMBER(K69)),N(K69)&lt;0)),"Saldo L2 no numerico o negativo. ","")&amp;IF(AND(H69&lt;&gt;"",H69&lt;TEXT(TODAY(),"yyyy-mm-dd"),G69&gt;=$P$2,K69="",OR(N(J69)&gt;0,N(M68)&gt;0)),"Falta cerrar el Saldo L2 de este dia. ","")&amp;IF(AND(H69&lt;&gt;"",SUMPRODUCT((Registros!$C$2:$C$3000=H69)*ISTEXT(Registros!$AP$2:$AP$3000))&gt;0),"Hay P/L guardado como texto en Registros (no suma). ","")))</f>
        <v/>
      </c>
    </row>
    <row r="70" customFormat="false" ht="15" hidden="false" customHeight="true" outlineLevel="0" collapsed="false">
      <c r="A70" s="13" t="n">
        <f aca="false">IF(D69="","",IF(G69&gt;=$P$2,MIN(D69,C69),D69))</f>
        <v>8</v>
      </c>
      <c r="B70" s="13" t="n">
        <f aca="false">IF(A70="","",A70/8)</f>
        <v>1</v>
      </c>
      <c r="C70" s="13" t="n">
        <f aca="false">IF(OR(A70="",B70=""),"",A70+B70)</f>
        <v>9</v>
      </c>
      <c r="D70" s="13" t="n">
        <f aca="false">IF(A70="","",A70+SUMIFS(Registros!$AP:$AP,Registros!$C:$C,H70))</f>
        <v>8</v>
      </c>
      <c r="E70" s="13" t="n">
        <f aca="false">IF(A70="","",ROUND(A70-8*B70,2))</f>
        <v>0</v>
      </c>
      <c r="F70" s="13" t="n">
        <f aca="false">IF(OR(D70="",C70=""),"",D70-C70)</f>
        <v>-1</v>
      </c>
      <c r="G70" s="20" t="n">
        <f aca="false">IF(G69="","",G69+1)</f>
        <v>69</v>
      </c>
      <c r="H70" s="15"/>
      <c r="I70" s="14"/>
      <c r="J70" s="16" t="str">
        <f aca="false">IF(OR(H70="",D70="",C70="",G70&lt;$P$2),"",MAX(0,ROUND(D70-C70,2)))</f>
        <v/>
      </c>
      <c r="K70" s="17"/>
      <c r="L70" s="16" t="str">
        <f aca="false">IF(NOT(ISNUMBER(K70)),"",ROUND(K70-N(M69)-N(J70),2))</f>
        <v/>
      </c>
      <c r="M70" s="16" t="n">
        <f aca="false">IF(ISNUMBER(K70),K70,N(M69))</f>
        <v>0</v>
      </c>
      <c r="N70" s="0" t="str">
        <f aca="true">IF(AND(H70="",K70=""),"",TRIM(IF(AND(H70&lt;&gt;"",NOT(AND(LEN(H70)=10,MID(H70,5,1)="-",MID(H70,8,1)="-"))),"Fecha con formato invalido (usa AAAA-MM-DD). ","")&amp;IF(AND(H70&lt;&gt;"",COUNTIF($H$2:$H$367,H70)&gt;1),"Fecha repetida en otro dia. ","")&amp;IF(AND(H70&lt;&gt;"",H69&lt;&gt;"",H70&lt;=H69),"La fecha no es posterior a la del dia anterior. ","")&amp;IF(AND(H70&lt;&gt;"",ISNUMBER(A70),ISNUMBER(D69),ISNUMBER(C69),ABS(A70-IF(G69&gt;=$P$2,MIN(D69,C69),D69))&gt;0.005),"Bank roll inicial no sigue la regla del dia anterior (alguien sobrescribio la formula). ","")&amp;IF(AND(H70&lt;&gt;"",ISNUMBER(B70),ISNUMBER(A70),ABS(B70-A70/8)&gt;0.00001),"Stake distinto de Bank roll/8. ","")&amp;IF(AND(H70&lt;&gt;"",ISNUMBER(E70),ABS(E70)&gt;0.005),"Residuo distinto de 0. ","")&amp;IF(AND(K70&lt;&gt;"",OR(NOT(ISNUMBER(K70)),N(K70)&lt;0)),"Saldo L2 no numerico o negativo. ","")&amp;IF(AND(H70&lt;&gt;"",H70&lt;TEXT(TODAY(),"yyyy-mm-dd"),G70&gt;=$P$2,K70="",OR(N(J70)&gt;0,N(M69)&gt;0)),"Falta cerrar el Saldo L2 de este dia. ","")&amp;IF(AND(H70&lt;&gt;"",SUMPRODUCT((Registros!$C$2:$C$3000=H70)*ISTEXT(Registros!$AP$2:$AP$3000))&gt;0),"Hay P/L guardado como texto en Registros (no suma). ","")))</f>
        <v/>
      </c>
    </row>
    <row r="71" customFormat="false" ht="15" hidden="false" customHeight="true" outlineLevel="0" collapsed="false">
      <c r="A71" s="13" t="n">
        <f aca="false">IF(D70="","",IF(G70&gt;=$P$2,MIN(D70,C70),D70))</f>
        <v>8</v>
      </c>
      <c r="B71" s="13" t="n">
        <f aca="false">IF(A71="","",A71/8)</f>
        <v>1</v>
      </c>
      <c r="C71" s="13" t="n">
        <f aca="false">IF(OR(A71="",B71=""),"",A71+B71)</f>
        <v>9</v>
      </c>
      <c r="D71" s="13" t="n">
        <f aca="false">IF(A71="","",A71+SUMIFS(Registros!$AP:$AP,Registros!$C:$C,H71))</f>
        <v>8</v>
      </c>
      <c r="E71" s="13" t="n">
        <f aca="false">IF(A71="","",ROUND(A71-8*B71,2))</f>
        <v>0</v>
      </c>
      <c r="F71" s="13" t="n">
        <f aca="false">IF(OR(D71="",C71=""),"",D71-C71)</f>
        <v>-1</v>
      </c>
      <c r="G71" s="20" t="n">
        <f aca="false">IF(G70="","",G70+1)</f>
        <v>70</v>
      </c>
      <c r="H71" s="15"/>
      <c r="I71" s="14"/>
      <c r="J71" s="16" t="str">
        <f aca="false">IF(OR(H71="",D71="",C71="",G71&lt;$P$2),"",MAX(0,ROUND(D71-C71,2)))</f>
        <v/>
      </c>
      <c r="K71" s="17"/>
      <c r="L71" s="16" t="str">
        <f aca="false">IF(NOT(ISNUMBER(K71)),"",ROUND(K71-N(M70)-N(J71),2))</f>
        <v/>
      </c>
      <c r="M71" s="16" t="n">
        <f aca="false">IF(ISNUMBER(K71),K71,N(M70))</f>
        <v>0</v>
      </c>
      <c r="N71" s="0" t="str">
        <f aca="true">IF(AND(H71="",K71=""),"",TRIM(IF(AND(H71&lt;&gt;"",NOT(AND(LEN(H71)=10,MID(H71,5,1)="-",MID(H71,8,1)="-"))),"Fecha con formato invalido (usa AAAA-MM-DD). ","")&amp;IF(AND(H71&lt;&gt;"",COUNTIF($H$2:$H$367,H71)&gt;1),"Fecha repetida en otro dia. ","")&amp;IF(AND(H71&lt;&gt;"",H70&lt;&gt;"",H71&lt;=H70),"La fecha no es posterior a la del dia anterior. ","")&amp;IF(AND(H71&lt;&gt;"",ISNUMBER(A71),ISNUMBER(D70),ISNUMBER(C70),ABS(A71-IF(G70&gt;=$P$2,MIN(D70,C70),D70))&gt;0.005),"Bank roll inicial no sigue la regla del dia anterior (alguien sobrescribio la formula). ","")&amp;IF(AND(H71&lt;&gt;"",ISNUMBER(B71),ISNUMBER(A71),ABS(B71-A71/8)&gt;0.00001),"Stake distinto de Bank roll/8. ","")&amp;IF(AND(H71&lt;&gt;"",ISNUMBER(E71),ABS(E71)&gt;0.005),"Residuo distinto de 0. ","")&amp;IF(AND(K71&lt;&gt;"",OR(NOT(ISNUMBER(K71)),N(K71)&lt;0)),"Saldo L2 no numerico o negativo. ","")&amp;IF(AND(H71&lt;&gt;"",H71&lt;TEXT(TODAY(),"yyyy-mm-dd"),G71&gt;=$P$2,K71="",OR(N(J71)&gt;0,N(M70)&gt;0)),"Falta cerrar el Saldo L2 de este dia. ","")&amp;IF(AND(H71&lt;&gt;"",SUMPRODUCT((Registros!$C$2:$C$3000=H71)*ISTEXT(Registros!$AP$2:$AP$3000))&gt;0),"Hay P/L guardado como texto en Registros (no suma). ","")))</f>
        <v/>
      </c>
    </row>
    <row r="72" customFormat="false" ht="15" hidden="false" customHeight="true" outlineLevel="0" collapsed="false">
      <c r="A72" s="13" t="n">
        <f aca="false">IF(D71="","",IF(G71&gt;=$P$2,MIN(D71,C71),D71))</f>
        <v>8</v>
      </c>
      <c r="B72" s="13" t="n">
        <f aca="false">IF(A72="","",A72/8)</f>
        <v>1</v>
      </c>
      <c r="C72" s="13" t="n">
        <f aca="false">IF(OR(A72="",B72=""),"",A72+B72)</f>
        <v>9</v>
      </c>
      <c r="D72" s="13" t="n">
        <f aca="false">IF(A72="","",A72+SUMIFS(Registros!$AP:$AP,Registros!$C:$C,H72))</f>
        <v>8</v>
      </c>
      <c r="E72" s="13" t="n">
        <f aca="false">IF(A72="","",ROUND(A72-8*B72,2))</f>
        <v>0</v>
      </c>
      <c r="F72" s="13" t="n">
        <f aca="false">IF(OR(D72="",C72=""),"",D72-C72)</f>
        <v>-1</v>
      </c>
      <c r="G72" s="20" t="n">
        <f aca="false">IF(G71="","",G71+1)</f>
        <v>71</v>
      </c>
      <c r="H72" s="15"/>
      <c r="I72" s="14"/>
      <c r="J72" s="16" t="str">
        <f aca="false">IF(OR(H72="",D72="",C72="",G72&lt;$P$2),"",MAX(0,ROUND(D72-C72,2)))</f>
        <v/>
      </c>
      <c r="K72" s="17"/>
      <c r="L72" s="16" t="str">
        <f aca="false">IF(NOT(ISNUMBER(K72)),"",ROUND(K72-N(M71)-N(J72),2))</f>
        <v/>
      </c>
      <c r="M72" s="16" t="n">
        <f aca="false">IF(ISNUMBER(K72),K72,N(M71))</f>
        <v>0</v>
      </c>
      <c r="N72" s="0" t="str">
        <f aca="true">IF(AND(H72="",K72=""),"",TRIM(IF(AND(H72&lt;&gt;"",NOT(AND(LEN(H72)=10,MID(H72,5,1)="-",MID(H72,8,1)="-"))),"Fecha con formato invalido (usa AAAA-MM-DD). ","")&amp;IF(AND(H72&lt;&gt;"",COUNTIF($H$2:$H$367,H72)&gt;1),"Fecha repetida en otro dia. ","")&amp;IF(AND(H72&lt;&gt;"",H71&lt;&gt;"",H72&lt;=H71),"La fecha no es posterior a la del dia anterior. ","")&amp;IF(AND(H72&lt;&gt;"",ISNUMBER(A72),ISNUMBER(D71),ISNUMBER(C71),ABS(A72-IF(G71&gt;=$P$2,MIN(D71,C71),D71))&gt;0.005),"Bank roll inicial no sigue la regla del dia anterior (alguien sobrescribio la formula). ","")&amp;IF(AND(H72&lt;&gt;"",ISNUMBER(B72),ISNUMBER(A72),ABS(B72-A72/8)&gt;0.00001),"Stake distinto de Bank roll/8. ","")&amp;IF(AND(H72&lt;&gt;"",ISNUMBER(E72),ABS(E72)&gt;0.005),"Residuo distinto de 0. ","")&amp;IF(AND(K72&lt;&gt;"",OR(NOT(ISNUMBER(K72)),N(K72)&lt;0)),"Saldo L2 no numerico o negativo. ","")&amp;IF(AND(H72&lt;&gt;"",H72&lt;TEXT(TODAY(),"yyyy-mm-dd"),G72&gt;=$P$2,K72="",OR(N(J72)&gt;0,N(M71)&gt;0)),"Falta cerrar el Saldo L2 de este dia. ","")&amp;IF(AND(H72&lt;&gt;"",SUMPRODUCT((Registros!$C$2:$C$3000=H72)*ISTEXT(Registros!$AP$2:$AP$3000))&gt;0),"Hay P/L guardado como texto en Registros (no suma). ","")))</f>
        <v/>
      </c>
    </row>
    <row r="73" customFormat="false" ht="15" hidden="false" customHeight="true" outlineLevel="0" collapsed="false">
      <c r="A73" s="13" t="n">
        <f aca="false">IF(D72="","",IF(G72&gt;=$P$2,MIN(D72,C72),D72))</f>
        <v>8</v>
      </c>
      <c r="B73" s="13" t="n">
        <f aca="false">IF(A73="","",A73/8)</f>
        <v>1</v>
      </c>
      <c r="C73" s="13" t="n">
        <f aca="false">IF(OR(A73="",B73=""),"",A73+B73)</f>
        <v>9</v>
      </c>
      <c r="D73" s="13" t="n">
        <f aca="false">IF(A73="","",A73+SUMIFS(Registros!$AP:$AP,Registros!$C:$C,H73))</f>
        <v>8</v>
      </c>
      <c r="E73" s="13" t="n">
        <f aca="false">IF(A73="","",ROUND(A73-8*B73,2))</f>
        <v>0</v>
      </c>
      <c r="F73" s="13" t="n">
        <f aca="false">IF(OR(D73="",C73=""),"",D73-C73)</f>
        <v>-1</v>
      </c>
      <c r="G73" s="20" t="n">
        <f aca="false">IF(G72="","",G72+1)</f>
        <v>72</v>
      </c>
      <c r="H73" s="15"/>
      <c r="I73" s="14"/>
      <c r="J73" s="16" t="str">
        <f aca="false">IF(OR(H73="",D73="",C73="",G73&lt;$P$2),"",MAX(0,ROUND(D73-C73,2)))</f>
        <v/>
      </c>
      <c r="K73" s="17"/>
      <c r="L73" s="16" t="str">
        <f aca="false">IF(NOT(ISNUMBER(K73)),"",ROUND(K73-N(M72)-N(J73),2))</f>
        <v/>
      </c>
      <c r="M73" s="16" t="n">
        <f aca="false">IF(ISNUMBER(K73),K73,N(M72))</f>
        <v>0</v>
      </c>
      <c r="N73" s="0" t="str">
        <f aca="true">IF(AND(H73="",K73=""),"",TRIM(IF(AND(H73&lt;&gt;"",NOT(AND(LEN(H73)=10,MID(H73,5,1)="-",MID(H73,8,1)="-"))),"Fecha con formato invalido (usa AAAA-MM-DD). ","")&amp;IF(AND(H73&lt;&gt;"",COUNTIF($H$2:$H$367,H73)&gt;1),"Fecha repetida en otro dia. ","")&amp;IF(AND(H73&lt;&gt;"",H72&lt;&gt;"",H73&lt;=H72),"La fecha no es posterior a la del dia anterior. ","")&amp;IF(AND(H73&lt;&gt;"",ISNUMBER(A73),ISNUMBER(D72),ISNUMBER(C72),ABS(A73-IF(G72&gt;=$P$2,MIN(D72,C72),D72))&gt;0.005),"Bank roll inicial no sigue la regla del dia anterior (alguien sobrescribio la formula). ","")&amp;IF(AND(H73&lt;&gt;"",ISNUMBER(B73),ISNUMBER(A73),ABS(B73-A73/8)&gt;0.00001),"Stake distinto de Bank roll/8. ","")&amp;IF(AND(H73&lt;&gt;"",ISNUMBER(E73),ABS(E73)&gt;0.005),"Residuo distinto de 0. ","")&amp;IF(AND(K73&lt;&gt;"",OR(NOT(ISNUMBER(K73)),N(K73)&lt;0)),"Saldo L2 no numerico o negativo. ","")&amp;IF(AND(H73&lt;&gt;"",H73&lt;TEXT(TODAY(),"yyyy-mm-dd"),G73&gt;=$P$2,K73="",OR(N(J73)&gt;0,N(M72)&gt;0)),"Falta cerrar el Saldo L2 de este dia. ","")&amp;IF(AND(H73&lt;&gt;"",SUMPRODUCT((Registros!$C$2:$C$3000=H73)*ISTEXT(Registros!$AP$2:$AP$3000))&gt;0),"Hay P/L guardado como texto en Registros (no suma). ","")))</f>
        <v/>
      </c>
    </row>
    <row r="74" customFormat="false" ht="15" hidden="false" customHeight="true" outlineLevel="0" collapsed="false">
      <c r="A74" s="13" t="n">
        <f aca="false">IF(D73="","",IF(G73&gt;=$P$2,MIN(D73,C73),D73))</f>
        <v>8</v>
      </c>
      <c r="B74" s="13" t="n">
        <f aca="false">IF(A74="","",A74/8)</f>
        <v>1</v>
      </c>
      <c r="C74" s="13" t="n">
        <f aca="false">IF(OR(A74="",B74=""),"",A74+B74)</f>
        <v>9</v>
      </c>
      <c r="D74" s="13" t="n">
        <f aca="false">IF(A74="","",A74+SUMIFS(Registros!$AP:$AP,Registros!$C:$C,H74))</f>
        <v>8</v>
      </c>
      <c r="E74" s="13" t="n">
        <f aca="false">IF(A74="","",ROUND(A74-8*B74,2))</f>
        <v>0</v>
      </c>
      <c r="F74" s="13" t="n">
        <f aca="false">IF(OR(D74="",C74=""),"",D74-C74)</f>
        <v>-1</v>
      </c>
      <c r="G74" s="20" t="n">
        <f aca="false">IF(G73="","",G73+1)</f>
        <v>73</v>
      </c>
      <c r="H74" s="15"/>
      <c r="I74" s="14"/>
      <c r="J74" s="16" t="str">
        <f aca="false">IF(OR(H74="",D74="",C74="",G74&lt;$P$2),"",MAX(0,ROUND(D74-C74,2)))</f>
        <v/>
      </c>
      <c r="K74" s="17"/>
      <c r="L74" s="16" t="str">
        <f aca="false">IF(NOT(ISNUMBER(K74)),"",ROUND(K74-N(M73)-N(J74),2))</f>
        <v/>
      </c>
      <c r="M74" s="16" t="n">
        <f aca="false">IF(ISNUMBER(K74),K74,N(M73))</f>
        <v>0</v>
      </c>
      <c r="N74" s="0" t="str">
        <f aca="true">IF(AND(H74="",K74=""),"",TRIM(IF(AND(H74&lt;&gt;"",NOT(AND(LEN(H74)=10,MID(H74,5,1)="-",MID(H74,8,1)="-"))),"Fecha con formato invalido (usa AAAA-MM-DD). ","")&amp;IF(AND(H74&lt;&gt;"",COUNTIF($H$2:$H$367,H74)&gt;1),"Fecha repetida en otro dia. ","")&amp;IF(AND(H74&lt;&gt;"",H73&lt;&gt;"",H74&lt;=H73),"La fecha no es posterior a la del dia anterior. ","")&amp;IF(AND(H74&lt;&gt;"",ISNUMBER(A74),ISNUMBER(D73),ISNUMBER(C73),ABS(A74-IF(G73&gt;=$P$2,MIN(D73,C73),D73))&gt;0.005),"Bank roll inicial no sigue la regla del dia anterior (alguien sobrescribio la formula). ","")&amp;IF(AND(H74&lt;&gt;"",ISNUMBER(B74),ISNUMBER(A74),ABS(B74-A74/8)&gt;0.00001),"Stake distinto de Bank roll/8. ","")&amp;IF(AND(H74&lt;&gt;"",ISNUMBER(E74),ABS(E74)&gt;0.005),"Residuo distinto de 0. ","")&amp;IF(AND(K74&lt;&gt;"",OR(NOT(ISNUMBER(K74)),N(K74)&lt;0)),"Saldo L2 no numerico o negativo. ","")&amp;IF(AND(H74&lt;&gt;"",H74&lt;TEXT(TODAY(),"yyyy-mm-dd"),G74&gt;=$P$2,K74="",OR(N(J74)&gt;0,N(M73)&gt;0)),"Falta cerrar el Saldo L2 de este dia. ","")&amp;IF(AND(H74&lt;&gt;"",SUMPRODUCT((Registros!$C$2:$C$3000=H74)*ISTEXT(Registros!$AP$2:$AP$3000))&gt;0),"Hay P/L guardado como texto en Registros (no suma). ","")))</f>
        <v/>
      </c>
    </row>
    <row r="75" customFormat="false" ht="15" hidden="false" customHeight="true" outlineLevel="0" collapsed="false">
      <c r="A75" s="13" t="n">
        <f aca="false">IF(D74="","",IF(G74&gt;=$P$2,MIN(D74,C74),D74))</f>
        <v>8</v>
      </c>
      <c r="B75" s="13" t="n">
        <f aca="false">IF(A75="","",A75/8)</f>
        <v>1</v>
      </c>
      <c r="C75" s="13" t="n">
        <f aca="false">IF(OR(A75="",B75=""),"",A75+B75)</f>
        <v>9</v>
      </c>
      <c r="D75" s="13" t="n">
        <f aca="false">IF(A75="","",A75+SUMIFS(Registros!$AP:$AP,Registros!$C:$C,H75))</f>
        <v>8</v>
      </c>
      <c r="E75" s="13" t="n">
        <f aca="false">IF(A75="","",ROUND(A75-8*B75,2))</f>
        <v>0</v>
      </c>
      <c r="F75" s="13" t="n">
        <f aca="false">IF(OR(D75="",C75=""),"",D75-C75)</f>
        <v>-1</v>
      </c>
      <c r="G75" s="20" t="n">
        <f aca="false">IF(G74="","",G74+1)</f>
        <v>74</v>
      </c>
      <c r="H75" s="15"/>
      <c r="I75" s="14"/>
      <c r="J75" s="16" t="str">
        <f aca="false">IF(OR(H75="",D75="",C75="",G75&lt;$P$2),"",MAX(0,ROUND(D75-C75,2)))</f>
        <v/>
      </c>
      <c r="K75" s="17"/>
      <c r="L75" s="16" t="str">
        <f aca="false">IF(NOT(ISNUMBER(K75)),"",ROUND(K75-N(M74)-N(J75),2))</f>
        <v/>
      </c>
      <c r="M75" s="16" t="n">
        <f aca="false">IF(ISNUMBER(K75),K75,N(M74))</f>
        <v>0</v>
      </c>
      <c r="N75" s="0" t="str">
        <f aca="true">IF(AND(H75="",K75=""),"",TRIM(IF(AND(H75&lt;&gt;"",NOT(AND(LEN(H75)=10,MID(H75,5,1)="-",MID(H75,8,1)="-"))),"Fecha con formato invalido (usa AAAA-MM-DD). ","")&amp;IF(AND(H75&lt;&gt;"",COUNTIF($H$2:$H$367,H75)&gt;1),"Fecha repetida en otro dia. ","")&amp;IF(AND(H75&lt;&gt;"",H74&lt;&gt;"",H75&lt;=H74),"La fecha no es posterior a la del dia anterior. ","")&amp;IF(AND(H75&lt;&gt;"",ISNUMBER(A75),ISNUMBER(D74),ISNUMBER(C74),ABS(A75-IF(G74&gt;=$P$2,MIN(D74,C74),D74))&gt;0.005),"Bank roll inicial no sigue la regla del dia anterior (alguien sobrescribio la formula). ","")&amp;IF(AND(H75&lt;&gt;"",ISNUMBER(B75),ISNUMBER(A75),ABS(B75-A75/8)&gt;0.00001),"Stake distinto de Bank roll/8. ","")&amp;IF(AND(H75&lt;&gt;"",ISNUMBER(E75),ABS(E75)&gt;0.005),"Residuo distinto de 0. ","")&amp;IF(AND(K75&lt;&gt;"",OR(NOT(ISNUMBER(K75)),N(K75)&lt;0)),"Saldo L2 no numerico o negativo. ","")&amp;IF(AND(H75&lt;&gt;"",H75&lt;TEXT(TODAY(),"yyyy-mm-dd"),G75&gt;=$P$2,K75="",OR(N(J75)&gt;0,N(M74)&gt;0)),"Falta cerrar el Saldo L2 de este dia. ","")&amp;IF(AND(H75&lt;&gt;"",SUMPRODUCT((Registros!$C$2:$C$3000=H75)*ISTEXT(Registros!$AP$2:$AP$3000))&gt;0),"Hay P/L guardado como texto en Registros (no suma). ","")))</f>
        <v/>
      </c>
    </row>
    <row r="76" customFormat="false" ht="15" hidden="false" customHeight="true" outlineLevel="0" collapsed="false">
      <c r="A76" s="13" t="n">
        <f aca="false">IF(D75="","",IF(G75&gt;=$P$2,MIN(D75,C75),D75))</f>
        <v>8</v>
      </c>
      <c r="B76" s="13" t="n">
        <f aca="false">IF(A76="","",A76/8)</f>
        <v>1</v>
      </c>
      <c r="C76" s="13" t="n">
        <f aca="false">IF(OR(A76="",B76=""),"",A76+B76)</f>
        <v>9</v>
      </c>
      <c r="D76" s="13" t="n">
        <f aca="false">IF(A76="","",A76+SUMIFS(Registros!$AP:$AP,Registros!$C:$C,H76))</f>
        <v>8</v>
      </c>
      <c r="E76" s="13" t="n">
        <f aca="false">IF(A76="","",ROUND(A76-8*B76,2))</f>
        <v>0</v>
      </c>
      <c r="F76" s="13" t="n">
        <f aca="false">IF(OR(D76="",C76=""),"",D76-C76)</f>
        <v>-1</v>
      </c>
      <c r="G76" s="20" t="n">
        <f aca="false">IF(G75="","",G75+1)</f>
        <v>75</v>
      </c>
      <c r="H76" s="15"/>
      <c r="I76" s="14"/>
      <c r="J76" s="16" t="str">
        <f aca="false">IF(OR(H76="",D76="",C76="",G76&lt;$P$2),"",MAX(0,ROUND(D76-C76,2)))</f>
        <v/>
      </c>
      <c r="K76" s="17"/>
      <c r="L76" s="16" t="str">
        <f aca="false">IF(NOT(ISNUMBER(K76)),"",ROUND(K76-N(M75)-N(J76),2))</f>
        <v/>
      </c>
      <c r="M76" s="16" t="n">
        <f aca="false">IF(ISNUMBER(K76),K76,N(M75))</f>
        <v>0</v>
      </c>
      <c r="N76" s="0" t="str">
        <f aca="true">IF(AND(H76="",K76=""),"",TRIM(IF(AND(H76&lt;&gt;"",NOT(AND(LEN(H76)=10,MID(H76,5,1)="-",MID(H76,8,1)="-"))),"Fecha con formato invalido (usa AAAA-MM-DD). ","")&amp;IF(AND(H76&lt;&gt;"",COUNTIF($H$2:$H$367,H76)&gt;1),"Fecha repetida en otro dia. ","")&amp;IF(AND(H76&lt;&gt;"",H75&lt;&gt;"",H76&lt;=H75),"La fecha no es posterior a la del dia anterior. ","")&amp;IF(AND(H76&lt;&gt;"",ISNUMBER(A76),ISNUMBER(D75),ISNUMBER(C75),ABS(A76-IF(G75&gt;=$P$2,MIN(D75,C75),D75))&gt;0.005),"Bank roll inicial no sigue la regla del dia anterior (alguien sobrescribio la formula). ","")&amp;IF(AND(H76&lt;&gt;"",ISNUMBER(B76),ISNUMBER(A76),ABS(B76-A76/8)&gt;0.00001),"Stake distinto de Bank roll/8. ","")&amp;IF(AND(H76&lt;&gt;"",ISNUMBER(E76),ABS(E76)&gt;0.005),"Residuo distinto de 0. ","")&amp;IF(AND(K76&lt;&gt;"",OR(NOT(ISNUMBER(K76)),N(K76)&lt;0)),"Saldo L2 no numerico o negativo. ","")&amp;IF(AND(H76&lt;&gt;"",H76&lt;TEXT(TODAY(),"yyyy-mm-dd"),G76&gt;=$P$2,K76="",OR(N(J76)&gt;0,N(M75)&gt;0)),"Falta cerrar el Saldo L2 de este dia. ","")&amp;IF(AND(H76&lt;&gt;"",SUMPRODUCT((Registros!$C$2:$C$3000=H76)*ISTEXT(Registros!$AP$2:$AP$3000))&gt;0),"Hay P/L guardado como texto en Registros (no suma). ","")))</f>
        <v/>
      </c>
    </row>
    <row r="77" customFormat="false" ht="15" hidden="false" customHeight="true" outlineLevel="0" collapsed="false">
      <c r="A77" s="13" t="n">
        <f aca="false">IF(D76="","",IF(G76&gt;=$P$2,MIN(D76,C76),D76))</f>
        <v>8</v>
      </c>
      <c r="B77" s="13" t="n">
        <f aca="false">IF(A77="","",A77/8)</f>
        <v>1</v>
      </c>
      <c r="C77" s="13" t="n">
        <f aca="false">IF(OR(A77="",B77=""),"",A77+B77)</f>
        <v>9</v>
      </c>
      <c r="D77" s="13" t="n">
        <f aca="false">IF(A77="","",A77+SUMIFS(Registros!$AP:$AP,Registros!$C:$C,H77))</f>
        <v>8</v>
      </c>
      <c r="E77" s="13" t="n">
        <f aca="false">IF(A77="","",ROUND(A77-8*B77,2))</f>
        <v>0</v>
      </c>
      <c r="F77" s="13" t="n">
        <f aca="false">IF(OR(D77="",C77=""),"",D77-C77)</f>
        <v>-1</v>
      </c>
      <c r="G77" s="20" t="n">
        <f aca="false">IF(G76="","",G76+1)</f>
        <v>76</v>
      </c>
      <c r="H77" s="15"/>
      <c r="I77" s="14"/>
      <c r="J77" s="16" t="str">
        <f aca="false">IF(OR(H77="",D77="",C77="",G77&lt;$P$2),"",MAX(0,ROUND(D77-C77,2)))</f>
        <v/>
      </c>
      <c r="K77" s="17"/>
      <c r="L77" s="16" t="str">
        <f aca="false">IF(NOT(ISNUMBER(K77)),"",ROUND(K77-N(M76)-N(J77),2))</f>
        <v/>
      </c>
      <c r="M77" s="16" t="n">
        <f aca="false">IF(ISNUMBER(K77),K77,N(M76))</f>
        <v>0</v>
      </c>
      <c r="N77" s="0" t="str">
        <f aca="true">IF(AND(H77="",K77=""),"",TRIM(IF(AND(H77&lt;&gt;"",NOT(AND(LEN(H77)=10,MID(H77,5,1)="-",MID(H77,8,1)="-"))),"Fecha con formato invalido (usa AAAA-MM-DD). ","")&amp;IF(AND(H77&lt;&gt;"",COUNTIF($H$2:$H$367,H77)&gt;1),"Fecha repetida en otro dia. ","")&amp;IF(AND(H77&lt;&gt;"",H76&lt;&gt;"",H77&lt;=H76),"La fecha no es posterior a la del dia anterior. ","")&amp;IF(AND(H77&lt;&gt;"",ISNUMBER(A77),ISNUMBER(D76),ISNUMBER(C76),ABS(A77-IF(G76&gt;=$P$2,MIN(D76,C76),D76))&gt;0.005),"Bank roll inicial no sigue la regla del dia anterior (alguien sobrescribio la formula). ","")&amp;IF(AND(H77&lt;&gt;"",ISNUMBER(B77),ISNUMBER(A77),ABS(B77-A77/8)&gt;0.00001),"Stake distinto de Bank roll/8. ","")&amp;IF(AND(H77&lt;&gt;"",ISNUMBER(E77),ABS(E77)&gt;0.005),"Residuo distinto de 0. ","")&amp;IF(AND(K77&lt;&gt;"",OR(NOT(ISNUMBER(K77)),N(K77)&lt;0)),"Saldo L2 no numerico o negativo. ","")&amp;IF(AND(H77&lt;&gt;"",H77&lt;TEXT(TODAY(),"yyyy-mm-dd"),G77&gt;=$P$2,K77="",OR(N(J77)&gt;0,N(M76)&gt;0)),"Falta cerrar el Saldo L2 de este dia. ","")&amp;IF(AND(H77&lt;&gt;"",SUMPRODUCT((Registros!$C$2:$C$3000=H77)*ISTEXT(Registros!$AP$2:$AP$3000))&gt;0),"Hay P/L guardado como texto en Registros (no suma). ","")))</f>
        <v/>
      </c>
    </row>
    <row r="78" customFormat="false" ht="15" hidden="false" customHeight="true" outlineLevel="0" collapsed="false">
      <c r="A78" s="13" t="n">
        <f aca="false">IF(D77="","",IF(G77&gt;=$P$2,MIN(D77,C77),D77))</f>
        <v>8</v>
      </c>
      <c r="B78" s="13" t="n">
        <f aca="false">IF(A78="","",A78/8)</f>
        <v>1</v>
      </c>
      <c r="C78" s="13" t="n">
        <f aca="false">IF(OR(A78="",B78=""),"",A78+B78)</f>
        <v>9</v>
      </c>
      <c r="D78" s="13" t="n">
        <f aca="false">IF(A78="","",A78+SUMIFS(Registros!$AP:$AP,Registros!$C:$C,H78))</f>
        <v>8</v>
      </c>
      <c r="E78" s="13" t="n">
        <f aca="false">IF(A78="","",ROUND(A78-8*B78,2))</f>
        <v>0</v>
      </c>
      <c r="F78" s="13" t="n">
        <f aca="false">IF(OR(D78="",C78=""),"",D78-C78)</f>
        <v>-1</v>
      </c>
      <c r="G78" s="20" t="n">
        <f aca="false">IF(G77="","",G77+1)</f>
        <v>77</v>
      </c>
      <c r="H78" s="15"/>
      <c r="I78" s="14"/>
      <c r="J78" s="16" t="str">
        <f aca="false">IF(OR(H78="",D78="",C78="",G78&lt;$P$2),"",MAX(0,ROUND(D78-C78,2)))</f>
        <v/>
      </c>
      <c r="K78" s="17"/>
      <c r="L78" s="16" t="str">
        <f aca="false">IF(NOT(ISNUMBER(K78)),"",ROUND(K78-N(M77)-N(J78),2))</f>
        <v/>
      </c>
      <c r="M78" s="16" t="n">
        <f aca="false">IF(ISNUMBER(K78),K78,N(M77))</f>
        <v>0</v>
      </c>
      <c r="N78" s="0" t="str">
        <f aca="true">IF(AND(H78="",K78=""),"",TRIM(IF(AND(H78&lt;&gt;"",NOT(AND(LEN(H78)=10,MID(H78,5,1)="-",MID(H78,8,1)="-"))),"Fecha con formato invalido (usa AAAA-MM-DD). ","")&amp;IF(AND(H78&lt;&gt;"",COUNTIF($H$2:$H$367,H78)&gt;1),"Fecha repetida en otro dia. ","")&amp;IF(AND(H78&lt;&gt;"",H77&lt;&gt;"",H78&lt;=H77),"La fecha no es posterior a la del dia anterior. ","")&amp;IF(AND(H78&lt;&gt;"",ISNUMBER(A78),ISNUMBER(D77),ISNUMBER(C77),ABS(A78-IF(G77&gt;=$P$2,MIN(D77,C77),D77))&gt;0.005),"Bank roll inicial no sigue la regla del dia anterior (alguien sobrescribio la formula). ","")&amp;IF(AND(H78&lt;&gt;"",ISNUMBER(B78),ISNUMBER(A78),ABS(B78-A78/8)&gt;0.00001),"Stake distinto de Bank roll/8. ","")&amp;IF(AND(H78&lt;&gt;"",ISNUMBER(E78),ABS(E78)&gt;0.005),"Residuo distinto de 0. ","")&amp;IF(AND(K78&lt;&gt;"",OR(NOT(ISNUMBER(K78)),N(K78)&lt;0)),"Saldo L2 no numerico o negativo. ","")&amp;IF(AND(H78&lt;&gt;"",H78&lt;TEXT(TODAY(),"yyyy-mm-dd"),G78&gt;=$P$2,K78="",OR(N(J78)&gt;0,N(M77)&gt;0)),"Falta cerrar el Saldo L2 de este dia. ","")&amp;IF(AND(H78&lt;&gt;"",SUMPRODUCT((Registros!$C$2:$C$3000=H78)*ISTEXT(Registros!$AP$2:$AP$3000))&gt;0),"Hay P/L guardado como texto en Registros (no suma). ","")))</f>
        <v/>
      </c>
    </row>
    <row r="79" customFormat="false" ht="15" hidden="false" customHeight="true" outlineLevel="0" collapsed="false">
      <c r="A79" s="13" t="n">
        <f aca="false">IF(D78="","",IF(G78&gt;=$P$2,MIN(D78,C78),D78))</f>
        <v>8</v>
      </c>
      <c r="B79" s="13" t="n">
        <f aca="false">IF(A79="","",A79/8)</f>
        <v>1</v>
      </c>
      <c r="C79" s="13" t="n">
        <f aca="false">IF(OR(A79="",B79=""),"",A79+B79)</f>
        <v>9</v>
      </c>
      <c r="D79" s="13" t="n">
        <f aca="false">IF(A79="","",A79+SUMIFS(Registros!$AP:$AP,Registros!$C:$C,H79))</f>
        <v>8</v>
      </c>
      <c r="E79" s="13" t="n">
        <f aca="false">IF(A79="","",ROUND(A79-8*B79,2))</f>
        <v>0</v>
      </c>
      <c r="F79" s="13" t="n">
        <f aca="false">IF(OR(D79="",C79=""),"",D79-C79)</f>
        <v>-1</v>
      </c>
      <c r="G79" s="20" t="n">
        <f aca="false">IF(G78="","",G78+1)</f>
        <v>78</v>
      </c>
      <c r="H79" s="15"/>
      <c r="I79" s="14"/>
      <c r="J79" s="16" t="str">
        <f aca="false">IF(OR(H79="",D79="",C79="",G79&lt;$P$2),"",MAX(0,ROUND(D79-C79,2)))</f>
        <v/>
      </c>
      <c r="K79" s="17"/>
      <c r="L79" s="16" t="str">
        <f aca="false">IF(NOT(ISNUMBER(K79)),"",ROUND(K79-N(M78)-N(J79),2))</f>
        <v/>
      </c>
      <c r="M79" s="16" t="n">
        <f aca="false">IF(ISNUMBER(K79),K79,N(M78))</f>
        <v>0</v>
      </c>
      <c r="N79" s="0" t="str">
        <f aca="true">IF(AND(H79="",K79=""),"",TRIM(IF(AND(H79&lt;&gt;"",NOT(AND(LEN(H79)=10,MID(H79,5,1)="-",MID(H79,8,1)="-"))),"Fecha con formato invalido (usa AAAA-MM-DD). ","")&amp;IF(AND(H79&lt;&gt;"",COUNTIF($H$2:$H$367,H79)&gt;1),"Fecha repetida en otro dia. ","")&amp;IF(AND(H79&lt;&gt;"",H78&lt;&gt;"",H79&lt;=H78),"La fecha no es posterior a la del dia anterior. ","")&amp;IF(AND(H79&lt;&gt;"",ISNUMBER(A79),ISNUMBER(D78),ISNUMBER(C78),ABS(A79-IF(G78&gt;=$P$2,MIN(D78,C78),D78))&gt;0.005),"Bank roll inicial no sigue la regla del dia anterior (alguien sobrescribio la formula). ","")&amp;IF(AND(H79&lt;&gt;"",ISNUMBER(B79),ISNUMBER(A79),ABS(B79-A79/8)&gt;0.00001),"Stake distinto de Bank roll/8. ","")&amp;IF(AND(H79&lt;&gt;"",ISNUMBER(E79),ABS(E79)&gt;0.005),"Residuo distinto de 0. ","")&amp;IF(AND(K79&lt;&gt;"",OR(NOT(ISNUMBER(K79)),N(K79)&lt;0)),"Saldo L2 no numerico o negativo. ","")&amp;IF(AND(H79&lt;&gt;"",H79&lt;TEXT(TODAY(),"yyyy-mm-dd"),G79&gt;=$P$2,K79="",OR(N(J79)&gt;0,N(M78)&gt;0)),"Falta cerrar el Saldo L2 de este dia. ","")&amp;IF(AND(H79&lt;&gt;"",SUMPRODUCT((Registros!$C$2:$C$3000=H79)*ISTEXT(Registros!$AP$2:$AP$3000))&gt;0),"Hay P/L guardado como texto en Registros (no suma). ","")))</f>
        <v/>
      </c>
    </row>
    <row r="80" customFormat="false" ht="15" hidden="false" customHeight="true" outlineLevel="0" collapsed="false">
      <c r="A80" s="13" t="n">
        <f aca="false">IF(D79="","",IF(G79&gt;=$P$2,MIN(D79,C79),D79))</f>
        <v>8</v>
      </c>
      <c r="B80" s="13" t="n">
        <f aca="false">IF(A80="","",A80/8)</f>
        <v>1</v>
      </c>
      <c r="C80" s="13" t="n">
        <f aca="false">IF(OR(A80="",B80=""),"",A80+B80)</f>
        <v>9</v>
      </c>
      <c r="D80" s="13" t="n">
        <f aca="false">IF(A80="","",A80+SUMIFS(Registros!$AP:$AP,Registros!$C:$C,H80))</f>
        <v>8</v>
      </c>
      <c r="E80" s="13" t="n">
        <f aca="false">IF(A80="","",ROUND(A80-8*B80,2))</f>
        <v>0</v>
      </c>
      <c r="F80" s="13" t="n">
        <f aca="false">IF(OR(D80="",C80=""),"",D80-C80)</f>
        <v>-1</v>
      </c>
      <c r="G80" s="20" t="n">
        <f aca="false">IF(G79="","",G79+1)</f>
        <v>79</v>
      </c>
      <c r="H80" s="15"/>
      <c r="I80" s="14"/>
      <c r="J80" s="16" t="str">
        <f aca="false">IF(OR(H80="",D80="",C80="",G80&lt;$P$2),"",MAX(0,ROUND(D80-C80,2)))</f>
        <v/>
      </c>
      <c r="K80" s="17"/>
      <c r="L80" s="16" t="str">
        <f aca="false">IF(NOT(ISNUMBER(K80)),"",ROUND(K80-N(M79)-N(J80),2))</f>
        <v/>
      </c>
      <c r="M80" s="16" t="n">
        <f aca="false">IF(ISNUMBER(K80),K80,N(M79))</f>
        <v>0</v>
      </c>
      <c r="N80" s="0" t="str">
        <f aca="true">IF(AND(H80="",K80=""),"",TRIM(IF(AND(H80&lt;&gt;"",NOT(AND(LEN(H80)=10,MID(H80,5,1)="-",MID(H80,8,1)="-"))),"Fecha con formato invalido (usa AAAA-MM-DD). ","")&amp;IF(AND(H80&lt;&gt;"",COUNTIF($H$2:$H$367,H80)&gt;1),"Fecha repetida en otro dia. ","")&amp;IF(AND(H80&lt;&gt;"",H79&lt;&gt;"",H80&lt;=H79),"La fecha no es posterior a la del dia anterior. ","")&amp;IF(AND(H80&lt;&gt;"",ISNUMBER(A80),ISNUMBER(D79),ISNUMBER(C79),ABS(A80-IF(G79&gt;=$P$2,MIN(D79,C79),D79))&gt;0.005),"Bank roll inicial no sigue la regla del dia anterior (alguien sobrescribio la formula). ","")&amp;IF(AND(H80&lt;&gt;"",ISNUMBER(B80),ISNUMBER(A80),ABS(B80-A80/8)&gt;0.00001),"Stake distinto de Bank roll/8. ","")&amp;IF(AND(H80&lt;&gt;"",ISNUMBER(E80),ABS(E80)&gt;0.005),"Residuo distinto de 0. ","")&amp;IF(AND(K80&lt;&gt;"",OR(NOT(ISNUMBER(K80)),N(K80)&lt;0)),"Saldo L2 no numerico o negativo. ","")&amp;IF(AND(H80&lt;&gt;"",H80&lt;TEXT(TODAY(),"yyyy-mm-dd"),G80&gt;=$P$2,K80="",OR(N(J80)&gt;0,N(M79)&gt;0)),"Falta cerrar el Saldo L2 de este dia. ","")&amp;IF(AND(H80&lt;&gt;"",SUMPRODUCT((Registros!$C$2:$C$3000=H80)*ISTEXT(Registros!$AP$2:$AP$3000))&gt;0),"Hay P/L guardado como texto en Registros (no suma). ","")))</f>
        <v/>
      </c>
    </row>
    <row r="81" customFormat="false" ht="15" hidden="false" customHeight="true" outlineLevel="0" collapsed="false">
      <c r="A81" s="13" t="n">
        <f aca="false">IF(D80="","",IF(G80&gt;=$P$2,MIN(D80,C80),D80))</f>
        <v>8</v>
      </c>
      <c r="B81" s="13" t="n">
        <f aca="false">IF(A81="","",A81/8)</f>
        <v>1</v>
      </c>
      <c r="C81" s="13" t="n">
        <f aca="false">IF(OR(A81="",B81=""),"",A81+B81)</f>
        <v>9</v>
      </c>
      <c r="D81" s="13" t="n">
        <f aca="false">IF(A81="","",A81+SUMIFS(Registros!$AP:$AP,Registros!$C:$C,H81))</f>
        <v>8</v>
      </c>
      <c r="E81" s="13" t="n">
        <f aca="false">IF(A81="","",ROUND(A81-8*B81,2))</f>
        <v>0</v>
      </c>
      <c r="F81" s="13" t="n">
        <f aca="false">IF(OR(D81="",C81=""),"",D81-C81)</f>
        <v>-1</v>
      </c>
      <c r="G81" s="20" t="n">
        <f aca="false">IF(G80="","",G80+1)</f>
        <v>80</v>
      </c>
      <c r="H81" s="15"/>
      <c r="I81" s="14"/>
      <c r="J81" s="16" t="str">
        <f aca="false">IF(OR(H81="",D81="",C81="",G81&lt;$P$2),"",MAX(0,ROUND(D81-C81,2)))</f>
        <v/>
      </c>
      <c r="K81" s="17"/>
      <c r="L81" s="16" t="str">
        <f aca="false">IF(NOT(ISNUMBER(K81)),"",ROUND(K81-N(M80)-N(J81),2))</f>
        <v/>
      </c>
      <c r="M81" s="16" t="n">
        <f aca="false">IF(ISNUMBER(K81),K81,N(M80))</f>
        <v>0</v>
      </c>
      <c r="N81" s="0" t="str">
        <f aca="true">IF(AND(H81="",K81=""),"",TRIM(IF(AND(H81&lt;&gt;"",NOT(AND(LEN(H81)=10,MID(H81,5,1)="-",MID(H81,8,1)="-"))),"Fecha con formato invalido (usa AAAA-MM-DD). ","")&amp;IF(AND(H81&lt;&gt;"",COUNTIF($H$2:$H$367,H81)&gt;1),"Fecha repetida en otro dia. ","")&amp;IF(AND(H81&lt;&gt;"",H80&lt;&gt;"",H81&lt;=H80),"La fecha no es posterior a la del dia anterior. ","")&amp;IF(AND(H81&lt;&gt;"",ISNUMBER(A81),ISNUMBER(D80),ISNUMBER(C80),ABS(A81-IF(G80&gt;=$P$2,MIN(D80,C80),D80))&gt;0.005),"Bank roll inicial no sigue la regla del dia anterior (alguien sobrescribio la formula). ","")&amp;IF(AND(H81&lt;&gt;"",ISNUMBER(B81),ISNUMBER(A81),ABS(B81-A81/8)&gt;0.00001),"Stake distinto de Bank roll/8. ","")&amp;IF(AND(H81&lt;&gt;"",ISNUMBER(E81),ABS(E81)&gt;0.005),"Residuo distinto de 0. ","")&amp;IF(AND(K81&lt;&gt;"",OR(NOT(ISNUMBER(K81)),N(K81)&lt;0)),"Saldo L2 no numerico o negativo. ","")&amp;IF(AND(H81&lt;&gt;"",H81&lt;TEXT(TODAY(),"yyyy-mm-dd"),G81&gt;=$P$2,K81="",OR(N(J81)&gt;0,N(M80)&gt;0)),"Falta cerrar el Saldo L2 de este dia. ","")&amp;IF(AND(H81&lt;&gt;"",SUMPRODUCT((Registros!$C$2:$C$3000=H81)*ISTEXT(Registros!$AP$2:$AP$3000))&gt;0),"Hay P/L guardado como texto en Registros (no suma). ","")))</f>
        <v/>
      </c>
    </row>
    <row r="82" customFormat="false" ht="15" hidden="false" customHeight="true" outlineLevel="0" collapsed="false">
      <c r="A82" s="13" t="n">
        <f aca="false">IF(D81="","",IF(G81&gt;=$P$2,MIN(D81,C81),D81))</f>
        <v>8</v>
      </c>
      <c r="B82" s="13" t="n">
        <f aca="false">IF(A82="","",A82/8)</f>
        <v>1</v>
      </c>
      <c r="C82" s="13" t="n">
        <f aca="false">IF(OR(A82="",B82=""),"",A82+B82)</f>
        <v>9</v>
      </c>
      <c r="D82" s="13" t="n">
        <f aca="false">IF(A82="","",A82+SUMIFS(Registros!$AP:$AP,Registros!$C:$C,H82))</f>
        <v>8</v>
      </c>
      <c r="E82" s="13" t="n">
        <f aca="false">IF(A82="","",ROUND(A82-8*B82,2))</f>
        <v>0</v>
      </c>
      <c r="F82" s="13" t="n">
        <f aca="false">IF(OR(D82="",C82=""),"",D82-C82)</f>
        <v>-1</v>
      </c>
      <c r="G82" s="20" t="n">
        <f aca="false">IF(G81="","",G81+1)</f>
        <v>81</v>
      </c>
      <c r="H82" s="15"/>
      <c r="I82" s="14"/>
      <c r="J82" s="16" t="str">
        <f aca="false">IF(OR(H82="",D82="",C82="",G82&lt;$P$2),"",MAX(0,ROUND(D82-C82,2)))</f>
        <v/>
      </c>
      <c r="K82" s="17"/>
      <c r="L82" s="16" t="str">
        <f aca="false">IF(NOT(ISNUMBER(K82)),"",ROUND(K82-N(M81)-N(J82),2))</f>
        <v/>
      </c>
      <c r="M82" s="16" t="n">
        <f aca="false">IF(ISNUMBER(K82),K82,N(M81))</f>
        <v>0</v>
      </c>
      <c r="N82" s="0" t="str">
        <f aca="true">IF(AND(H82="",K82=""),"",TRIM(IF(AND(H82&lt;&gt;"",NOT(AND(LEN(H82)=10,MID(H82,5,1)="-",MID(H82,8,1)="-"))),"Fecha con formato invalido (usa AAAA-MM-DD). ","")&amp;IF(AND(H82&lt;&gt;"",COUNTIF($H$2:$H$367,H82)&gt;1),"Fecha repetida en otro dia. ","")&amp;IF(AND(H82&lt;&gt;"",H81&lt;&gt;"",H82&lt;=H81),"La fecha no es posterior a la del dia anterior. ","")&amp;IF(AND(H82&lt;&gt;"",ISNUMBER(A82),ISNUMBER(D81),ISNUMBER(C81),ABS(A82-IF(G81&gt;=$P$2,MIN(D81,C81),D81))&gt;0.005),"Bank roll inicial no sigue la regla del dia anterior (alguien sobrescribio la formula). ","")&amp;IF(AND(H82&lt;&gt;"",ISNUMBER(B82),ISNUMBER(A82),ABS(B82-A82/8)&gt;0.00001),"Stake distinto de Bank roll/8. ","")&amp;IF(AND(H82&lt;&gt;"",ISNUMBER(E82),ABS(E82)&gt;0.005),"Residuo distinto de 0. ","")&amp;IF(AND(K82&lt;&gt;"",OR(NOT(ISNUMBER(K82)),N(K82)&lt;0)),"Saldo L2 no numerico o negativo. ","")&amp;IF(AND(H82&lt;&gt;"",H82&lt;TEXT(TODAY(),"yyyy-mm-dd"),G82&gt;=$P$2,K82="",OR(N(J82)&gt;0,N(M81)&gt;0)),"Falta cerrar el Saldo L2 de este dia. ","")&amp;IF(AND(H82&lt;&gt;"",SUMPRODUCT((Registros!$C$2:$C$3000=H82)*ISTEXT(Registros!$AP$2:$AP$3000))&gt;0),"Hay P/L guardado como texto en Registros (no suma). ","")))</f>
        <v/>
      </c>
    </row>
    <row r="83" customFormat="false" ht="15" hidden="false" customHeight="true" outlineLevel="0" collapsed="false">
      <c r="A83" s="13" t="n">
        <f aca="false">IF(D82="","",IF(G82&gt;=$P$2,MIN(D82,C82),D82))</f>
        <v>8</v>
      </c>
      <c r="B83" s="13" t="n">
        <f aca="false">IF(A83="","",A83/8)</f>
        <v>1</v>
      </c>
      <c r="C83" s="13" t="n">
        <f aca="false">IF(OR(A83="",B83=""),"",A83+B83)</f>
        <v>9</v>
      </c>
      <c r="D83" s="13" t="n">
        <f aca="false">IF(A83="","",A83+SUMIFS(Registros!$AP:$AP,Registros!$C:$C,H83))</f>
        <v>8</v>
      </c>
      <c r="E83" s="13" t="n">
        <f aca="false">IF(A83="","",ROUND(A83-8*B83,2))</f>
        <v>0</v>
      </c>
      <c r="F83" s="13" t="n">
        <f aca="false">IF(OR(D83="",C83=""),"",D83-C83)</f>
        <v>-1</v>
      </c>
      <c r="G83" s="20" t="n">
        <f aca="false">IF(G82="","",G82+1)</f>
        <v>82</v>
      </c>
      <c r="H83" s="15"/>
      <c r="I83" s="14"/>
      <c r="J83" s="16" t="str">
        <f aca="false">IF(OR(H83="",D83="",C83="",G83&lt;$P$2),"",MAX(0,ROUND(D83-C83,2)))</f>
        <v/>
      </c>
      <c r="K83" s="17"/>
      <c r="L83" s="16" t="str">
        <f aca="false">IF(NOT(ISNUMBER(K83)),"",ROUND(K83-N(M82)-N(J83),2))</f>
        <v/>
      </c>
      <c r="M83" s="16" t="n">
        <f aca="false">IF(ISNUMBER(K83),K83,N(M82))</f>
        <v>0</v>
      </c>
      <c r="N83" s="0" t="str">
        <f aca="true">IF(AND(H83="",K83=""),"",TRIM(IF(AND(H83&lt;&gt;"",NOT(AND(LEN(H83)=10,MID(H83,5,1)="-",MID(H83,8,1)="-"))),"Fecha con formato invalido (usa AAAA-MM-DD). ","")&amp;IF(AND(H83&lt;&gt;"",COUNTIF($H$2:$H$367,H83)&gt;1),"Fecha repetida en otro dia. ","")&amp;IF(AND(H83&lt;&gt;"",H82&lt;&gt;"",H83&lt;=H82),"La fecha no es posterior a la del dia anterior. ","")&amp;IF(AND(H83&lt;&gt;"",ISNUMBER(A83),ISNUMBER(D82),ISNUMBER(C82),ABS(A83-IF(G82&gt;=$P$2,MIN(D82,C82),D82))&gt;0.005),"Bank roll inicial no sigue la regla del dia anterior (alguien sobrescribio la formula). ","")&amp;IF(AND(H83&lt;&gt;"",ISNUMBER(B83),ISNUMBER(A83),ABS(B83-A83/8)&gt;0.00001),"Stake distinto de Bank roll/8. ","")&amp;IF(AND(H83&lt;&gt;"",ISNUMBER(E83),ABS(E83)&gt;0.005),"Residuo distinto de 0. ","")&amp;IF(AND(K83&lt;&gt;"",OR(NOT(ISNUMBER(K83)),N(K83)&lt;0)),"Saldo L2 no numerico o negativo. ","")&amp;IF(AND(H83&lt;&gt;"",H83&lt;TEXT(TODAY(),"yyyy-mm-dd"),G83&gt;=$P$2,K83="",OR(N(J83)&gt;0,N(M82)&gt;0)),"Falta cerrar el Saldo L2 de este dia. ","")&amp;IF(AND(H83&lt;&gt;"",SUMPRODUCT((Registros!$C$2:$C$3000=H83)*ISTEXT(Registros!$AP$2:$AP$3000))&gt;0),"Hay P/L guardado como texto en Registros (no suma). ","")))</f>
        <v/>
      </c>
    </row>
    <row r="84" customFormat="false" ht="15" hidden="false" customHeight="true" outlineLevel="0" collapsed="false">
      <c r="A84" s="13" t="n">
        <f aca="false">IF(D83="","",IF(G83&gt;=$P$2,MIN(D83,C83),D83))</f>
        <v>8</v>
      </c>
      <c r="B84" s="13" t="n">
        <f aca="false">IF(A84="","",A84/8)</f>
        <v>1</v>
      </c>
      <c r="C84" s="13" t="n">
        <f aca="false">IF(OR(A84="",B84=""),"",A84+B84)</f>
        <v>9</v>
      </c>
      <c r="D84" s="13" t="n">
        <f aca="false">IF(A84="","",A84+SUMIFS(Registros!$AP:$AP,Registros!$C:$C,H84))</f>
        <v>8</v>
      </c>
      <c r="E84" s="13" t="n">
        <f aca="false">IF(A84="","",ROUND(A84-8*B84,2))</f>
        <v>0</v>
      </c>
      <c r="F84" s="13" t="n">
        <f aca="false">IF(OR(D84="",C84=""),"",D84-C84)</f>
        <v>-1</v>
      </c>
      <c r="G84" s="20" t="n">
        <f aca="false">IF(G83="","",G83+1)</f>
        <v>83</v>
      </c>
      <c r="H84" s="15"/>
      <c r="I84" s="14"/>
      <c r="J84" s="16" t="str">
        <f aca="false">IF(OR(H84="",D84="",C84="",G84&lt;$P$2),"",MAX(0,ROUND(D84-C84,2)))</f>
        <v/>
      </c>
      <c r="K84" s="17"/>
      <c r="L84" s="16" t="str">
        <f aca="false">IF(NOT(ISNUMBER(K84)),"",ROUND(K84-N(M83)-N(J84),2))</f>
        <v/>
      </c>
      <c r="M84" s="16" t="n">
        <f aca="false">IF(ISNUMBER(K84),K84,N(M83))</f>
        <v>0</v>
      </c>
      <c r="N84" s="0" t="str">
        <f aca="true">IF(AND(H84="",K84=""),"",TRIM(IF(AND(H84&lt;&gt;"",NOT(AND(LEN(H84)=10,MID(H84,5,1)="-",MID(H84,8,1)="-"))),"Fecha con formato invalido (usa AAAA-MM-DD). ","")&amp;IF(AND(H84&lt;&gt;"",COUNTIF($H$2:$H$367,H84)&gt;1),"Fecha repetida en otro dia. ","")&amp;IF(AND(H84&lt;&gt;"",H83&lt;&gt;"",H84&lt;=H83),"La fecha no es posterior a la del dia anterior. ","")&amp;IF(AND(H84&lt;&gt;"",ISNUMBER(A84),ISNUMBER(D83),ISNUMBER(C83),ABS(A84-IF(G83&gt;=$P$2,MIN(D83,C83),D83))&gt;0.005),"Bank roll inicial no sigue la regla del dia anterior (alguien sobrescribio la formula). ","")&amp;IF(AND(H84&lt;&gt;"",ISNUMBER(B84),ISNUMBER(A84),ABS(B84-A84/8)&gt;0.00001),"Stake distinto de Bank roll/8. ","")&amp;IF(AND(H84&lt;&gt;"",ISNUMBER(E84),ABS(E84)&gt;0.005),"Residuo distinto de 0. ","")&amp;IF(AND(K84&lt;&gt;"",OR(NOT(ISNUMBER(K84)),N(K84)&lt;0)),"Saldo L2 no numerico o negativo. ","")&amp;IF(AND(H84&lt;&gt;"",H84&lt;TEXT(TODAY(),"yyyy-mm-dd"),G84&gt;=$P$2,K84="",OR(N(J84)&gt;0,N(M83)&gt;0)),"Falta cerrar el Saldo L2 de este dia. ","")&amp;IF(AND(H84&lt;&gt;"",SUMPRODUCT((Registros!$C$2:$C$3000=H84)*ISTEXT(Registros!$AP$2:$AP$3000))&gt;0),"Hay P/L guardado como texto en Registros (no suma). ","")))</f>
        <v/>
      </c>
    </row>
    <row r="85" customFormat="false" ht="15" hidden="false" customHeight="true" outlineLevel="0" collapsed="false">
      <c r="A85" s="13" t="n">
        <f aca="false">IF(D84="","",IF(G84&gt;=$P$2,MIN(D84,C84),D84))</f>
        <v>8</v>
      </c>
      <c r="B85" s="13" t="n">
        <f aca="false">IF(A85="","",A85/8)</f>
        <v>1</v>
      </c>
      <c r="C85" s="13" t="n">
        <f aca="false">IF(OR(A85="",B85=""),"",A85+B85)</f>
        <v>9</v>
      </c>
      <c r="D85" s="13" t="n">
        <f aca="false">IF(A85="","",A85+SUMIFS(Registros!$AP:$AP,Registros!$C:$C,H85))</f>
        <v>8</v>
      </c>
      <c r="E85" s="13" t="n">
        <f aca="false">IF(A85="","",ROUND(A85-8*B85,2))</f>
        <v>0</v>
      </c>
      <c r="F85" s="13" t="n">
        <f aca="false">IF(OR(D85="",C85=""),"",D85-C85)</f>
        <v>-1</v>
      </c>
      <c r="G85" s="20" t="n">
        <f aca="false">IF(G84="","",G84+1)</f>
        <v>84</v>
      </c>
      <c r="H85" s="15"/>
      <c r="I85" s="14"/>
      <c r="J85" s="16" t="str">
        <f aca="false">IF(OR(H85="",D85="",C85="",G85&lt;$P$2),"",MAX(0,ROUND(D85-C85,2)))</f>
        <v/>
      </c>
      <c r="K85" s="17"/>
      <c r="L85" s="16" t="str">
        <f aca="false">IF(NOT(ISNUMBER(K85)),"",ROUND(K85-N(M84)-N(J85),2))</f>
        <v/>
      </c>
      <c r="M85" s="16" t="n">
        <f aca="false">IF(ISNUMBER(K85),K85,N(M84))</f>
        <v>0</v>
      </c>
      <c r="N85" s="0" t="str">
        <f aca="true">IF(AND(H85="",K85=""),"",TRIM(IF(AND(H85&lt;&gt;"",NOT(AND(LEN(H85)=10,MID(H85,5,1)="-",MID(H85,8,1)="-"))),"Fecha con formato invalido (usa AAAA-MM-DD). ","")&amp;IF(AND(H85&lt;&gt;"",COUNTIF($H$2:$H$367,H85)&gt;1),"Fecha repetida en otro dia. ","")&amp;IF(AND(H85&lt;&gt;"",H84&lt;&gt;"",H85&lt;=H84),"La fecha no es posterior a la del dia anterior. ","")&amp;IF(AND(H85&lt;&gt;"",ISNUMBER(A85),ISNUMBER(D84),ISNUMBER(C84),ABS(A85-IF(G84&gt;=$P$2,MIN(D84,C84),D84))&gt;0.005),"Bank roll inicial no sigue la regla del dia anterior (alguien sobrescribio la formula). ","")&amp;IF(AND(H85&lt;&gt;"",ISNUMBER(B85),ISNUMBER(A85),ABS(B85-A85/8)&gt;0.00001),"Stake distinto de Bank roll/8. ","")&amp;IF(AND(H85&lt;&gt;"",ISNUMBER(E85),ABS(E85)&gt;0.005),"Residuo distinto de 0. ","")&amp;IF(AND(K85&lt;&gt;"",OR(NOT(ISNUMBER(K85)),N(K85)&lt;0)),"Saldo L2 no numerico o negativo. ","")&amp;IF(AND(H85&lt;&gt;"",H85&lt;TEXT(TODAY(),"yyyy-mm-dd"),G85&gt;=$P$2,K85="",OR(N(J85)&gt;0,N(M84)&gt;0)),"Falta cerrar el Saldo L2 de este dia. ","")&amp;IF(AND(H85&lt;&gt;"",SUMPRODUCT((Registros!$C$2:$C$3000=H85)*ISTEXT(Registros!$AP$2:$AP$3000))&gt;0),"Hay P/L guardado como texto en Registros (no suma). ","")))</f>
        <v/>
      </c>
    </row>
    <row r="86" customFormat="false" ht="15" hidden="false" customHeight="true" outlineLevel="0" collapsed="false">
      <c r="A86" s="13" t="n">
        <f aca="false">IF(D85="","",IF(G85&gt;=$P$2,MIN(D85,C85),D85))</f>
        <v>8</v>
      </c>
      <c r="B86" s="13" t="n">
        <f aca="false">IF(A86="","",A86/8)</f>
        <v>1</v>
      </c>
      <c r="C86" s="13" t="n">
        <f aca="false">IF(OR(A86="",B86=""),"",A86+B86)</f>
        <v>9</v>
      </c>
      <c r="D86" s="13" t="n">
        <f aca="false">IF(A86="","",A86+SUMIFS(Registros!$AP:$AP,Registros!$C:$C,H86))</f>
        <v>8</v>
      </c>
      <c r="E86" s="13" t="n">
        <f aca="false">IF(A86="","",ROUND(A86-8*B86,2))</f>
        <v>0</v>
      </c>
      <c r="F86" s="13" t="n">
        <f aca="false">IF(OR(D86="",C86=""),"",D86-C86)</f>
        <v>-1</v>
      </c>
      <c r="G86" s="20" t="n">
        <f aca="false">IF(G85="","",G85+1)</f>
        <v>85</v>
      </c>
      <c r="H86" s="15"/>
      <c r="I86" s="14"/>
      <c r="J86" s="16" t="str">
        <f aca="false">IF(OR(H86="",D86="",C86="",G86&lt;$P$2),"",MAX(0,ROUND(D86-C86,2)))</f>
        <v/>
      </c>
      <c r="K86" s="17"/>
      <c r="L86" s="16" t="str">
        <f aca="false">IF(NOT(ISNUMBER(K86)),"",ROUND(K86-N(M85)-N(J86),2))</f>
        <v/>
      </c>
      <c r="M86" s="16" t="n">
        <f aca="false">IF(ISNUMBER(K86),K86,N(M85))</f>
        <v>0</v>
      </c>
      <c r="N86" s="0" t="str">
        <f aca="true">IF(AND(H86="",K86=""),"",TRIM(IF(AND(H86&lt;&gt;"",NOT(AND(LEN(H86)=10,MID(H86,5,1)="-",MID(H86,8,1)="-"))),"Fecha con formato invalido (usa AAAA-MM-DD). ","")&amp;IF(AND(H86&lt;&gt;"",COUNTIF($H$2:$H$367,H86)&gt;1),"Fecha repetida en otro dia. ","")&amp;IF(AND(H86&lt;&gt;"",H85&lt;&gt;"",H86&lt;=H85),"La fecha no es posterior a la del dia anterior. ","")&amp;IF(AND(H86&lt;&gt;"",ISNUMBER(A86),ISNUMBER(D85),ISNUMBER(C85),ABS(A86-IF(G85&gt;=$P$2,MIN(D85,C85),D85))&gt;0.005),"Bank roll inicial no sigue la regla del dia anterior (alguien sobrescribio la formula). ","")&amp;IF(AND(H86&lt;&gt;"",ISNUMBER(B86),ISNUMBER(A86),ABS(B86-A86/8)&gt;0.00001),"Stake distinto de Bank roll/8. ","")&amp;IF(AND(H86&lt;&gt;"",ISNUMBER(E86),ABS(E86)&gt;0.005),"Residuo distinto de 0. ","")&amp;IF(AND(K86&lt;&gt;"",OR(NOT(ISNUMBER(K86)),N(K86)&lt;0)),"Saldo L2 no numerico o negativo. ","")&amp;IF(AND(H86&lt;&gt;"",H86&lt;TEXT(TODAY(),"yyyy-mm-dd"),G86&gt;=$P$2,K86="",OR(N(J86)&gt;0,N(M85)&gt;0)),"Falta cerrar el Saldo L2 de este dia. ","")&amp;IF(AND(H86&lt;&gt;"",SUMPRODUCT((Registros!$C$2:$C$3000=H86)*ISTEXT(Registros!$AP$2:$AP$3000))&gt;0),"Hay P/L guardado como texto en Registros (no suma). ","")))</f>
        <v/>
      </c>
    </row>
    <row r="87" customFormat="false" ht="15" hidden="false" customHeight="true" outlineLevel="0" collapsed="false">
      <c r="A87" s="13" t="n">
        <f aca="false">IF(D86="","",IF(G86&gt;=$P$2,MIN(D86,C86),D86))</f>
        <v>8</v>
      </c>
      <c r="B87" s="13" t="n">
        <f aca="false">IF(A87="","",A87/8)</f>
        <v>1</v>
      </c>
      <c r="C87" s="13" t="n">
        <f aca="false">IF(OR(A87="",B87=""),"",A87+B87)</f>
        <v>9</v>
      </c>
      <c r="D87" s="13" t="n">
        <f aca="false">IF(A87="","",A87+SUMIFS(Registros!$AP:$AP,Registros!$C:$C,H87))</f>
        <v>8</v>
      </c>
      <c r="E87" s="13" t="n">
        <f aca="false">IF(A87="","",ROUND(A87-8*B87,2))</f>
        <v>0</v>
      </c>
      <c r="F87" s="13" t="n">
        <f aca="false">IF(OR(D87="",C87=""),"",D87-C87)</f>
        <v>-1</v>
      </c>
      <c r="G87" s="20" t="n">
        <f aca="false">IF(G86="","",G86+1)</f>
        <v>86</v>
      </c>
      <c r="H87" s="15"/>
      <c r="I87" s="14"/>
      <c r="J87" s="16" t="str">
        <f aca="false">IF(OR(H87="",D87="",C87="",G87&lt;$P$2),"",MAX(0,ROUND(D87-C87,2)))</f>
        <v/>
      </c>
      <c r="K87" s="17"/>
      <c r="L87" s="16" t="str">
        <f aca="false">IF(NOT(ISNUMBER(K87)),"",ROUND(K87-N(M86)-N(J87),2))</f>
        <v/>
      </c>
      <c r="M87" s="16" t="n">
        <f aca="false">IF(ISNUMBER(K87),K87,N(M86))</f>
        <v>0</v>
      </c>
      <c r="N87" s="0" t="str">
        <f aca="true">IF(AND(H87="",K87=""),"",TRIM(IF(AND(H87&lt;&gt;"",NOT(AND(LEN(H87)=10,MID(H87,5,1)="-",MID(H87,8,1)="-"))),"Fecha con formato invalido (usa AAAA-MM-DD). ","")&amp;IF(AND(H87&lt;&gt;"",COUNTIF($H$2:$H$367,H87)&gt;1),"Fecha repetida en otro dia. ","")&amp;IF(AND(H87&lt;&gt;"",H86&lt;&gt;"",H87&lt;=H86),"La fecha no es posterior a la del dia anterior. ","")&amp;IF(AND(H87&lt;&gt;"",ISNUMBER(A87),ISNUMBER(D86),ISNUMBER(C86),ABS(A87-IF(G86&gt;=$P$2,MIN(D86,C86),D86))&gt;0.005),"Bank roll inicial no sigue la regla del dia anterior (alguien sobrescribio la formula). ","")&amp;IF(AND(H87&lt;&gt;"",ISNUMBER(B87),ISNUMBER(A87),ABS(B87-A87/8)&gt;0.00001),"Stake distinto de Bank roll/8. ","")&amp;IF(AND(H87&lt;&gt;"",ISNUMBER(E87),ABS(E87)&gt;0.005),"Residuo distinto de 0. ","")&amp;IF(AND(K87&lt;&gt;"",OR(NOT(ISNUMBER(K87)),N(K87)&lt;0)),"Saldo L2 no numerico o negativo. ","")&amp;IF(AND(H87&lt;&gt;"",H87&lt;TEXT(TODAY(),"yyyy-mm-dd"),G87&gt;=$P$2,K87="",OR(N(J87)&gt;0,N(M86)&gt;0)),"Falta cerrar el Saldo L2 de este dia. ","")&amp;IF(AND(H87&lt;&gt;"",SUMPRODUCT((Registros!$C$2:$C$3000=H87)*ISTEXT(Registros!$AP$2:$AP$3000))&gt;0),"Hay P/L guardado como texto en Registros (no suma). ","")))</f>
        <v/>
      </c>
    </row>
    <row r="88" customFormat="false" ht="15" hidden="false" customHeight="true" outlineLevel="0" collapsed="false">
      <c r="A88" s="13" t="n">
        <f aca="false">IF(D87="","",IF(G87&gt;=$P$2,MIN(D87,C87),D87))</f>
        <v>8</v>
      </c>
      <c r="B88" s="13" t="n">
        <f aca="false">IF(A88="","",A88/8)</f>
        <v>1</v>
      </c>
      <c r="C88" s="13" t="n">
        <f aca="false">IF(OR(A88="",B88=""),"",A88+B88)</f>
        <v>9</v>
      </c>
      <c r="D88" s="13" t="n">
        <f aca="false">IF(A88="","",A88+SUMIFS(Registros!$AP:$AP,Registros!$C:$C,H88))</f>
        <v>8</v>
      </c>
      <c r="E88" s="13" t="n">
        <f aca="false">IF(A88="","",ROUND(A88-8*B88,2))</f>
        <v>0</v>
      </c>
      <c r="F88" s="13" t="n">
        <f aca="false">IF(OR(D88="",C88=""),"",D88-C88)</f>
        <v>-1</v>
      </c>
      <c r="G88" s="20" t="n">
        <f aca="false">IF(G87="","",G87+1)</f>
        <v>87</v>
      </c>
      <c r="H88" s="15"/>
      <c r="I88" s="14"/>
      <c r="J88" s="16" t="str">
        <f aca="false">IF(OR(H88="",D88="",C88="",G88&lt;$P$2),"",MAX(0,ROUND(D88-C88,2)))</f>
        <v/>
      </c>
      <c r="K88" s="17"/>
      <c r="L88" s="16" t="str">
        <f aca="false">IF(NOT(ISNUMBER(K88)),"",ROUND(K88-N(M87)-N(J88),2))</f>
        <v/>
      </c>
      <c r="M88" s="16" t="n">
        <f aca="false">IF(ISNUMBER(K88),K88,N(M87))</f>
        <v>0</v>
      </c>
      <c r="N88" s="0" t="str">
        <f aca="true">IF(AND(H88="",K88=""),"",TRIM(IF(AND(H88&lt;&gt;"",NOT(AND(LEN(H88)=10,MID(H88,5,1)="-",MID(H88,8,1)="-"))),"Fecha con formato invalido (usa AAAA-MM-DD). ","")&amp;IF(AND(H88&lt;&gt;"",COUNTIF($H$2:$H$367,H88)&gt;1),"Fecha repetida en otro dia. ","")&amp;IF(AND(H88&lt;&gt;"",H87&lt;&gt;"",H88&lt;=H87),"La fecha no es posterior a la del dia anterior. ","")&amp;IF(AND(H88&lt;&gt;"",ISNUMBER(A88),ISNUMBER(D87),ISNUMBER(C87),ABS(A88-IF(G87&gt;=$P$2,MIN(D87,C87),D87))&gt;0.005),"Bank roll inicial no sigue la regla del dia anterior (alguien sobrescribio la formula). ","")&amp;IF(AND(H88&lt;&gt;"",ISNUMBER(B88),ISNUMBER(A88),ABS(B88-A88/8)&gt;0.00001),"Stake distinto de Bank roll/8. ","")&amp;IF(AND(H88&lt;&gt;"",ISNUMBER(E88),ABS(E88)&gt;0.005),"Residuo distinto de 0. ","")&amp;IF(AND(K88&lt;&gt;"",OR(NOT(ISNUMBER(K88)),N(K88)&lt;0)),"Saldo L2 no numerico o negativo. ","")&amp;IF(AND(H88&lt;&gt;"",H88&lt;TEXT(TODAY(),"yyyy-mm-dd"),G88&gt;=$P$2,K88="",OR(N(J88)&gt;0,N(M87)&gt;0)),"Falta cerrar el Saldo L2 de este dia. ","")&amp;IF(AND(H88&lt;&gt;"",SUMPRODUCT((Registros!$C$2:$C$3000=H88)*ISTEXT(Registros!$AP$2:$AP$3000))&gt;0),"Hay P/L guardado como texto en Registros (no suma). ","")))</f>
        <v/>
      </c>
    </row>
    <row r="89" customFormat="false" ht="15" hidden="false" customHeight="true" outlineLevel="0" collapsed="false">
      <c r="A89" s="13" t="n">
        <f aca="false">IF(D88="","",IF(G88&gt;=$P$2,MIN(D88,C88),D88))</f>
        <v>8</v>
      </c>
      <c r="B89" s="13" t="n">
        <f aca="false">IF(A89="","",A89/8)</f>
        <v>1</v>
      </c>
      <c r="C89" s="13" t="n">
        <f aca="false">IF(OR(A89="",B89=""),"",A89+B89)</f>
        <v>9</v>
      </c>
      <c r="D89" s="13" t="n">
        <f aca="false">IF(A89="","",A89+SUMIFS(Registros!$AP:$AP,Registros!$C:$C,H89))</f>
        <v>8</v>
      </c>
      <c r="E89" s="13" t="n">
        <f aca="false">IF(A89="","",ROUND(A89-8*B89,2))</f>
        <v>0</v>
      </c>
      <c r="F89" s="13" t="n">
        <f aca="false">IF(OR(D89="",C89=""),"",D89-C89)</f>
        <v>-1</v>
      </c>
      <c r="G89" s="20" t="n">
        <f aca="false">IF(G88="","",G88+1)</f>
        <v>88</v>
      </c>
      <c r="H89" s="15"/>
      <c r="I89" s="14"/>
      <c r="J89" s="16" t="str">
        <f aca="false">IF(OR(H89="",D89="",C89="",G89&lt;$P$2),"",MAX(0,ROUND(D89-C89,2)))</f>
        <v/>
      </c>
      <c r="K89" s="17"/>
      <c r="L89" s="16" t="str">
        <f aca="false">IF(NOT(ISNUMBER(K89)),"",ROUND(K89-N(M88)-N(J89),2))</f>
        <v/>
      </c>
      <c r="M89" s="16" t="n">
        <f aca="false">IF(ISNUMBER(K89),K89,N(M88))</f>
        <v>0</v>
      </c>
      <c r="N89" s="0" t="str">
        <f aca="true">IF(AND(H89="",K89=""),"",TRIM(IF(AND(H89&lt;&gt;"",NOT(AND(LEN(H89)=10,MID(H89,5,1)="-",MID(H89,8,1)="-"))),"Fecha con formato invalido (usa AAAA-MM-DD). ","")&amp;IF(AND(H89&lt;&gt;"",COUNTIF($H$2:$H$367,H89)&gt;1),"Fecha repetida en otro dia. ","")&amp;IF(AND(H89&lt;&gt;"",H88&lt;&gt;"",H89&lt;=H88),"La fecha no es posterior a la del dia anterior. ","")&amp;IF(AND(H89&lt;&gt;"",ISNUMBER(A89),ISNUMBER(D88),ISNUMBER(C88),ABS(A89-IF(G88&gt;=$P$2,MIN(D88,C88),D88))&gt;0.005),"Bank roll inicial no sigue la regla del dia anterior (alguien sobrescribio la formula). ","")&amp;IF(AND(H89&lt;&gt;"",ISNUMBER(B89),ISNUMBER(A89),ABS(B89-A89/8)&gt;0.00001),"Stake distinto de Bank roll/8. ","")&amp;IF(AND(H89&lt;&gt;"",ISNUMBER(E89),ABS(E89)&gt;0.005),"Residuo distinto de 0. ","")&amp;IF(AND(K89&lt;&gt;"",OR(NOT(ISNUMBER(K89)),N(K89)&lt;0)),"Saldo L2 no numerico o negativo. ","")&amp;IF(AND(H89&lt;&gt;"",H89&lt;TEXT(TODAY(),"yyyy-mm-dd"),G89&gt;=$P$2,K89="",OR(N(J89)&gt;0,N(M88)&gt;0)),"Falta cerrar el Saldo L2 de este dia. ","")&amp;IF(AND(H89&lt;&gt;"",SUMPRODUCT((Registros!$C$2:$C$3000=H89)*ISTEXT(Registros!$AP$2:$AP$3000))&gt;0),"Hay P/L guardado como texto en Registros (no suma). ","")))</f>
        <v/>
      </c>
    </row>
    <row r="90" customFormat="false" ht="15" hidden="false" customHeight="true" outlineLevel="0" collapsed="false">
      <c r="A90" s="13" t="n">
        <f aca="false">IF(D89="","",IF(G89&gt;=$P$2,MIN(D89,C89),D89))</f>
        <v>8</v>
      </c>
      <c r="B90" s="13" t="n">
        <f aca="false">IF(A90="","",A90/8)</f>
        <v>1</v>
      </c>
      <c r="C90" s="13" t="n">
        <f aca="false">IF(OR(A90="",B90=""),"",A90+B90)</f>
        <v>9</v>
      </c>
      <c r="D90" s="13" t="n">
        <f aca="false">IF(A90="","",A90+SUMIFS(Registros!$AP:$AP,Registros!$C:$C,H90))</f>
        <v>8</v>
      </c>
      <c r="E90" s="13" t="n">
        <f aca="false">IF(A90="","",ROUND(A90-8*B90,2))</f>
        <v>0</v>
      </c>
      <c r="F90" s="13" t="n">
        <f aca="false">IF(OR(D90="",C90=""),"",D90-C90)</f>
        <v>-1</v>
      </c>
      <c r="G90" s="20" t="n">
        <f aca="false">IF(G89="","",G89+1)</f>
        <v>89</v>
      </c>
      <c r="H90" s="15"/>
      <c r="I90" s="14"/>
      <c r="J90" s="16" t="str">
        <f aca="false">IF(OR(H90="",D90="",C90="",G90&lt;$P$2),"",MAX(0,ROUND(D90-C90,2)))</f>
        <v/>
      </c>
      <c r="K90" s="17"/>
      <c r="L90" s="16" t="str">
        <f aca="false">IF(NOT(ISNUMBER(K90)),"",ROUND(K90-N(M89)-N(J90),2))</f>
        <v/>
      </c>
      <c r="M90" s="16" t="n">
        <f aca="false">IF(ISNUMBER(K90),K90,N(M89))</f>
        <v>0</v>
      </c>
      <c r="N90" s="0" t="str">
        <f aca="true">IF(AND(H90="",K90=""),"",TRIM(IF(AND(H90&lt;&gt;"",NOT(AND(LEN(H90)=10,MID(H90,5,1)="-",MID(H90,8,1)="-"))),"Fecha con formato invalido (usa AAAA-MM-DD). ","")&amp;IF(AND(H90&lt;&gt;"",COUNTIF($H$2:$H$367,H90)&gt;1),"Fecha repetida en otro dia. ","")&amp;IF(AND(H90&lt;&gt;"",H89&lt;&gt;"",H90&lt;=H89),"La fecha no es posterior a la del dia anterior. ","")&amp;IF(AND(H90&lt;&gt;"",ISNUMBER(A90),ISNUMBER(D89),ISNUMBER(C89),ABS(A90-IF(G89&gt;=$P$2,MIN(D89,C89),D89))&gt;0.005),"Bank roll inicial no sigue la regla del dia anterior (alguien sobrescribio la formula). ","")&amp;IF(AND(H90&lt;&gt;"",ISNUMBER(B90),ISNUMBER(A90),ABS(B90-A90/8)&gt;0.00001),"Stake distinto de Bank roll/8. ","")&amp;IF(AND(H90&lt;&gt;"",ISNUMBER(E90),ABS(E90)&gt;0.005),"Residuo distinto de 0. ","")&amp;IF(AND(K90&lt;&gt;"",OR(NOT(ISNUMBER(K90)),N(K90)&lt;0)),"Saldo L2 no numerico o negativo. ","")&amp;IF(AND(H90&lt;&gt;"",H90&lt;TEXT(TODAY(),"yyyy-mm-dd"),G90&gt;=$P$2,K90="",OR(N(J90)&gt;0,N(M89)&gt;0)),"Falta cerrar el Saldo L2 de este dia. ","")&amp;IF(AND(H90&lt;&gt;"",SUMPRODUCT((Registros!$C$2:$C$3000=H90)*ISTEXT(Registros!$AP$2:$AP$3000))&gt;0),"Hay P/L guardado como texto en Registros (no suma). ","")))</f>
        <v/>
      </c>
    </row>
    <row r="91" customFormat="false" ht="15" hidden="false" customHeight="true" outlineLevel="0" collapsed="false">
      <c r="A91" s="13" t="n">
        <f aca="false">IF(D90="","",IF(G90&gt;=$P$2,MIN(D90,C90),D90))</f>
        <v>8</v>
      </c>
      <c r="B91" s="13" t="n">
        <f aca="false">IF(A91="","",A91/8)</f>
        <v>1</v>
      </c>
      <c r="C91" s="13" t="n">
        <f aca="false">IF(OR(A91="",B91=""),"",A91+B91)</f>
        <v>9</v>
      </c>
      <c r="D91" s="13" t="n">
        <f aca="false">IF(A91="","",A91+SUMIFS(Registros!$AP:$AP,Registros!$C:$C,H91))</f>
        <v>8</v>
      </c>
      <c r="E91" s="13" t="n">
        <f aca="false">IF(A91="","",ROUND(A91-8*B91,2))</f>
        <v>0</v>
      </c>
      <c r="F91" s="13" t="n">
        <f aca="false">IF(OR(D91="",C91=""),"",D91-C91)</f>
        <v>-1</v>
      </c>
      <c r="G91" s="20" t="n">
        <f aca="false">IF(G90="","",G90+1)</f>
        <v>90</v>
      </c>
      <c r="H91" s="15"/>
      <c r="I91" s="14"/>
      <c r="J91" s="16" t="str">
        <f aca="false">IF(OR(H91="",D91="",C91="",G91&lt;$P$2),"",MAX(0,ROUND(D91-C91,2)))</f>
        <v/>
      </c>
      <c r="K91" s="17"/>
      <c r="L91" s="16" t="str">
        <f aca="false">IF(NOT(ISNUMBER(K91)),"",ROUND(K91-N(M90)-N(J91),2))</f>
        <v/>
      </c>
      <c r="M91" s="16" t="n">
        <f aca="false">IF(ISNUMBER(K91),K91,N(M90))</f>
        <v>0</v>
      </c>
      <c r="N91" s="0" t="str">
        <f aca="true">IF(AND(H91="",K91=""),"",TRIM(IF(AND(H91&lt;&gt;"",NOT(AND(LEN(H91)=10,MID(H91,5,1)="-",MID(H91,8,1)="-"))),"Fecha con formato invalido (usa AAAA-MM-DD). ","")&amp;IF(AND(H91&lt;&gt;"",COUNTIF($H$2:$H$367,H91)&gt;1),"Fecha repetida en otro dia. ","")&amp;IF(AND(H91&lt;&gt;"",H90&lt;&gt;"",H91&lt;=H90),"La fecha no es posterior a la del dia anterior. ","")&amp;IF(AND(H91&lt;&gt;"",ISNUMBER(A91),ISNUMBER(D90),ISNUMBER(C90),ABS(A91-IF(G90&gt;=$P$2,MIN(D90,C90),D90))&gt;0.005),"Bank roll inicial no sigue la regla del dia anterior (alguien sobrescribio la formula). ","")&amp;IF(AND(H91&lt;&gt;"",ISNUMBER(B91),ISNUMBER(A91),ABS(B91-A91/8)&gt;0.00001),"Stake distinto de Bank roll/8. ","")&amp;IF(AND(H91&lt;&gt;"",ISNUMBER(E91),ABS(E91)&gt;0.005),"Residuo distinto de 0. ","")&amp;IF(AND(K91&lt;&gt;"",OR(NOT(ISNUMBER(K91)),N(K91)&lt;0)),"Saldo L2 no numerico o negativo. ","")&amp;IF(AND(H91&lt;&gt;"",H91&lt;TEXT(TODAY(),"yyyy-mm-dd"),G91&gt;=$P$2,K91="",OR(N(J91)&gt;0,N(M90)&gt;0)),"Falta cerrar el Saldo L2 de este dia. ","")&amp;IF(AND(H91&lt;&gt;"",SUMPRODUCT((Registros!$C$2:$C$3000=H91)*ISTEXT(Registros!$AP$2:$AP$3000))&gt;0),"Hay P/L guardado como texto en Registros (no suma). ","")))</f>
        <v/>
      </c>
    </row>
    <row r="92" customFormat="false" ht="15" hidden="false" customHeight="true" outlineLevel="0" collapsed="false">
      <c r="A92" s="13" t="n">
        <f aca="false">IF(D91="","",IF(G91&gt;=$P$2,MIN(D91,C91),D91))</f>
        <v>8</v>
      </c>
      <c r="B92" s="13" t="n">
        <f aca="false">IF(A92="","",A92/8)</f>
        <v>1</v>
      </c>
      <c r="C92" s="13" t="n">
        <f aca="false">IF(OR(A92="",B92=""),"",A92+B92)</f>
        <v>9</v>
      </c>
      <c r="D92" s="13" t="n">
        <f aca="false">IF(A92="","",A92+SUMIFS(Registros!$AP:$AP,Registros!$C:$C,H92))</f>
        <v>8</v>
      </c>
      <c r="E92" s="13" t="n">
        <f aca="false">IF(A92="","",ROUND(A92-8*B92,2))</f>
        <v>0</v>
      </c>
      <c r="F92" s="13" t="n">
        <f aca="false">IF(OR(D92="",C92=""),"",D92-C92)</f>
        <v>-1</v>
      </c>
      <c r="G92" s="20" t="n">
        <f aca="false">IF(G91="","",G91+1)</f>
        <v>91</v>
      </c>
      <c r="H92" s="15"/>
      <c r="I92" s="14"/>
      <c r="J92" s="16" t="str">
        <f aca="false">IF(OR(H92="",D92="",C92="",G92&lt;$P$2),"",MAX(0,ROUND(D92-C92,2)))</f>
        <v/>
      </c>
      <c r="K92" s="17"/>
      <c r="L92" s="16" t="str">
        <f aca="false">IF(NOT(ISNUMBER(K92)),"",ROUND(K92-N(M91)-N(J92),2))</f>
        <v/>
      </c>
      <c r="M92" s="16" t="n">
        <f aca="false">IF(ISNUMBER(K92),K92,N(M91))</f>
        <v>0</v>
      </c>
      <c r="N92" s="0" t="str">
        <f aca="true">IF(AND(H92="",K92=""),"",TRIM(IF(AND(H92&lt;&gt;"",NOT(AND(LEN(H92)=10,MID(H92,5,1)="-",MID(H92,8,1)="-"))),"Fecha con formato invalido (usa AAAA-MM-DD). ","")&amp;IF(AND(H92&lt;&gt;"",COUNTIF($H$2:$H$367,H92)&gt;1),"Fecha repetida en otro dia. ","")&amp;IF(AND(H92&lt;&gt;"",H91&lt;&gt;"",H92&lt;=H91),"La fecha no es posterior a la del dia anterior. ","")&amp;IF(AND(H92&lt;&gt;"",ISNUMBER(A92),ISNUMBER(D91),ISNUMBER(C91),ABS(A92-IF(G91&gt;=$P$2,MIN(D91,C91),D91))&gt;0.005),"Bank roll inicial no sigue la regla del dia anterior (alguien sobrescribio la formula). ","")&amp;IF(AND(H92&lt;&gt;"",ISNUMBER(B92),ISNUMBER(A92),ABS(B92-A92/8)&gt;0.00001),"Stake distinto de Bank roll/8. ","")&amp;IF(AND(H92&lt;&gt;"",ISNUMBER(E92),ABS(E92)&gt;0.005),"Residuo distinto de 0. ","")&amp;IF(AND(K92&lt;&gt;"",OR(NOT(ISNUMBER(K92)),N(K92)&lt;0)),"Saldo L2 no numerico o negativo. ","")&amp;IF(AND(H92&lt;&gt;"",H92&lt;TEXT(TODAY(),"yyyy-mm-dd"),G92&gt;=$P$2,K92="",OR(N(J92)&gt;0,N(M91)&gt;0)),"Falta cerrar el Saldo L2 de este dia. ","")&amp;IF(AND(H92&lt;&gt;"",SUMPRODUCT((Registros!$C$2:$C$3000=H92)*ISTEXT(Registros!$AP$2:$AP$3000))&gt;0),"Hay P/L guardado como texto en Registros (no suma). ","")))</f>
        <v/>
      </c>
    </row>
    <row r="93" customFormat="false" ht="15" hidden="false" customHeight="true" outlineLevel="0" collapsed="false">
      <c r="A93" s="13" t="n">
        <f aca="false">IF(D92="","",IF(G92&gt;=$P$2,MIN(D92,C92),D92))</f>
        <v>8</v>
      </c>
      <c r="B93" s="13" t="n">
        <f aca="false">IF(A93="","",A93/8)</f>
        <v>1</v>
      </c>
      <c r="C93" s="13" t="n">
        <f aca="false">IF(OR(A93="",B93=""),"",A93+B93)</f>
        <v>9</v>
      </c>
      <c r="D93" s="13" t="n">
        <f aca="false">IF(A93="","",A93+SUMIFS(Registros!$AP:$AP,Registros!$C:$C,H93))</f>
        <v>8</v>
      </c>
      <c r="E93" s="13" t="n">
        <f aca="false">IF(A93="","",ROUND(A93-8*B93,2))</f>
        <v>0</v>
      </c>
      <c r="F93" s="13" t="n">
        <f aca="false">IF(OR(D93="",C93=""),"",D93-C93)</f>
        <v>-1</v>
      </c>
      <c r="G93" s="20" t="n">
        <f aca="false">IF(G92="","",G92+1)</f>
        <v>92</v>
      </c>
      <c r="H93" s="15"/>
      <c r="I93" s="14"/>
      <c r="J93" s="16" t="str">
        <f aca="false">IF(OR(H93="",D93="",C93="",G93&lt;$P$2),"",MAX(0,ROUND(D93-C93,2)))</f>
        <v/>
      </c>
      <c r="K93" s="17"/>
      <c r="L93" s="16" t="str">
        <f aca="false">IF(NOT(ISNUMBER(K93)),"",ROUND(K93-N(M92)-N(J93),2))</f>
        <v/>
      </c>
      <c r="M93" s="16" t="n">
        <f aca="false">IF(ISNUMBER(K93),K93,N(M92))</f>
        <v>0</v>
      </c>
      <c r="N93" s="0" t="str">
        <f aca="true">IF(AND(H93="",K93=""),"",TRIM(IF(AND(H93&lt;&gt;"",NOT(AND(LEN(H93)=10,MID(H93,5,1)="-",MID(H93,8,1)="-"))),"Fecha con formato invalido (usa AAAA-MM-DD). ","")&amp;IF(AND(H93&lt;&gt;"",COUNTIF($H$2:$H$367,H93)&gt;1),"Fecha repetida en otro dia. ","")&amp;IF(AND(H93&lt;&gt;"",H92&lt;&gt;"",H93&lt;=H92),"La fecha no es posterior a la del dia anterior. ","")&amp;IF(AND(H93&lt;&gt;"",ISNUMBER(A93),ISNUMBER(D92),ISNUMBER(C92),ABS(A93-IF(G92&gt;=$P$2,MIN(D92,C92),D92))&gt;0.005),"Bank roll inicial no sigue la regla del dia anterior (alguien sobrescribio la formula). ","")&amp;IF(AND(H93&lt;&gt;"",ISNUMBER(B93),ISNUMBER(A93),ABS(B93-A93/8)&gt;0.00001),"Stake distinto de Bank roll/8. ","")&amp;IF(AND(H93&lt;&gt;"",ISNUMBER(E93),ABS(E93)&gt;0.005),"Residuo distinto de 0. ","")&amp;IF(AND(K93&lt;&gt;"",OR(NOT(ISNUMBER(K93)),N(K93)&lt;0)),"Saldo L2 no numerico o negativo. ","")&amp;IF(AND(H93&lt;&gt;"",H93&lt;TEXT(TODAY(),"yyyy-mm-dd"),G93&gt;=$P$2,K93="",OR(N(J93)&gt;0,N(M92)&gt;0)),"Falta cerrar el Saldo L2 de este dia. ","")&amp;IF(AND(H93&lt;&gt;"",SUMPRODUCT((Registros!$C$2:$C$3000=H93)*ISTEXT(Registros!$AP$2:$AP$3000))&gt;0),"Hay P/L guardado como texto en Registros (no suma). ","")))</f>
        <v/>
      </c>
    </row>
    <row r="94" customFormat="false" ht="15" hidden="false" customHeight="true" outlineLevel="0" collapsed="false">
      <c r="A94" s="13" t="n">
        <f aca="false">IF(D93="","",IF(G93&gt;=$P$2,MIN(D93,C93),D93))</f>
        <v>8</v>
      </c>
      <c r="B94" s="13" t="n">
        <f aca="false">IF(A94="","",A94/8)</f>
        <v>1</v>
      </c>
      <c r="C94" s="13" t="n">
        <f aca="false">IF(OR(A94="",B94=""),"",A94+B94)</f>
        <v>9</v>
      </c>
      <c r="D94" s="13" t="n">
        <f aca="false">IF(A94="","",A94+SUMIFS(Registros!$AP:$AP,Registros!$C:$C,H94))</f>
        <v>8</v>
      </c>
      <c r="E94" s="13" t="n">
        <f aca="false">IF(A94="","",ROUND(A94-8*B94,2))</f>
        <v>0</v>
      </c>
      <c r="F94" s="13" t="n">
        <f aca="false">IF(OR(D94="",C94=""),"",D94-C94)</f>
        <v>-1</v>
      </c>
      <c r="G94" s="20" t="n">
        <f aca="false">IF(G93="","",G93+1)</f>
        <v>93</v>
      </c>
      <c r="H94" s="15"/>
      <c r="I94" s="14"/>
      <c r="J94" s="16" t="str">
        <f aca="false">IF(OR(H94="",D94="",C94="",G94&lt;$P$2),"",MAX(0,ROUND(D94-C94,2)))</f>
        <v/>
      </c>
      <c r="K94" s="17"/>
      <c r="L94" s="16" t="str">
        <f aca="false">IF(NOT(ISNUMBER(K94)),"",ROUND(K94-N(M93)-N(J94),2))</f>
        <v/>
      </c>
      <c r="M94" s="16" t="n">
        <f aca="false">IF(ISNUMBER(K94),K94,N(M93))</f>
        <v>0</v>
      </c>
      <c r="N94" s="0" t="str">
        <f aca="true">IF(AND(H94="",K94=""),"",TRIM(IF(AND(H94&lt;&gt;"",NOT(AND(LEN(H94)=10,MID(H94,5,1)="-",MID(H94,8,1)="-"))),"Fecha con formato invalido (usa AAAA-MM-DD). ","")&amp;IF(AND(H94&lt;&gt;"",COUNTIF($H$2:$H$367,H94)&gt;1),"Fecha repetida en otro dia. ","")&amp;IF(AND(H94&lt;&gt;"",H93&lt;&gt;"",H94&lt;=H93),"La fecha no es posterior a la del dia anterior. ","")&amp;IF(AND(H94&lt;&gt;"",ISNUMBER(A94),ISNUMBER(D93),ISNUMBER(C93),ABS(A94-IF(G93&gt;=$P$2,MIN(D93,C93),D93))&gt;0.005),"Bank roll inicial no sigue la regla del dia anterior (alguien sobrescribio la formula). ","")&amp;IF(AND(H94&lt;&gt;"",ISNUMBER(B94),ISNUMBER(A94),ABS(B94-A94/8)&gt;0.00001),"Stake distinto de Bank roll/8. ","")&amp;IF(AND(H94&lt;&gt;"",ISNUMBER(E94),ABS(E94)&gt;0.005),"Residuo distinto de 0. ","")&amp;IF(AND(K94&lt;&gt;"",OR(NOT(ISNUMBER(K94)),N(K94)&lt;0)),"Saldo L2 no numerico o negativo. ","")&amp;IF(AND(H94&lt;&gt;"",H94&lt;TEXT(TODAY(),"yyyy-mm-dd"),G94&gt;=$P$2,K94="",OR(N(J94)&gt;0,N(M93)&gt;0)),"Falta cerrar el Saldo L2 de este dia. ","")&amp;IF(AND(H94&lt;&gt;"",SUMPRODUCT((Registros!$C$2:$C$3000=H94)*ISTEXT(Registros!$AP$2:$AP$3000))&gt;0),"Hay P/L guardado como texto en Registros (no suma). ","")))</f>
        <v/>
      </c>
    </row>
    <row r="95" customFormat="false" ht="15" hidden="false" customHeight="true" outlineLevel="0" collapsed="false">
      <c r="A95" s="13" t="n">
        <f aca="false">IF(D94="","",IF(G94&gt;=$P$2,MIN(D94,C94),D94))</f>
        <v>8</v>
      </c>
      <c r="B95" s="13" t="n">
        <f aca="false">IF(A95="","",A95/8)</f>
        <v>1</v>
      </c>
      <c r="C95" s="13" t="n">
        <f aca="false">IF(OR(A95="",B95=""),"",A95+B95)</f>
        <v>9</v>
      </c>
      <c r="D95" s="13" t="n">
        <f aca="false">IF(A95="","",A95+SUMIFS(Registros!$AP:$AP,Registros!$C:$C,H95))</f>
        <v>8</v>
      </c>
      <c r="E95" s="13" t="n">
        <f aca="false">IF(A95="","",ROUND(A95-8*B95,2))</f>
        <v>0</v>
      </c>
      <c r="F95" s="13" t="n">
        <f aca="false">IF(OR(D95="",C95=""),"",D95-C95)</f>
        <v>-1</v>
      </c>
      <c r="G95" s="20" t="n">
        <f aca="false">IF(G94="","",G94+1)</f>
        <v>94</v>
      </c>
      <c r="H95" s="15"/>
      <c r="I95" s="14"/>
      <c r="J95" s="16" t="str">
        <f aca="false">IF(OR(H95="",D95="",C95="",G95&lt;$P$2),"",MAX(0,ROUND(D95-C95,2)))</f>
        <v/>
      </c>
      <c r="K95" s="17"/>
      <c r="L95" s="16" t="str">
        <f aca="false">IF(NOT(ISNUMBER(K95)),"",ROUND(K95-N(M94)-N(J95),2))</f>
        <v/>
      </c>
      <c r="M95" s="16" t="n">
        <f aca="false">IF(ISNUMBER(K95),K95,N(M94))</f>
        <v>0</v>
      </c>
      <c r="N95" s="0" t="str">
        <f aca="true">IF(AND(H95="",K95=""),"",TRIM(IF(AND(H95&lt;&gt;"",NOT(AND(LEN(H95)=10,MID(H95,5,1)="-",MID(H95,8,1)="-"))),"Fecha con formato invalido (usa AAAA-MM-DD). ","")&amp;IF(AND(H95&lt;&gt;"",COUNTIF($H$2:$H$367,H95)&gt;1),"Fecha repetida en otro dia. ","")&amp;IF(AND(H95&lt;&gt;"",H94&lt;&gt;"",H95&lt;=H94),"La fecha no es posterior a la del dia anterior. ","")&amp;IF(AND(H95&lt;&gt;"",ISNUMBER(A95),ISNUMBER(D94),ISNUMBER(C94),ABS(A95-IF(G94&gt;=$P$2,MIN(D94,C94),D94))&gt;0.005),"Bank roll inicial no sigue la regla del dia anterior (alguien sobrescribio la formula). ","")&amp;IF(AND(H95&lt;&gt;"",ISNUMBER(B95),ISNUMBER(A95),ABS(B95-A95/8)&gt;0.00001),"Stake distinto de Bank roll/8. ","")&amp;IF(AND(H95&lt;&gt;"",ISNUMBER(E95),ABS(E95)&gt;0.005),"Residuo distinto de 0. ","")&amp;IF(AND(K95&lt;&gt;"",OR(NOT(ISNUMBER(K95)),N(K95)&lt;0)),"Saldo L2 no numerico o negativo. ","")&amp;IF(AND(H95&lt;&gt;"",H95&lt;TEXT(TODAY(),"yyyy-mm-dd"),G95&gt;=$P$2,K95="",OR(N(J95)&gt;0,N(M94)&gt;0)),"Falta cerrar el Saldo L2 de este dia. ","")&amp;IF(AND(H95&lt;&gt;"",SUMPRODUCT((Registros!$C$2:$C$3000=H95)*ISTEXT(Registros!$AP$2:$AP$3000))&gt;0),"Hay P/L guardado como texto en Registros (no suma). ","")))</f>
        <v/>
      </c>
    </row>
    <row r="96" customFormat="false" ht="15" hidden="false" customHeight="true" outlineLevel="0" collapsed="false">
      <c r="A96" s="13" t="n">
        <f aca="false">IF(D95="","",IF(G95&gt;=$P$2,MIN(D95,C95),D95))</f>
        <v>8</v>
      </c>
      <c r="B96" s="13" t="n">
        <f aca="false">IF(A96="","",A96/8)</f>
        <v>1</v>
      </c>
      <c r="C96" s="13" t="n">
        <f aca="false">IF(OR(A96="",B96=""),"",A96+B96)</f>
        <v>9</v>
      </c>
      <c r="D96" s="13" t="n">
        <f aca="false">IF(A96="","",A96+SUMIFS(Registros!$AP:$AP,Registros!$C:$C,H96))</f>
        <v>8</v>
      </c>
      <c r="E96" s="13" t="n">
        <f aca="false">IF(A96="","",ROUND(A96-8*B96,2))</f>
        <v>0</v>
      </c>
      <c r="F96" s="13" t="n">
        <f aca="false">IF(OR(D96="",C96=""),"",D96-C96)</f>
        <v>-1</v>
      </c>
      <c r="G96" s="20" t="n">
        <f aca="false">IF(G95="","",G95+1)</f>
        <v>95</v>
      </c>
      <c r="H96" s="15"/>
      <c r="I96" s="14"/>
      <c r="J96" s="16" t="str">
        <f aca="false">IF(OR(H96="",D96="",C96="",G96&lt;$P$2),"",MAX(0,ROUND(D96-C96,2)))</f>
        <v/>
      </c>
      <c r="K96" s="17"/>
      <c r="L96" s="16" t="str">
        <f aca="false">IF(NOT(ISNUMBER(K96)),"",ROUND(K96-N(M95)-N(J96),2))</f>
        <v/>
      </c>
      <c r="M96" s="16" t="n">
        <f aca="false">IF(ISNUMBER(K96),K96,N(M95))</f>
        <v>0</v>
      </c>
      <c r="N96" s="0" t="str">
        <f aca="true">IF(AND(H96="",K96=""),"",TRIM(IF(AND(H96&lt;&gt;"",NOT(AND(LEN(H96)=10,MID(H96,5,1)="-",MID(H96,8,1)="-"))),"Fecha con formato invalido (usa AAAA-MM-DD). ","")&amp;IF(AND(H96&lt;&gt;"",COUNTIF($H$2:$H$367,H96)&gt;1),"Fecha repetida en otro dia. ","")&amp;IF(AND(H96&lt;&gt;"",H95&lt;&gt;"",H96&lt;=H95),"La fecha no es posterior a la del dia anterior. ","")&amp;IF(AND(H96&lt;&gt;"",ISNUMBER(A96),ISNUMBER(D95),ISNUMBER(C95),ABS(A96-IF(G95&gt;=$P$2,MIN(D95,C95),D95))&gt;0.005),"Bank roll inicial no sigue la regla del dia anterior (alguien sobrescribio la formula). ","")&amp;IF(AND(H96&lt;&gt;"",ISNUMBER(B96),ISNUMBER(A96),ABS(B96-A96/8)&gt;0.00001),"Stake distinto de Bank roll/8. ","")&amp;IF(AND(H96&lt;&gt;"",ISNUMBER(E96),ABS(E96)&gt;0.005),"Residuo distinto de 0. ","")&amp;IF(AND(K96&lt;&gt;"",OR(NOT(ISNUMBER(K96)),N(K96)&lt;0)),"Saldo L2 no numerico o negativo. ","")&amp;IF(AND(H96&lt;&gt;"",H96&lt;TEXT(TODAY(),"yyyy-mm-dd"),G96&gt;=$P$2,K96="",OR(N(J96)&gt;0,N(M95)&gt;0)),"Falta cerrar el Saldo L2 de este dia. ","")&amp;IF(AND(H96&lt;&gt;"",SUMPRODUCT((Registros!$C$2:$C$3000=H96)*ISTEXT(Registros!$AP$2:$AP$3000))&gt;0),"Hay P/L guardado como texto en Registros (no suma). ","")))</f>
        <v/>
      </c>
    </row>
    <row r="97" customFormat="false" ht="15" hidden="false" customHeight="true" outlineLevel="0" collapsed="false">
      <c r="A97" s="13" t="n">
        <f aca="false">IF(D96="","",IF(G96&gt;=$P$2,MIN(D96,C96),D96))</f>
        <v>8</v>
      </c>
      <c r="B97" s="13" t="n">
        <f aca="false">IF(A97="","",A97/8)</f>
        <v>1</v>
      </c>
      <c r="C97" s="13" t="n">
        <f aca="false">IF(OR(A97="",B97=""),"",A97+B97)</f>
        <v>9</v>
      </c>
      <c r="D97" s="13" t="n">
        <f aca="false">IF(A97="","",A97+SUMIFS(Registros!$AP:$AP,Registros!$C:$C,H97))</f>
        <v>8</v>
      </c>
      <c r="E97" s="13" t="n">
        <f aca="false">IF(A97="","",ROUND(A97-8*B97,2))</f>
        <v>0</v>
      </c>
      <c r="F97" s="13" t="n">
        <f aca="false">IF(OR(D97="",C97=""),"",D97-C97)</f>
        <v>-1</v>
      </c>
      <c r="G97" s="20" t="n">
        <f aca="false">IF(G96="","",G96+1)</f>
        <v>96</v>
      </c>
      <c r="H97" s="15"/>
      <c r="I97" s="14"/>
      <c r="J97" s="16" t="str">
        <f aca="false">IF(OR(H97="",D97="",C97="",G97&lt;$P$2),"",MAX(0,ROUND(D97-C97,2)))</f>
        <v/>
      </c>
      <c r="K97" s="17"/>
      <c r="L97" s="16" t="str">
        <f aca="false">IF(NOT(ISNUMBER(K97)),"",ROUND(K97-N(M96)-N(J97),2))</f>
        <v/>
      </c>
      <c r="M97" s="16" t="n">
        <f aca="false">IF(ISNUMBER(K97),K97,N(M96))</f>
        <v>0</v>
      </c>
      <c r="N97" s="0" t="str">
        <f aca="true">IF(AND(H97="",K97=""),"",TRIM(IF(AND(H97&lt;&gt;"",NOT(AND(LEN(H97)=10,MID(H97,5,1)="-",MID(H97,8,1)="-"))),"Fecha con formato invalido (usa AAAA-MM-DD). ","")&amp;IF(AND(H97&lt;&gt;"",COUNTIF($H$2:$H$367,H97)&gt;1),"Fecha repetida en otro dia. ","")&amp;IF(AND(H97&lt;&gt;"",H96&lt;&gt;"",H97&lt;=H96),"La fecha no es posterior a la del dia anterior. ","")&amp;IF(AND(H97&lt;&gt;"",ISNUMBER(A97),ISNUMBER(D96),ISNUMBER(C96),ABS(A97-IF(G96&gt;=$P$2,MIN(D96,C96),D96))&gt;0.005),"Bank roll inicial no sigue la regla del dia anterior (alguien sobrescribio la formula). ","")&amp;IF(AND(H97&lt;&gt;"",ISNUMBER(B97),ISNUMBER(A97),ABS(B97-A97/8)&gt;0.00001),"Stake distinto de Bank roll/8. ","")&amp;IF(AND(H97&lt;&gt;"",ISNUMBER(E97),ABS(E97)&gt;0.005),"Residuo distinto de 0. ","")&amp;IF(AND(K97&lt;&gt;"",OR(NOT(ISNUMBER(K97)),N(K97)&lt;0)),"Saldo L2 no numerico o negativo. ","")&amp;IF(AND(H97&lt;&gt;"",H97&lt;TEXT(TODAY(),"yyyy-mm-dd"),G97&gt;=$P$2,K97="",OR(N(J97)&gt;0,N(M96)&gt;0)),"Falta cerrar el Saldo L2 de este dia. ","")&amp;IF(AND(H97&lt;&gt;"",SUMPRODUCT((Registros!$C$2:$C$3000=H97)*ISTEXT(Registros!$AP$2:$AP$3000))&gt;0),"Hay P/L guardado como texto en Registros (no suma). ","")))</f>
        <v/>
      </c>
    </row>
    <row r="98" customFormat="false" ht="15" hidden="false" customHeight="true" outlineLevel="0" collapsed="false">
      <c r="A98" s="13" t="n">
        <f aca="false">IF(D97="","",IF(G97&gt;=$P$2,MIN(D97,C97),D97))</f>
        <v>8</v>
      </c>
      <c r="B98" s="13" t="n">
        <f aca="false">IF(A98="","",A98/8)</f>
        <v>1</v>
      </c>
      <c r="C98" s="13" t="n">
        <f aca="false">IF(OR(A98="",B98=""),"",A98+B98)</f>
        <v>9</v>
      </c>
      <c r="D98" s="13" t="n">
        <f aca="false">IF(A98="","",A98+SUMIFS(Registros!$AP:$AP,Registros!$C:$C,H98))</f>
        <v>8</v>
      </c>
      <c r="E98" s="13" t="n">
        <f aca="false">IF(A98="","",ROUND(A98-8*B98,2))</f>
        <v>0</v>
      </c>
      <c r="F98" s="13" t="n">
        <f aca="false">IF(OR(D98="",C98=""),"",D98-C98)</f>
        <v>-1</v>
      </c>
      <c r="G98" s="20" t="n">
        <f aca="false">IF(G97="","",G97+1)</f>
        <v>97</v>
      </c>
      <c r="H98" s="15"/>
      <c r="I98" s="14"/>
      <c r="J98" s="16" t="str">
        <f aca="false">IF(OR(H98="",D98="",C98="",G98&lt;$P$2),"",MAX(0,ROUND(D98-C98,2)))</f>
        <v/>
      </c>
      <c r="K98" s="17"/>
      <c r="L98" s="16" t="str">
        <f aca="false">IF(NOT(ISNUMBER(K98)),"",ROUND(K98-N(M97)-N(J98),2))</f>
        <v/>
      </c>
      <c r="M98" s="16" t="n">
        <f aca="false">IF(ISNUMBER(K98),K98,N(M97))</f>
        <v>0</v>
      </c>
      <c r="N98" s="0" t="str">
        <f aca="true">IF(AND(H98="",K98=""),"",TRIM(IF(AND(H98&lt;&gt;"",NOT(AND(LEN(H98)=10,MID(H98,5,1)="-",MID(H98,8,1)="-"))),"Fecha con formato invalido (usa AAAA-MM-DD). ","")&amp;IF(AND(H98&lt;&gt;"",COUNTIF($H$2:$H$367,H98)&gt;1),"Fecha repetida en otro dia. ","")&amp;IF(AND(H98&lt;&gt;"",H97&lt;&gt;"",H98&lt;=H97),"La fecha no es posterior a la del dia anterior. ","")&amp;IF(AND(H98&lt;&gt;"",ISNUMBER(A98),ISNUMBER(D97),ISNUMBER(C97),ABS(A98-IF(G97&gt;=$P$2,MIN(D97,C97),D97))&gt;0.005),"Bank roll inicial no sigue la regla del dia anterior (alguien sobrescribio la formula). ","")&amp;IF(AND(H98&lt;&gt;"",ISNUMBER(B98),ISNUMBER(A98),ABS(B98-A98/8)&gt;0.00001),"Stake distinto de Bank roll/8. ","")&amp;IF(AND(H98&lt;&gt;"",ISNUMBER(E98),ABS(E98)&gt;0.005),"Residuo distinto de 0. ","")&amp;IF(AND(K98&lt;&gt;"",OR(NOT(ISNUMBER(K98)),N(K98)&lt;0)),"Saldo L2 no numerico o negativo. ","")&amp;IF(AND(H98&lt;&gt;"",H98&lt;TEXT(TODAY(),"yyyy-mm-dd"),G98&gt;=$P$2,K98="",OR(N(J98)&gt;0,N(M97)&gt;0)),"Falta cerrar el Saldo L2 de este dia. ","")&amp;IF(AND(H98&lt;&gt;"",SUMPRODUCT((Registros!$C$2:$C$3000=H98)*ISTEXT(Registros!$AP$2:$AP$3000))&gt;0),"Hay P/L guardado como texto en Registros (no suma). ","")))</f>
        <v/>
      </c>
    </row>
    <row r="99" customFormat="false" ht="15" hidden="false" customHeight="true" outlineLevel="0" collapsed="false">
      <c r="A99" s="13" t="n">
        <f aca="false">IF(D98="","",IF(G98&gt;=$P$2,MIN(D98,C98),D98))</f>
        <v>8</v>
      </c>
      <c r="B99" s="13" t="n">
        <f aca="false">IF(A99="","",A99/8)</f>
        <v>1</v>
      </c>
      <c r="C99" s="13" t="n">
        <f aca="false">IF(OR(A99="",B99=""),"",A99+B99)</f>
        <v>9</v>
      </c>
      <c r="D99" s="13" t="n">
        <f aca="false">IF(A99="","",A99+SUMIFS(Registros!$AP:$AP,Registros!$C:$C,H99))</f>
        <v>8</v>
      </c>
      <c r="E99" s="13" t="n">
        <f aca="false">IF(A99="","",ROUND(A99-8*B99,2))</f>
        <v>0</v>
      </c>
      <c r="F99" s="13" t="n">
        <f aca="false">IF(OR(D99="",C99=""),"",D99-C99)</f>
        <v>-1</v>
      </c>
      <c r="G99" s="20" t="n">
        <f aca="false">IF(G98="","",G98+1)</f>
        <v>98</v>
      </c>
      <c r="H99" s="15"/>
      <c r="I99" s="14"/>
      <c r="J99" s="16" t="str">
        <f aca="false">IF(OR(H99="",D99="",C99="",G99&lt;$P$2),"",MAX(0,ROUND(D99-C99,2)))</f>
        <v/>
      </c>
      <c r="K99" s="17"/>
      <c r="L99" s="16" t="str">
        <f aca="false">IF(NOT(ISNUMBER(K99)),"",ROUND(K99-N(M98)-N(J99),2))</f>
        <v/>
      </c>
      <c r="M99" s="16" t="n">
        <f aca="false">IF(ISNUMBER(K99),K99,N(M98))</f>
        <v>0</v>
      </c>
      <c r="N99" s="0" t="str">
        <f aca="true">IF(AND(H99="",K99=""),"",TRIM(IF(AND(H99&lt;&gt;"",NOT(AND(LEN(H99)=10,MID(H99,5,1)="-",MID(H99,8,1)="-"))),"Fecha con formato invalido (usa AAAA-MM-DD). ","")&amp;IF(AND(H99&lt;&gt;"",COUNTIF($H$2:$H$367,H99)&gt;1),"Fecha repetida en otro dia. ","")&amp;IF(AND(H99&lt;&gt;"",H98&lt;&gt;"",H99&lt;=H98),"La fecha no es posterior a la del dia anterior. ","")&amp;IF(AND(H99&lt;&gt;"",ISNUMBER(A99),ISNUMBER(D98),ISNUMBER(C98),ABS(A99-IF(G98&gt;=$P$2,MIN(D98,C98),D98))&gt;0.005),"Bank roll inicial no sigue la regla del dia anterior (alguien sobrescribio la formula). ","")&amp;IF(AND(H99&lt;&gt;"",ISNUMBER(B99),ISNUMBER(A99),ABS(B99-A99/8)&gt;0.00001),"Stake distinto de Bank roll/8. ","")&amp;IF(AND(H99&lt;&gt;"",ISNUMBER(E99),ABS(E99)&gt;0.005),"Residuo distinto de 0. ","")&amp;IF(AND(K99&lt;&gt;"",OR(NOT(ISNUMBER(K99)),N(K99)&lt;0)),"Saldo L2 no numerico o negativo. ","")&amp;IF(AND(H99&lt;&gt;"",H99&lt;TEXT(TODAY(),"yyyy-mm-dd"),G99&gt;=$P$2,K99="",OR(N(J99)&gt;0,N(M98)&gt;0)),"Falta cerrar el Saldo L2 de este dia. ","")&amp;IF(AND(H99&lt;&gt;"",SUMPRODUCT((Registros!$C$2:$C$3000=H99)*ISTEXT(Registros!$AP$2:$AP$3000))&gt;0),"Hay P/L guardado como texto en Registros (no suma). ","")))</f>
        <v/>
      </c>
    </row>
    <row r="100" customFormat="false" ht="15" hidden="false" customHeight="true" outlineLevel="0" collapsed="false">
      <c r="A100" s="13" t="n">
        <f aca="false">IF(D99="","",IF(G99&gt;=$P$2,MIN(D99,C99),D99))</f>
        <v>8</v>
      </c>
      <c r="B100" s="13" t="n">
        <f aca="false">IF(A100="","",A100/8)</f>
        <v>1</v>
      </c>
      <c r="C100" s="13" t="n">
        <f aca="false">IF(OR(A100="",B100=""),"",A100+B100)</f>
        <v>9</v>
      </c>
      <c r="D100" s="13" t="n">
        <f aca="false">IF(A100="","",A100+SUMIFS(Registros!$AP:$AP,Registros!$C:$C,H100))</f>
        <v>8</v>
      </c>
      <c r="E100" s="13" t="n">
        <f aca="false">IF(A100="","",ROUND(A100-8*B100,2))</f>
        <v>0</v>
      </c>
      <c r="F100" s="13" t="n">
        <f aca="false">IF(OR(D100="",C100=""),"",D100-C100)</f>
        <v>-1</v>
      </c>
      <c r="G100" s="20" t="n">
        <f aca="false">IF(G99="","",G99+1)</f>
        <v>99</v>
      </c>
      <c r="H100" s="15"/>
      <c r="I100" s="14"/>
      <c r="J100" s="16" t="str">
        <f aca="false">IF(OR(H100="",D100="",C100="",G100&lt;$P$2),"",MAX(0,ROUND(D100-C100,2)))</f>
        <v/>
      </c>
      <c r="K100" s="17"/>
      <c r="L100" s="16" t="str">
        <f aca="false">IF(NOT(ISNUMBER(K100)),"",ROUND(K100-N(M99)-N(J100),2))</f>
        <v/>
      </c>
      <c r="M100" s="16" t="n">
        <f aca="false">IF(ISNUMBER(K100),K100,N(M99))</f>
        <v>0</v>
      </c>
      <c r="N100" s="0" t="str">
        <f aca="true">IF(AND(H100="",K100=""),"",TRIM(IF(AND(H100&lt;&gt;"",NOT(AND(LEN(H100)=10,MID(H100,5,1)="-",MID(H100,8,1)="-"))),"Fecha con formato invalido (usa AAAA-MM-DD). ","")&amp;IF(AND(H100&lt;&gt;"",COUNTIF($H$2:$H$367,H100)&gt;1),"Fecha repetida en otro dia. ","")&amp;IF(AND(H100&lt;&gt;"",H99&lt;&gt;"",H100&lt;=H99),"La fecha no es posterior a la del dia anterior. ","")&amp;IF(AND(H100&lt;&gt;"",ISNUMBER(A100),ISNUMBER(D99),ISNUMBER(C99),ABS(A100-IF(G99&gt;=$P$2,MIN(D99,C99),D99))&gt;0.005),"Bank roll inicial no sigue la regla del dia anterior (alguien sobrescribio la formula). ","")&amp;IF(AND(H100&lt;&gt;"",ISNUMBER(B100),ISNUMBER(A100),ABS(B100-A100/8)&gt;0.00001),"Stake distinto de Bank roll/8. ","")&amp;IF(AND(H100&lt;&gt;"",ISNUMBER(E100),ABS(E100)&gt;0.005),"Residuo distinto de 0. ","")&amp;IF(AND(K100&lt;&gt;"",OR(NOT(ISNUMBER(K100)),N(K100)&lt;0)),"Saldo L2 no numerico o negativo. ","")&amp;IF(AND(H100&lt;&gt;"",H100&lt;TEXT(TODAY(),"yyyy-mm-dd"),G100&gt;=$P$2,K100="",OR(N(J100)&gt;0,N(M99)&gt;0)),"Falta cerrar el Saldo L2 de este dia. ","")&amp;IF(AND(H100&lt;&gt;"",SUMPRODUCT((Registros!$C$2:$C$3000=H100)*ISTEXT(Registros!$AP$2:$AP$3000))&gt;0),"Hay P/L guardado como texto en Registros (no suma). ","")))</f>
        <v/>
      </c>
    </row>
    <row r="101" customFormat="false" ht="15" hidden="false" customHeight="true" outlineLevel="0" collapsed="false">
      <c r="A101" s="13" t="n">
        <f aca="false">IF(D100="","",IF(G100&gt;=$P$2,MIN(D100,C100),D100))</f>
        <v>8</v>
      </c>
      <c r="B101" s="13" t="n">
        <f aca="false">IF(A101="","",A101/8)</f>
        <v>1</v>
      </c>
      <c r="C101" s="13" t="n">
        <f aca="false">IF(OR(A101="",B101=""),"",A101+B101)</f>
        <v>9</v>
      </c>
      <c r="D101" s="13" t="n">
        <f aca="false">IF(A101="","",A101+SUMIFS(Registros!$AP:$AP,Registros!$C:$C,H101))</f>
        <v>8</v>
      </c>
      <c r="E101" s="13" t="n">
        <f aca="false">IF(A101="","",ROUND(A101-8*B101,2))</f>
        <v>0</v>
      </c>
      <c r="F101" s="13" t="n">
        <f aca="false">IF(OR(D101="",C101=""),"",D101-C101)</f>
        <v>-1</v>
      </c>
      <c r="G101" s="20" t="n">
        <f aca="false">IF(G100="","",G100+1)</f>
        <v>100</v>
      </c>
      <c r="H101" s="15"/>
      <c r="I101" s="14"/>
      <c r="J101" s="16" t="str">
        <f aca="false">IF(OR(H101="",D101="",C101="",G101&lt;$P$2),"",MAX(0,ROUND(D101-C101,2)))</f>
        <v/>
      </c>
      <c r="K101" s="17"/>
      <c r="L101" s="16" t="str">
        <f aca="false">IF(NOT(ISNUMBER(K101)),"",ROUND(K101-N(M100)-N(J101),2))</f>
        <v/>
      </c>
      <c r="M101" s="16" t="n">
        <f aca="false">IF(ISNUMBER(K101),K101,N(M100))</f>
        <v>0</v>
      </c>
      <c r="N101" s="0" t="str">
        <f aca="true">IF(AND(H101="",K101=""),"",TRIM(IF(AND(H101&lt;&gt;"",NOT(AND(LEN(H101)=10,MID(H101,5,1)="-",MID(H101,8,1)="-"))),"Fecha con formato invalido (usa AAAA-MM-DD). ","")&amp;IF(AND(H101&lt;&gt;"",COUNTIF($H$2:$H$367,H101)&gt;1),"Fecha repetida en otro dia. ","")&amp;IF(AND(H101&lt;&gt;"",H100&lt;&gt;"",H101&lt;=H100),"La fecha no es posterior a la del dia anterior. ","")&amp;IF(AND(H101&lt;&gt;"",ISNUMBER(A101),ISNUMBER(D100),ISNUMBER(C100),ABS(A101-IF(G100&gt;=$P$2,MIN(D100,C100),D100))&gt;0.005),"Bank roll inicial no sigue la regla del dia anterior (alguien sobrescribio la formula). ","")&amp;IF(AND(H101&lt;&gt;"",ISNUMBER(B101),ISNUMBER(A101),ABS(B101-A101/8)&gt;0.00001),"Stake distinto de Bank roll/8. ","")&amp;IF(AND(H101&lt;&gt;"",ISNUMBER(E101),ABS(E101)&gt;0.005),"Residuo distinto de 0. ","")&amp;IF(AND(K101&lt;&gt;"",OR(NOT(ISNUMBER(K101)),N(K101)&lt;0)),"Saldo L2 no numerico o negativo. ","")&amp;IF(AND(H101&lt;&gt;"",H101&lt;TEXT(TODAY(),"yyyy-mm-dd"),G101&gt;=$P$2,K101="",OR(N(J101)&gt;0,N(M100)&gt;0)),"Falta cerrar el Saldo L2 de este dia. ","")&amp;IF(AND(H101&lt;&gt;"",SUMPRODUCT((Registros!$C$2:$C$3000=H101)*ISTEXT(Registros!$AP$2:$AP$3000))&gt;0),"Hay P/L guardado como texto en Registros (no suma). ","")))</f>
        <v/>
      </c>
    </row>
    <row r="102" customFormat="false" ht="15" hidden="false" customHeight="true" outlineLevel="0" collapsed="false">
      <c r="A102" s="13" t="n">
        <f aca="false">IF(D101="","",IF(G101&gt;=$P$2,MIN(D101,C101),D101))</f>
        <v>8</v>
      </c>
      <c r="B102" s="13" t="n">
        <f aca="false">IF(A102="","",A102/8)</f>
        <v>1</v>
      </c>
      <c r="C102" s="13" t="n">
        <f aca="false">IF(OR(A102="",B102=""),"",A102+B102)</f>
        <v>9</v>
      </c>
      <c r="D102" s="13" t="n">
        <f aca="false">IF(A102="","",A102+SUMIFS(Registros!$AP:$AP,Registros!$C:$C,H102))</f>
        <v>8</v>
      </c>
      <c r="E102" s="13" t="n">
        <f aca="false">IF(A102="","",ROUND(A102-8*B102,2))</f>
        <v>0</v>
      </c>
      <c r="F102" s="13" t="n">
        <f aca="false">IF(OR(D102="",C102=""),"",D102-C102)</f>
        <v>-1</v>
      </c>
      <c r="G102" s="20" t="n">
        <f aca="false">IF(G101="","",G101+1)</f>
        <v>101</v>
      </c>
      <c r="H102" s="15"/>
      <c r="I102" s="14"/>
      <c r="J102" s="16" t="str">
        <f aca="false">IF(OR(H102="",D102="",C102="",G102&lt;$P$2),"",MAX(0,ROUND(D102-C102,2)))</f>
        <v/>
      </c>
      <c r="K102" s="17"/>
      <c r="L102" s="16" t="str">
        <f aca="false">IF(NOT(ISNUMBER(K102)),"",ROUND(K102-N(M101)-N(J102),2))</f>
        <v/>
      </c>
      <c r="M102" s="16" t="n">
        <f aca="false">IF(ISNUMBER(K102),K102,N(M101))</f>
        <v>0</v>
      </c>
      <c r="N102" s="0" t="str">
        <f aca="true">IF(AND(H102="",K102=""),"",TRIM(IF(AND(H102&lt;&gt;"",NOT(AND(LEN(H102)=10,MID(H102,5,1)="-",MID(H102,8,1)="-"))),"Fecha con formato invalido (usa AAAA-MM-DD). ","")&amp;IF(AND(H102&lt;&gt;"",COUNTIF($H$2:$H$367,H102)&gt;1),"Fecha repetida en otro dia. ","")&amp;IF(AND(H102&lt;&gt;"",H101&lt;&gt;"",H102&lt;=H101),"La fecha no es posterior a la del dia anterior. ","")&amp;IF(AND(H102&lt;&gt;"",ISNUMBER(A102),ISNUMBER(D101),ISNUMBER(C101),ABS(A102-IF(G101&gt;=$P$2,MIN(D101,C101),D101))&gt;0.005),"Bank roll inicial no sigue la regla del dia anterior (alguien sobrescribio la formula). ","")&amp;IF(AND(H102&lt;&gt;"",ISNUMBER(B102),ISNUMBER(A102),ABS(B102-A102/8)&gt;0.00001),"Stake distinto de Bank roll/8. ","")&amp;IF(AND(H102&lt;&gt;"",ISNUMBER(E102),ABS(E102)&gt;0.005),"Residuo distinto de 0. ","")&amp;IF(AND(K102&lt;&gt;"",OR(NOT(ISNUMBER(K102)),N(K102)&lt;0)),"Saldo L2 no numerico o negativo. ","")&amp;IF(AND(H102&lt;&gt;"",H102&lt;TEXT(TODAY(),"yyyy-mm-dd"),G102&gt;=$P$2,K102="",OR(N(J102)&gt;0,N(M101)&gt;0)),"Falta cerrar el Saldo L2 de este dia. ","")&amp;IF(AND(H102&lt;&gt;"",SUMPRODUCT((Registros!$C$2:$C$3000=H102)*ISTEXT(Registros!$AP$2:$AP$3000))&gt;0),"Hay P/L guardado como texto en Registros (no suma). ","")))</f>
        <v/>
      </c>
    </row>
    <row r="103" customFormat="false" ht="15" hidden="false" customHeight="true" outlineLevel="0" collapsed="false">
      <c r="A103" s="13" t="n">
        <f aca="false">IF(D102="","",IF(G102&gt;=$P$2,MIN(D102,C102),D102))</f>
        <v>8</v>
      </c>
      <c r="B103" s="13" t="n">
        <f aca="false">IF(A103="","",A103/8)</f>
        <v>1</v>
      </c>
      <c r="C103" s="13" t="n">
        <f aca="false">IF(OR(A103="",B103=""),"",A103+B103)</f>
        <v>9</v>
      </c>
      <c r="D103" s="13" t="n">
        <f aca="false">IF(A103="","",A103+SUMIFS(Registros!$AP:$AP,Registros!$C:$C,H103))</f>
        <v>8</v>
      </c>
      <c r="E103" s="13" t="n">
        <f aca="false">IF(A103="","",ROUND(A103-8*B103,2))</f>
        <v>0</v>
      </c>
      <c r="F103" s="13" t="n">
        <f aca="false">IF(OR(D103="",C103=""),"",D103-C103)</f>
        <v>-1</v>
      </c>
      <c r="G103" s="20" t="n">
        <f aca="false">IF(G102="","",G102+1)</f>
        <v>102</v>
      </c>
      <c r="H103" s="15"/>
      <c r="I103" s="14"/>
      <c r="J103" s="16" t="str">
        <f aca="false">IF(OR(H103="",D103="",C103="",G103&lt;$P$2),"",MAX(0,ROUND(D103-C103,2)))</f>
        <v/>
      </c>
      <c r="K103" s="17"/>
      <c r="L103" s="16" t="str">
        <f aca="false">IF(NOT(ISNUMBER(K103)),"",ROUND(K103-N(M102)-N(J103),2))</f>
        <v/>
      </c>
      <c r="M103" s="16" t="n">
        <f aca="false">IF(ISNUMBER(K103),K103,N(M102))</f>
        <v>0</v>
      </c>
      <c r="N103" s="0" t="str">
        <f aca="true">IF(AND(H103="",K103=""),"",TRIM(IF(AND(H103&lt;&gt;"",NOT(AND(LEN(H103)=10,MID(H103,5,1)="-",MID(H103,8,1)="-"))),"Fecha con formato invalido (usa AAAA-MM-DD). ","")&amp;IF(AND(H103&lt;&gt;"",COUNTIF($H$2:$H$367,H103)&gt;1),"Fecha repetida en otro dia. ","")&amp;IF(AND(H103&lt;&gt;"",H102&lt;&gt;"",H103&lt;=H102),"La fecha no es posterior a la del dia anterior. ","")&amp;IF(AND(H103&lt;&gt;"",ISNUMBER(A103),ISNUMBER(D102),ISNUMBER(C102),ABS(A103-IF(G102&gt;=$P$2,MIN(D102,C102),D102))&gt;0.005),"Bank roll inicial no sigue la regla del dia anterior (alguien sobrescribio la formula). ","")&amp;IF(AND(H103&lt;&gt;"",ISNUMBER(B103),ISNUMBER(A103),ABS(B103-A103/8)&gt;0.00001),"Stake distinto de Bank roll/8. ","")&amp;IF(AND(H103&lt;&gt;"",ISNUMBER(E103),ABS(E103)&gt;0.005),"Residuo distinto de 0. ","")&amp;IF(AND(K103&lt;&gt;"",OR(NOT(ISNUMBER(K103)),N(K103)&lt;0)),"Saldo L2 no numerico o negativo. ","")&amp;IF(AND(H103&lt;&gt;"",H103&lt;TEXT(TODAY(),"yyyy-mm-dd"),G103&gt;=$P$2,K103="",OR(N(J103)&gt;0,N(M102)&gt;0)),"Falta cerrar el Saldo L2 de este dia. ","")&amp;IF(AND(H103&lt;&gt;"",SUMPRODUCT((Registros!$C$2:$C$3000=H103)*ISTEXT(Registros!$AP$2:$AP$3000))&gt;0),"Hay P/L guardado como texto en Registros (no suma). ","")))</f>
        <v/>
      </c>
    </row>
    <row r="104" customFormat="false" ht="15" hidden="false" customHeight="true" outlineLevel="0" collapsed="false">
      <c r="A104" s="13" t="n">
        <f aca="false">IF(D103="","",IF(G103&gt;=$P$2,MIN(D103,C103),D103))</f>
        <v>8</v>
      </c>
      <c r="B104" s="13" t="n">
        <f aca="false">IF(A104="","",A104/8)</f>
        <v>1</v>
      </c>
      <c r="C104" s="13" t="n">
        <f aca="false">IF(OR(A104="",B104=""),"",A104+B104)</f>
        <v>9</v>
      </c>
      <c r="D104" s="13" t="n">
        <f aca="false">IF(A104="","",A104+SUMIFS(Registros!$AP:$AP,Registros!$C:$C,H104))</f>
        <v>8</v>
      </c>
      <c r="E104" s="13" t="n">
        <f aca="false">IF(A104="","",ROUND(A104-8*B104,2))</f>
        <v>0</v>
      </c>
      <c r="F104" s="13" t="n">
        <f aca="false">IF(OR(D104="",C104=""),"",D104-C104)</f>
        <v>-1</v>
      </c>
      <c r="G104" s="20" t="n">
        <f aca="false">IF(G103="","",G103+1)</f>
        <v>103</v>
      </c>
      <c r="H104" s="15"/>
      <c r="I104" s="14"/>
      <c r="J104" s="16" t="str">
        <f aca="false">IF(OR(H104="",D104="",C104="",G104&lt;$P$2),"",MAX(0,ROUND(D104-C104,2)))</f>
        <v/>
      </c>
      <c r="K104" s="17"/>
      <c r="L104" s="16" t="str">
        <f aca="false">IF(NOT(ISNUMBER(K104)),"",ROUND(K104-N(M103)-N(J104),2))</f>
        <v/>
      </c>
      <c r="M104" s="16" t="n">
        <f aca="false">IF(ISNUMBER(K104),K104,N(M103))</f>
        <v>0</v>
      </c>
      <c r="N104" s="0" t="str">
        <f aca="true">IF(AND(H104="",K104=""),"",TRIM(IF(AND(H104&lt;&gt;"",NOT(AND(LEN(H104)=10,MID(H104,5,1)="-",MID(H104,8,1)="-"))),"Fecha con formato invalido (usa AAAA-MM-DD). ","")&amp;IF(AND(H104&lt;&gt;"",COUNTIF($H$2:$H$367,H104)&gt;1),"Fecha repetida en otro dia. ","")&amp;IF(AND(H104&lt;&gt;"",H103&lt;&gt;"",H104&lt;=H103),"La fecha no es posterior a la del dia anterior. ","")&amp;IF(AND(H104&lt;&gt;"",ISNUMBER(A104),ISNUMBER(D103),ISNUMBER(C103),ABS(A104-IF(G103&gt;=$P$2,MIN(D103,C103),D103))&gt;0.005),"Bank roll inicial no sigue la regla del dia anterior (alguien sobrescribio la formula). ","")&amp;IF(AND(H104&lt;&gt;"",ISNUMBER(B104),ISNUMBER(A104),ABS(B104-A104/8)&gt;0.00001),"Stake distinto de Bank roll/8. ","")&amp;IF(AND(H104&lt;&gt;"",ISNUMBER(E104),ABS(E104)&gt;0.005),"Residuo distinto de 0. ","")&amp;IF(AND(K104&lt;&gt;"",OR(NOT(ISNUMBER(K104)),N(K104)&lt;0)),"Saldo L2 no numerico o negativo. ","")&amp;IF(AND(H104&lt;&gt;"",H104&lt;TEXT(TODAY(),"yyyy-mm-dd"),G104&gt;=$P$2,K104="",OR(N(J104)&gt;0,N(M103)&gt;0)),"Falta cerrar el Saldo L2 de este dia. ","")&amp;IF(AND(H104&lt;&gt;"",SUMPRODUCT((Registros!$C$2:$C$3000=H104)*ISTEXT(Registros!$AP$2:$AP$3000))&gt;0),"Hay P/L guardado como texto en Registros (no suma). ","")))</f>
        <v/>
      </c>
    </row>
    <row r="105" customFormat="false" ht="15" hidden="false" customHeight="true" outlineLevel="0" collapsed="false">
      <c r="A105" s="13" t="n">
        <f aca="false">IF(D104="","",IF(G104&gt;=$P$2,MIN(D104,C104),D104))</f>
        <v>8</v>
      </c>
      <c r="B105" s="13" t="n">
        <f aca="false">IF(A105="","",A105/8)</f>
        <v>1</v>
      </c>
      <c r="C105" s="13" t="n">
        <f aca="false">IF(OR(A105="",B105=""),"",A105+B105)</f>
        <v>9</v>
      </c>
      <c r="D105" s="13" t="n">
        <f aca="false">IF(A105="","",A105+SUMIFS(Registros!$AP:$AP,Registros!$C:$C,H105))</f>
        <v>8</v>
      </c>
      <c r="E105" s="13" t="n">
        <f aca="false">IF(A105="","",ROUND(A105-8*B105,2))</f>
        <v>0</v>
      </c>
      <c r="F105" s="13" t="n">
        <f aca="false">IF(OR(D105="",C105=""),"",D105-C105)</f>
        <v>-1</v>
      </c>
      <c r="G105" s="20" t="n">
        <f aca="false">IF(G104="","",G104+1)</f>
        <v>104</v>
      </c>
      <c r="H105" s="15"/>
      <c r="I105" s="14"/>
      <c r="J105" s="16" t="str">
        <f aca="false">IF(OR(H105="",D105="",C105="",G105&lt;$P$2),"",MAX(0,ROUND(D105-C105,2)))</f>
        <v/>
      </c>
      <c r="K105" s="17"/>
      <c r="L105" s="16" t="str">
        <f aca="false">IF(NOT(ISNUMBER(K105)),"",ROUND(K105-N(M104)-N(J105),2))</f>
        <v/>
      </c>
      <c r="M105" s="16" t="n">
        <f aca="false">IF(ISNUMBER(K105),K105,N(M104))</f>
        <v>0</v>
      </c>
      <c r="N105" s="0" t="str">
        <f aca="true">IF(AND(H105="",K105=""),"",TRIM(IF(AND(H105&lt;&gt;"",NOT(AND(LEN(H105)=10,MID(H105,5,1)="-",MID(H105,8,1)="-"))),"Fecha con formato invalido (usa AAAA-MM-DD). ","")&amp;IF(AND(H105&lt;&gt;"",COUNTIF($H$2:$H$367,H105)&gt;1),"Fecha repetida en otro dia. ","")&amp;IF(AND(H105&lt;&gt;"",H104&lt;&gt;"",H105&lt;=H104),"La fecha no es posterior a la del dia anterior. ","")&amp;IF(AND(H105&lt;&gt;"",ISNUMBER(A105),ISNUMBER(D104),ISNUMBER(C104),ABS(A105-IF(G104&gt;=$P$2,MIN(D104,C104),D104))&gt;0.005),"Bank roll inicial no sigue la regla del dia anterior (alguien sobrescribio la formula). ","")&amp;IF(AND(H105&lt;&gt;"",ISNUMBER(B105),ISNUMBER(A105),ABS(B105-A105/8)&gt;0.00001),"Stake distinto de Bank roll/8. ","")&amp;IF(AND(H105&lt;&gt;"",ISNUMBER(E105),ABS(E105)&gt;0.005),"Residuo distinto de 0. ","")&amp;IF(AND(K105&lt;&gt;"",OR(NOT(ISNUMBER(K105)),N(K105)&lt;0)),"Saldo L2 no numerico o negativo. ","")&amp;IF(AND(H105&lt;&gt;"",H105&lt;TEXT(TODAY(),"yyyy-mm-dd"),G105&gt;=$P$2,K105="",OR(N(J105)&gt;0,N(M104)&gt;0)),"Falta cerrar el Saldo L2 de este dia. ","")&amp;IF(AND(H105&lt;&gt;"",SUMPRODUCT((Registros!$C$2:$C$3000=H105)*ISTEXT(Registros!$AP$2:$AP$3000))&gt;0),"Hay P/L guardado como texto en Registros (no suma). ","")))</f>
        <v/>
      </c>
    </row>
    <row r="106" customFormat="false" ht="15" hidden="false" customHeight="true" outlineLevel="0" collapsed="false">
      <c r="A106" s="13" t="n">
        <f aca="false">IF(D105="","",IF(G105&gt;=$P$2,MIN(D105,C105),D105))</f>
        <v>8</v>
      </c>
      <c r="B106" s="13" t="n">
        <f aca="false">IF(A106="","",A106/8)</f>
        <v>1</v>
      </c>
      <c r="C106" s="13" t="n">
        <f aca="false">IF(OR(A106="",B106=""),"",A106+B106)</f>
        <v>9</v>
      </c>
      <c r="D106" s="13" t="n">
        <f aca="false">IF(A106="","",A106+SUMIFS(Registros!$AP:$AP,Registros!$C:$C,H106))</f>
        <v>8</v>
      </c>
      <c r="E106" s="13" t="n">
        <f aca="false">IF(A106="","",ROUND(A106-8*B106,2))</f>
        <v>0</v>
      </c>
      <c r="F106" s="13" t="n">
        <f aca="false">IF(OR(D106="",C106=""),"",D106-C106)</f>
        <v>-1</v>
      </c>
      <c r="G106" s="20" t="n">
        <f aca="false">IF(G105="","",G105+1)</f>
        <v>105</v>
      </c>
      <c r="H106" s="15"/>
      <c r="I106" s="14"/>
      <c r="J106" s="16" t="str">
        <f aca="false">IF(OR(H106="",D106="",C106="",G106&lt;$P$2),"",MAX(0,ROUND(D106-C106,2)))</f>
        <v/>
      </c>
      <c r="K106" s="17"/>
      <c r="L106" s="16" t="str">
        <f aca="false">IF(NOT(ISNUMBER(K106)),"",ROUND(K106-N(M105)-N(J106),2))</f>
        <v/>
      </c>
      <c r="M106" s="16" t="n">
        <f aca="false">IF(ISNUMBER(K106),K106,N(M105))</f>
        <v>0</v>
      </c>
      <c r="N106" s="0" t="str">
        <f aca="true">IF(AND(H106="",K106=""),"",TRIM(IF(AND(H106&lt;&gt;"",NOT(AND(LEN(H106)=10,MID(H106,5,1)="-",MID(H106,8,1)="-"))),"Fecha con formato invalido (usa AAAA-MM-DD). ","")&amp;IF(AND(H106&lt;&gt;"",COUNTIF($H$2:$H$367,H106)&gt;1),"Fecha repetida en otro dia. ","")&amp;IF(AND(H106&lt;&gt;"",H105&lt;&gt;"",H106&lt;=H105),"La fecha no es posterior a la del dia anterior. ","")&amp;IF(AND(H106&lt;&gt;"",ISNUMBER(A106),ISNUMBER(D105),ISNUMBER(C105),ABS(A106-IF(G105&gt;=$P$2,MIN(D105,C105),D105))&gt;0.005),"Bank roll inicial no sigue la regla del dia anterior (alguien sobrescribio la formula). ","")&amp;IF(AND(H106&lt;&gt;"",ISNUMBER(B106),ISNUMBER(A106),ABS(B106-A106/8)&gt;0.00001),"Stake distinto de Bank roll/8. ","")&amp;IF(AND(H106&lt;&gt;"",ISNUMBER(E106),ABS(E106)&gt;0.005),"Residuo distinto de 0. ","")&amp;IF(AND(K106&lt;&gt;"",OR(NOT(ISNUMBER(K106)),N(K106)&lt;0)),"Saldo L2 no numerico o negativo. ","")&amp;IF(AND(H106&lt;&gt;"",H106&lt;TEXT(TODAY(),"yyyy-mm-dd"),G106&gt;=$P$2,K106="",OR(N(J106)&gt;0,N(M105)&gt;0)),"Falta cerrar el Saldo L2 de este dia. ","")&amp;IF(AND(H106&lt;&gt;"",SUMPRODUCT((Registros!$C$2:$C$3000=H106)*ISTEXT(Registros!$AP$2:$AP$3000))&gt;0),"Hay P/L guardado como texto en Registros (no suma). ","")))</f>
        <v/>
      </c>
    </row>
    <row r="107" customFormat="false" ht="15" hidden="false" customHeight="true" outlineLevel="0" collapsed="false">
      <c r="A107" s="13" t="n">
        <f aca="false">IF(D106="","",IF(G106&gt;=$P$2,MIN(D106,C106),D106))</f>
        <v>8</v>
      </c>
      <c r="B107" s="13" t="n">
        <f aca="false">IF(A107="","",A107/8)</f>
        <v>1</v>
      </c>
      <c r="C107" s="13" t="n">
        <f aca="false">IF(OR(A107="",B107=""),"",A107+B107)</f>
        <v>9</v>
      </c>
      <c r="D107" s="13" t="n">
        <f aca="false">IF(A107="","",A107+SUMIFS(Registros!$AP:$AP,Registros!$C:$C,H107))</f>
        <v>8</v>
      </c>
      <c r="E107" s="13" t="n">
        <f aca="false">IF(A107="","",ROUND(A107-8*B107,2))</f>
        <v>0</v>
      </c>
      <c r="F107" s="13" t="n">
        <f aca="false">IF(OR(D107="",C107=""),"",D107-C107)</f>
        <v>-1</v>
      </c>
      <c r="G107" s="20" t="n">
        <f aca="false">IF(G106="","",G106+1)</f>
        <v>106</v>
      </c>
      <c r="H107" s="15"/>
      <c r="I107" s="14"/>
      <c r="J107" s="16" t="str">
        <f aca="false">IF(OR(H107="",D107="",C107="",G107&lt;$P$2),"",MAX(0,ROUND(D107-C107,2)))</f>
        <v/>
      </c>
      <c r="K107" s="17"/>
      <c r="L107" s="16" t="str">
        <f aca="false">IF(NOT(ISNUMBER(K107)),"",ROUND(K107-N(M106)-N(J107),2))</f>
        <v/>
      </c>
      <c r="M107" s="16" t="n">
        <f aca="false">IF(ISNUMBER(K107),K107,N(M106))</f>
        <v>0</v>
      </c>
      <c r="N107" s="0" t="str">
        <f aca="true">IF(AND(H107="",K107=""),"",TRIM(IF(AND(H107&lt;&gt;"",NOT(AND(LEN(H107)=10,MID(H107,5,1)="-",MID(H107,8,1)="-"))),"Fecha con formato invalido (usa AAAA-MM-DD). ","")&amp;IF(AND(H107&lt;&gt;"",COUNTIF($H$2:$H$367,H107)&gt;1),"Fecha repetida en otro dia. ","")&amp;IF(AND(H107&lt;&gt;"",H106&lt;&gt;"",H107&lt;=H106),"La fecha no es posterior a la del dia anterior. ","")&amp;IF(AND(H107&lt;&gt;"",ISNUMBER(A107),ISNUMBER(D106),ISNUMBER(C106),ABS(A107-IF(G106&gt;=$P$2,MIN(D106,C106),D106))&gt;0.005),"Bank roll inicial no sigue la regla del dia anterior (alguien sobrescribio la formula). ","")&amp;IF(AND(H107&lt;&gt;"",ISNUMBER(B107),ISNUMBER(A107),ABS(B107-A107/8)&gt;0.00001),"Stake distinto de Bank roll/8. ","")&amp;IF(AND(H107&lt;&gt;"",ISNUMBER(E107),ABS(E107)&gt;0.005),"Residuo distinto de 0. ","")&amp;IF(AND(K107&lt;&gt;"",OR(NOT(ISNUMBER(K107)),N(K107)&lt;0)),"Saldo L2 no numerico o negativo. ","")&amp;IF(AND(H107&lt;&gt;"",H107&lt;TEXT(TODAY(),"yyyy-mm-dd"),G107&gt;=$P$2,K107="",OR(N(J107)&gt;0,N(M106)&gt;0)),"Falta cerrar el Saldo L2 de este dia. ","")&amp;IF(AND(H107&lt;&gt;"",SUMPRODUCT((Registros!$C$2:$C$3000=H107)*ISTEXT(Registros!$AP$2:$AP$3000))&gt;0),"Hay P/L guardado como texto en Registros (no suma). ","")))</f>
        <v/>
      </c>
    </row>
    <row r="108" customFormat="false" ht="15" hidden="false" customHeight="true" outlineLevel="0" collapsed="false">
      <c r="A108" s="13" t="n">
        <f aca="false">IF(D107="","",IF(G107&gt;=$P$2,MIN(D107,C107),D107))</f>
        <v>8</v>
      </c>
      <c r="B108" s="13" t="n">
        <f aca="false">IF(A108="","",A108/8)</f>
        <v>1</v>
      </c>
      <c r="C108" s="13" t="n">
        <f aca="false">IF(OR(A108="",B108=""),"",A108+B108)</f>
        <v>9</v>
      </c>
      <c r="D108" s="13" t="n">
        <f aca="false">IF(A108="","",A108+SUMIFS(Registros!$AP:$AP,Registros!$C:$C,H108))</f>
        <v>8</v>
      </c>
      <c r="E108" s="13" t="n">
        <f aca="false">IF(A108="","",ROUND(A108-8*B108,2))</f>
        <v>0</v>
      </c>
      <c r="F108" s="13" t="n">
        <f aca="false">IF(OR(D108="",C108=""),"",D108-C108)</f>
        <v>-1</v>
      </c>
      <c r="G108" s="20" t="n">
        <f aca="false">IF(G107="","",G107+1)</f>
        <v>107</v>
      </c>
      <c r="H108" s="15"/>
      <c r="I108" s="14"/>
      <c r="J108" s="16" t="str">
        <f aca="false">IF(OR(H108="",D108="",C108="",G108&lt;$P$2),"",MAX(0,ROUND(D108-C108,2)))</f>
        <v/>
      </c>
      <c r="K108" s="17"/>
      <c r="L108" s="16" t="str">
        <f aca="false">IF(NOT(ISNUMBER(K108)),"",ROUND(K108-N(M107)-N(J108),2))</f>
        <v/>
      </c>
      <c r="M108" s="16" t="n">
        <f aca="false">IF(ISNUMBER(K108),K108,N(M107))</f>
        <v>0</v>
      </c>
      <c r="N108" s="0" t="str">
        <f aca="true">IF(AND(H108="",K108=""),"",TRIM(IF(AND(H108&lt;&gt;"",NOT(AND(LEN(H108)=10,MID(H108,5,1)="-",MID(H108,8,1)="-"))),"Fecha con formato invalido (usa AAAA-MM-DD). ","")&amp;IF(AND(H108&lt;&gt;"",COUNTIF($H$2:$H$367,H108)&gt;1),"Fecha repetida en otro dia. ","")&amp;IF(AND(H108&lt;&gt;"",H107&lt;&gt;"",H108&lt;=H107),"La fecha no es posterior a la del dia anterior. ","")&amp;IF(AND(H108&lt;&gt;"",ISNUMBER(A108),ISNUMBER(D107),ISNUMBER(C107),ABS(A108-IF(G107&gt;=$P$2,MIN(D107,C107),D107))&gt;0.005),"Bank roll inicial no sigue la regla del dia anterior (alguien sobrescribio la formula). ","")&amp;IF(AND(H108&lt;&gt;"",ISNUMBER(B108),ISNUMBER(A108),ABS(B108-A108/8)&gt;0.00001),"Stake distinto de Bank roll/8. ","")&amp;IF(AND(H108&lt;&gt;"",ISNUMBER(E108),ABS(E108)&gt;0.005),"Residuo distinto de 0. ","")&amp;IF(AND(K108&lt;&gt;"",OR(NOT(ISNUMBER(K108)),N(K108)&lt;0)),"Saldo L2 no numerico o negativo. ","")&amp;IF(AND(H108&lt;&gt;"",H108&lt;TEXT(TODAY(),"yyyy-mm-dd"),G108&gt;=$P$2,K108="",OR(N(J108)&gt;0,N(M107)&gt;0)),"Falta cerrar el Saldo L2 de este dia. ","")&amp;IF(AND(H108&lt;&gt;"",SUMPRODUCT((Registros!$C$2:$C$3000=H108)*ISTEXT(Registros!$AP$2:$AP$3000))&gt;0),"Hay P/L guardado como texto en Registros (no suma). ","")))</f>
        <v/>
      </c>
    </row>
    <row r="109" customFormat="false" ht="15" hidden="false" customHeight="true" outlineLevel="0" collapsed="false">
      <c r="A109" s="13" t="n">
        <f aca="false">IF(D108="","",IF(G108&gt;=$P$2,MIN(D108,C108),D108))</f>
        <v>8</v>
      </c>
      <c r="B109" s="13" t="n">
        <f aca="false">IF(A109="","",A109/8)</f>
        <v>1</v>
      </c>
      <c r="C109" s="13" t="n">
        <f aca="false">IF(OR(A109="",B109=""),"",A109+B109)</f>
        <v>9</v>
      </c>
      <c r="D109" s="13" t="n">
        <f aca="false">IF(A109="","",A109+SUMIFS(Registros!$AP:$AP,Registros!$C:$C,H109))</f>
        <v>8</v>
      </c>
      <c r="E109" s="13" t="n">
        <f aca="false">IF(A109="","",ROUND(A109-8*B109,2))</f>
        <v>0</v>
      </c>
      <c r="F109" s="13" t="n">
        <f aca="false">IF(OR(D109="",C109=""),"",D109-C109)</f>
        <v>-1</v>
      </c>
      <c r="G109" s="20" t="n">
        <f aca="false">IF(G108="","",G108+1)</f>
        <v>108</v>
      </c>
      <c r="H109" s="15"/>
      <c r="I109" s="14"/>
      <c r="J109" s="16" t="str">
        <f aca="false">IF(OR(H109="",D109="",C109="",G109&lt;$P$2),"",MAX(0,ROUND(D109-C109,2)))</f>
        <v/>
      </c>
      <c r="K109" s="17"/>
      <c r="L109" s="16" t="str">
        <f aca="false">IF(NOT(ISNUMBER(K109)),"",ROUND(K109-N(M108)-N(J109),2))</f>
        <v/>
      </c>
      <c r="M109" s="16" t="n">
        <f aca="false">IF(ISNUMBER(K109),K109,N(M108))</f>
        <v>0</v>
      </c>
      <c r="N109" s="0" t="str">
        <f aca="true">IF(AND(H109="",K109=""),"",TRIM(IF(AND(H109&lt;&gt;"",NOT(AND(LEN(H109)=10,MID(H109,5,1)="-",MID(H109,8,1)="-"))),"Fecha con formato invalido (usa AAAA-MM-DD). ","")&amp;IF(AND(H109&lt;&gt;"",COUNTIF($H$2:$H$367,H109)&gt;1),"Fecha repetida en otro dia. ","")&amp;IF(AND(H109&lt;&gt;"",H108&lt;&gt;"",H109&lt;=H108),"La fecha no es posterior a la del dia anterior. ","")&amp;IF(AND(H109&lt;&gt;"",ISNUMBER(A109),ISNUMBER(D108),ISNUMBER(C108),ABS(A109-IF(G108&gt;=$P$2,MIN(D108,C108),D108))&gt;0.005),"Bank roll inicial no sigue la regla del dia anterior (alguien sobrescribio la formula). ","")&amp;IF(AND(H109&lt;&gt;"",ISNUMBER(B109),ISNUMBER(A109),ABS(B109-A109/8)&gt;0.00001),"Stake distinto de Bank roll/8. ","")&amp;IF(AND(H109&lt;&gt;"",ISNUMBER(E109),ABS(E109)&gt;0.005),"Residuo distinto de 0. ","")&amp;IF(AND(K109&lt;&gt;"",OR(NOT(ISNUMBER(K109)),N(K109)&lt;0)),"Saldo L2 no numerico o negativo. ","")&amp;IF(AND(H109&lt;&gt;"",H109&lt;TEXT(TODAY(),"yyyy-mm-dd"),G109&gt;=$P$2,K109="",OR(N(J109)&gt;0,N(M108)&gt;0)),"Falta cerrar el Saldo L2 de este dia. ","")&amp;IF(AND(H109&lt;&gt;"",SUMPRODUCT((Registros!$C$2:$C$3000=H109)*ISTEXT(Registros!$AP$2:$AP$3000))&gt;0),"Hay P/L guardado como texto en Registros (no suma). ","")))</f>
        <v/>
      </c>
    </row>
    <row r="110" customFormat="false" ht="15" hidden="false" customHeight="true" outlineLevel="0" collapsed="false">
      <c r="A110" s="13" t="n">
        <f aca="false">IF(D109="","",IF(G109&gt;=$P$2,MIN(D109,C109),D109))</f>
        <v>8</v>
      </c>
      <c r="B110" s="13" t="n">
        <f aca="false">IF(A110="","",A110/8)</f>
        <v>1</v>
      </c>
      <c r="C110" s="13" t="n">
        <f aca="false">IF(OR(A110="",B110=""),"",A110+B110)</f>
        <v>9</v>
      </c>
      <c r="D110" s="13" t="n">
        <f aca="false">IF(A110="","",A110+SUMIFS(Registros!$AP:$AP,Registros!$C:$C,H110))</f>
        <v>8</v>
      </c>
      <c r="E110" s="13" t="n">
        <f aca="false">IF(A110="","",ROUND(A110-8*B110,2))</f>
        <v>0</v>
      </c>
      <c r="F110" s="13" t="n">
        <f aca="false">IF(OR(D110="",C110=""),"",D110-C110)</f>
        <v>-1</v>
      </c>
      <c r="G110" s="20" t="n">
        <f aca="false">IF(G109="","",G109+1)</f>
        <v>109</v>
      </c>
      <c r="H110" s="15"/>
      <c r="I110" s="14"/>
      <c r="J110" s="16" t="str">
        <f aca="false">IF(OR(H110="",D110="",C110="",G110&lt;$P$2),"",MAX(0,ROUND(D110-C110,2)))</f>
        <v/>
      </c>
      <c r="K110" s="17"/>
      <c r="L110" s="16" t="str">
        <f aca="false">IF(NOT(ISNUMBER(K110)),"",ROUND(K110-N(M109)-N(J110),2))</f>
        <v/>
      </c>
      <c r="M110" s="16" t="n">
        <f aca="false">IF(ISNUMBER(K110),K110,N(M109))</f>
        <v>0</v>
      </c>
      <c r="N110" s="0" t="str">
        <f aca="true">IF(AND(H110="",K110=""),"",TRIM(IF(AND(H110&lt;&gt;"",NOT(AND(LEN(H110)=10,MID(H110,5,1)="-",MID(H110,8,1)="-"))),"Fecha con formato invalido (usa AAAA-MM-DD). ","")&amp;IF(AND(H110&lt;&gt;"",COUNTIF($H$2:$H$367,H110)&gt;1),"Fecha repetida en otro dia. ","")&amp;IF(AND(H110&lt;&gt;"",H109&lt;&gt;"",H110&lt;=H109),"La fecha no es posterior a la del dia anterior. ","")&amp;IF(AND(H110&lt;&gt;"",ISNUMBER(A110),ISNUMBER(D109),ISNUMBER(C109),ABS(A110-IF(G109&gt;=$P$2,MIN(D109,C109),D109))&gt;0.005),"Bank roll inicial no sigue la regla del dia anterior (alguien sobrescribio la formula). ","")&amp;IF(AND(H110&lt;&gt;"",ISNUMBER(B110),ISNUMBER(A110),ABS(B110-A110/8)&gt;0.00001),"Stake distinto de Bank roll/8. ","")&amp;IF(AND(H110&lt;&gt;"",ISNUMBER(E110),ABS(E110)&gt;0.005),"Residuo distinto de 0. ","")&amp;IF(AND(K110&lt;&gt;"",OR(NOT(ISNUMBER(K110)),N(K110)&lt;0)),"Saldo L2 no numerico o negativo. ","")&amp;IF(AND(H110&lt;&gt;"",H110&lt;TEXT(TODAY(),"yyyy-mm-dd"),G110&gt;=$P$2,K110="",OR(N(J110)&gt;0,N(M109)&gt;0)),"Falta cerrar el Saldo L2 de este dia. ","")&amp;IF(AND(H110&lt;&gt;"",SUMPRODUCT((Registros!$C$2:$C$3000=H110)*ISTEXT(Registros!$AP$2:$AP$3000))&gt;0),"Hay P/L guardado como texto en Registros (no suma). ","")))</f>
        <v/>
      </c>
    </row>
    <row r="111" customFormat="false" ht="15" hidden="false" customHeight="true" outlineLevel="0" collapsed="false">
      <c r="A111" s="13" t="n">
        <f aca="false">IF(D110="","",IF(G110&gt;=$P$2,MIN(D110,C110),D110))</f>
        <v>8</v>
      </c>
      <c r="B111" s="13" t="n">
        <f aca="false">IF(A111="","",A111/8)</f>
        <v>1</v>
      </c>
      <c r="C111" s="13" t="n">
        <f aca="false">IF(OR(A111="",B111=""),"",A111+B111)</f>
        <v>9</v>
      </c>
      <c r="D111" s="13" t="n">
        <f aca="false">IF(A111="","",A111+SUMIFS(Registros!$AP:$AP,Registros!$C:$C,H111))</f>
        <v>8</v>
      </c>
      <c r="E111" s="13" t="n">
        <f aca="false">IF(A111="","",ROUND(A111-8*B111,2))</f>
        <v>0</v>
      </c>
      <c r="F111" s="13" t="n">
        <f aca="false">IF(OR(D111="",C111=""),"",D111-C111)</f>
        <v>-1</v>
      </c>
      <c r="G111" s="20" t="n">
        <f aca="false">IF(G110="","",G110+1)</f>
        <v>110</v>
      </c>
      <c r="H111" s="15"/>
      <c r="I111" s="14"/>
      <c r="J111" s="16" t="str">
        <f aca="false">IF(OR(H111="",D111="",C111="",G111&lt;$P$2),"",MAX(0,ROUND(D111-C111,2)))</f>
        <v/>
      </c>
      <c r="K111" s="17"/>
      <c r="L111" s="16" t="str">
        <f aca="false">IF(NOT(ISNUMBER(K111)),"",ROUND(K111-N(M110)-N(J111),2))</f>
        <v/>
      </c>
      <c r="M111" s="16" t="n">
        <f aca="false">IF(ISNUMBER(K111),K111,N(M110))</f>
        <v>0</v>
      </c>
      <c r="N111" s="0" t="str">
        <f aca="true">IF(AND(H111="",K111=""),"",TRIM(IF(AND(H111&lt;&gt;"",NOT(AND(LEN(H111)=10,MID(H111,5,1)="-",MID(H111,8,1)="-"))),"Fecha con formato invalido (usa AAAA-MM-DD). ","")&amp;IF(AND(H111&lt;&gt;"",COUNTIF($H$2:$H$367,H111)&gt;1),"Fecha repetida en otro dia. ","")&amp;IF(AND(H111&lt;&gt;"",H110&lt;&gt;"",H111&lt;=H110),"La fecha no es posterior a la del dia anterior. ","")&amp;IF(AND(H111&lt;&gt;"",ISNUMBER(A111),ISNUMBER(D110),ISNUMBER(C110),ABS(A111-IF(G110&gt;=$P$2,MIN(D110,C110),D110))&gt;0.005),"Bank roll inicial no sigue la regla del dia anterior (alguien sobrescribio la formula). ","")&amp;IF(AND(H111&lt;&gt;"",ISNUMBER(B111),ISNUMBER(A111),ABS(B111-A111/8)&gt;0.00001),"Stake distinto de Bank roll/8. ","")&amp;IF(AND(H111&lt;&gt;"",ISNUMBER(E111),ABS(E111)&gt;0.005),"Residuo distinto de 0. ","")&amp;IF(AND(K111&lt;&gt;"",OR(NOT(ISNUMBER(K111)),N(K111)&lt;0)),"Saldo L2 no numerico o negativo. ","")&amp;IF(AND(H111&lt;&gt;"",H111&lt;TEXT(TODAY(),"yyyy-mm-dd"),G111&gt;=$P$2,K111="",OR(N(J111)&gt;0,N(M110)&gt;0)),"Falta cerrar el Saldo L2 de este dia. ","")&amp;IF(AND(H111&lt;&gt;"",SUMPRODUCT((Registros!$C$2:$C$3000=H111)*ISTEXT(Registros!$AP$2:$AP$3000))&gt;0),"Hay P/L guardado como texto en Registros (no suma). ","")))</f>
        <v/>
      </c>
    </row>
    <row r="112" customFormat="false" ht="15" hidden="false" customHeight="true" outlineLevel="0" collapsed="false">
      <c r="A112" s="13" t="n">
        <f aca="false">IF(D111="","",IF(G111&gt;=$P$2,MIN(D111,C111),D111))</f>
        <v>8</v>
      </c>
      <c r="B112" s="13" t="n">
        <f aca="false">IF(A112="","",A112/8)</f>
        <v>1</v>
      </c>
      <c r="C112" s="13" t="n">
        <f aca="false">IF(OR(A112="",B112=""),"",A112+B112)</f>
        <v>9</v>
      </c>
      <c r="D112" s="13" t="n">
        <f aca="false">IF(A112="","",A112+SUMIFS(Registros!$AP:$AP,Registros!$C:$C,H112))</f>
        <v>8</v>
      </c>
      <c r="E112" s="13" t="n">
        <f aca="false">IF(A112="","",ROUND(A112-8*B112,2))</f>
        <v>0</v>
      </c>
      <c r="F112" s="13" t="n">
        <f aca="false">IF(OR(D112="",C112=""),"",D112-C112)</f>
        <v>-1</v>
      </c>
      <c r="G112" s="20" t="n">
        <f aca="false">IF(G111="","",G111+1)</f>
        <v>111</v>
      </c>
      <c r="H112" s="15"/>
      <c r="I112" s="14"/>
      <c r="J112" s="16" t="str">
        <f aca="false">IF(OR(H112="",D112="",C112="",G112&lt;$P$2),"",MAX(0,ROUND(D112-C112,2)))</f>
        <v/>
      </c>
      <c r="K112" s="17"/>
      <c r="L112" s="16" t="str">
        <f aca="false">IF(NOT(ISNUMBER(K112)),"",ROUND(K112-N(M111)-N(J112),2))</f>
        <v/>
      </c>
      <c r="M112" s="16" t="n">
        <f aca="false">IF(ISNUMBER(K112),K112,N(M111))</f>
        <v>0</v>
      </c>
      <c r="N112" s="0" t="str">
        <f aca="true">IF(AND(H112="",K112=""),"",TRIM(IF(AND(H112&lt;&gt;"",NOT(AND(LEN(H112)=10,MID(H112,5,1)="-",MID(H112,8,1)="-"))),"Fecha con formato invalido (usa AAAA-MM-DD). ","")&amp;IF(AND(H112&lt;&gt;"",COUNTIF($H$2:$H$367,H112)&gt;1),"Fecha repetida en otro dia. ","")&amp;IF(AND(H112&lt;&gt;"",H111&lt;&gt;"",H112&lt;=H111),"La fecha no es posterior a la del dia anterior. ","")&amp;IF(AND(H112&lt;&gt;"",ISNUMBER(A112),ISNUMBER(D111),ISNUMBER(C111),ABS(A112-IF(G111&gt;=$P$2,MIN(D111,C111),D111))&gt;0.005),"Bank roll inicial no sigue la regla del dia anterior (alguien sobrescribio la formula). ","")&amp;IF(AND(H112&lt;&gt;"",ISNUMBER(B112),ISNUMBER(A112),ABS(B112-A112/8)&gt;0.00001),"Stake distinto de Bank roll/8. ","")&amp;IF(AND(H112&lt;&gt;"",ISNUMBER(E112),ABS(E112)&gt;0.005),"Residuo distinto de 0. ","")&amp;IF(AND(K112&lt;&gt;"",OR(NOT(ISNUMBER(K112)),N(K112)&lt;0)),"Saldo L2 no numerico o negativo. ","")&amp;IF(AND(H112&lt;&gt;"",H112&lt;TEXT(TODAY(),"yyyy-mm-dd"),G112&gt;=$P$2,K112="",OR(N(J112)&gt;0,N(M111)&gt;0)),"Falta cerrar el Saldo L2 de este dia. ","")&amp;IF(AND(H112&lt;&gt;"",SUMPRODUCT((Registros!$C$2:$C$3000=H112)*ISTEXT(Registros!$AP$2:$AP$3000))&gt;0),"Hay P/L guardado como texto en Registros (no suma). ","")))</f>
        <v/>
      </c>
    </row>
    <row r="113" customFormat="false" ht="15" hidden="false" customHeight="true" outlineLevel="0" collapsed="false">
      <c r="A113" s="13" t="n">
        <f aca="false">IF(D112="","",IF(G112&gt;=$P$2,MIN(D112,C112),D112))</f>
        <v>8</v>
      </c>
      <c r="B113" s="13" t="n">
        <f aca="false">IF(A113="","",A113/8)</f>
        <v>1</v>
      </c>
      <c r="C113" s="13" t="n">
        <f aca="false">IF(OR(A113="",B113=""),"",A113+B113)</f>
        <v>9</v>
      </c>
      <c r="D113" s="13" t="n">
        <f aca="false">IF(A113="","",A113+SUMIFS(Registros!$AP:$AP,Registros!$C:$C,H113))</f>
        <v>8</v>
      </c>
      <c r="E113" s="13" t="n">
        <f aca="false">IF(A113="","",ROUND(A113-8*B113,2))</f>
        <v>0</v>
      </c>
      <c r="F113" s="13" t="n">
        <f aca="false">IF(OR(D113="",C113=""),"",D113-C113)</f>
        <v>-1</v>
      </c>
      <c r="G113" s="20" t="n">
        <f aca="false">IF(G112="","",G112+1)</f>
        <v>112</v>
      </c>
      <c r="H113" s="15"/>
      <c r="I113" s="14"/>
      <c r="J113" s="16" t="str">
        <f aca="false">IF(OR(H113="",D113="",C113="",G113&lt;$P$2),"",MAX(0,ROUND(D113-C113,2)))</f>
        <v/>
      </c>
      <c r="K113" s="17"/>
      <c r="L113" s="16" t="str">
        <f aca="false">IF(NOT(ISNUMBER(K113)),"",ROUND(K113-N(M112)-N(J113),2))</f>
        <v/>
      </c>
      <c r="M113" s="16" t="n">
        <f aca="false">IF(ISNUMBER(K113),K113,N(M112))</f>
        <v>0</v>
      </c>
      <c r="N113" s="0" t="str">
        <f aca="true">IF(AND(H113="",K113=""),"",TRIM(IF(AND(H113&lt;&gt;"",NOT(AND(LEN(H113)=10,MID(H113,5,1)="-",MID(H113,8,1)="-"))),"Fecha con formato invalido (usa AAAA-MM-DD). ","")&amp;IF(AND(H113&lt;&gt;"",COUNTIF($H$2:$H$367,H113)&gt;1),"Fecha repetida en otro dia. ","")&amp;IF(AND(H113&lt;&gt;"",H112&lt;&gt;"",H113&lt;=H112),"La fecha no es posterior a la del dia anterior. ","")&amp;IF(AND(H113&lt;&gt;"",ISNUMBER(A113),ISNUMBER(D112),ISNUMBER(C112),ABS(A113-IF(G112&gt;=$P$2,MIN(D112,C112),D112))&gt;0.005),"Bank roll inicial no sigue la regla del dia anterior (alguien sobrescribio la formula). ","")&amp;IF(AND(H113&lt;&gt;"",ISNUMBER(B113),ISNUMBER(A113),ABS(B113-A113/8)&gt;0.00001),"Stake distinto de Bank roll/8. ","")&amp;IF(AND(H113&lt;&gt;"",ISNUMBER(E113),ABS(E113)&gt;0.005),"Residuo distinto de 0. ","")&amp;IF(AND(K113&lt;&gt;"",OR(NOT(ISNUMBER(K113)),N(K113)&lt;0)),"Saldo L2 no numerico o negativo. ","")&amp;IF(AND(H113&lt;&gt;"",H113&lt;TEXT(TODAY(),"yyyy-mm-dd"),G113&gt;=$P$2,K113="",OR(N(J113)&gt;0,N(M112)&gt;0)),"Falta cerrar el Saldo L2 de este dia. ","")&amp;IF(AND(H113&lt;&gt;"",SUMPRODUCT((Registros!$C$2:$C$3000=H113)*ISTEXT(Registros!$AP$2:$AP$3000))&gt;0),"Hay P/L guardado como texto en Registros (no suma). ","")))</f>
        <v/>
      </c>
    </row>
    <row r="114" customFormat="false" ht="15" hidden="false" customHeight="true" outlineLevel="0" collapsed="false">
      <c r="A114" s="13" t="n">
        <f aca="false">IF(D113="","",IF(G113&gt;=$P$2,MIN(D113,C113),D113))</f>
        <v>8</v>
      </c>
      <c r="B114" s="13" t="n">
        <f aca="false">IF(A114="","",A114/8)</f>
        <v>1</v>
      </c>
      <c r="C114" s="13" t="n">
        <f aca="false">IF(OR(A114="",B114=""),"",A114+B114)</f>
        <v>9</v>
      </c>
      <c r="D114" s="13" t="n">
        <f aca="false">IF(A114="","",A114+SUMIFS(Registros!$AP:$AP,Registros!$C:$C,H114))</f>
        <v>8</v>
      </c>
      <c r="E114" s="13" t="n">
        <f aca="false">IF(A114="","",ROUND(A114-8*B114,2))</f>
        <v>0</v>
      </c>
      <c r="F114" s="13" t="n">
        <f aca="false">IF(OR(D114="",C114=""),"",D114-C114)</f>
        <v>-1</v>
      </c>
      <c r="G114" s="20" t="n">
        <f aca="false">IF(G113="","",G113+1)</f>
        <v>113</v>
      </c>
      <c r="H114" s="15"/>
      <c r="I114" s="14"/>
      <c r="J114" s="16" t="str">
        <f aca="false">IF(OR(H114="",D114="",C114="",G114&lt;$P$2),"",MAX(0,ROUND(D114-C114,2)))</f>
        <v/>
      </c>
      <c r="K114" s="17"/>
      <c r="L114" s="16" t="str">
        <f aca="false">IF(NOT(ISNUMBER(K114)),"",ROUND(K114-N(M113)-N(J114),2))</f>
        <v/>
      </c>
      <c r="M114" s="16" t="n">
        <f aca="false">IF(ISNUMBER(K114),K114,N(M113))</f>
        <v>0</v>
      </c>
      <c r="N114" s="0" t="str">
        <f aca="true">IF(AND(H114="",K114=""),"",TRIM(IF(AND(H114&lt;&gt;"",NOT(AND(LEN(H114)=10,MID(H114,5,1)="-",MID(H114,8,1)="-"))),"Fecha con formato invalido (usa AAAA-MM-DD). ","")&amp;IF(AND(H114&lt;&gt;"",COUNTIF($H$2:$H$367,H114)&gt;1),"Fecha repetida en otro dia. ","")&amp;IF(AND(H114&lt;&gt;"",H113&lt;&gt;"",H114&lt;=H113),"La fecha no es posterior a la del dia anterior. ","")&amp;IF(AND(H114&lt;&gt;"",ISNUMBER(A114),ISNUMBER(D113),ISNUMBER(C113),ABS(A114-IF(G113&gt;=$P$2,MIN(D113,C113),D113))&gt;0.005),"Bank roll inicial no sigue la regla del dia anterior (alguien sobrescribio la formula). ","")&amp;IF(AND(H114&lt;&gt;"",ISNUMBER(B114),ISNUMBER(A114),ABS(B114-A114/8)&gt;0.00001),"Stake distinto de Bank roll/8. ","")&amp;IF(AND(H114&lt;&gt;"",ISNUMBER(E114),ABS(E114)&gt;0.005),"Residuo distinto de 0. ","")&amp;IF(AND(K114&lt;&gt;"",OR(NOT(ISNUMBER(K114)),N(K114)&lt;0)),"Saldo L2 no numerico o negativo. ","")&amp;IF(AND(H114&lt;&gt;"",H114&lt;TEXT(TODAY(),"yyyy-mm-dd"),G114&gt;=$P$2,K114="",OR(N(J114)&gt;0,N(M113)&gt;0)),"Falta cerrar el Saldo L2 de este dia. ","")&amp;IF(AND(H114&lt;&gt;"",SUMPRODUCT((Registros!$C$2:$C$3000=H114)*ISTEXT(Registros!$AP$2:$AP$3000))&gt;0),"Hay P/L guardado como texto en Registros (no suma). ","")))</f>
        <v/>
      </c>
    </row>
    <row r="115" customFormat="false" ht="15" hidden="false" customHeight="true" outlineLevel="0" collapsed="false">
      <c r="A115" s="13" t="n">
        <f aca="false">IF(D114="","",IF(G114&gt;=$P$2,MIN(D114,C114),D114))</f>
        <v>8</v>
      </c>
      <c r="B115" s="13" t="n">
        <f aca="false">IF(A115="","",A115/8)</f>
        <v>1</v>
      </c>
      <c r="C115" s="13" t="n">
        <f aca="false">IF(OR(A115="",B115=""),"",A115+B115)</f>
        <v>9</v>
      </c>
      <c r="D115" s="13" t="n">
        <f aca="false">IF(A115="","",A115+SUMIFS(Registros!$AP:$AP,Registros!$C:$C,H115))</f>
        <v>8</v>
      </c>
      <c r="E115" s="13" t="n">
        <f aca="false">IF(A115="","",ROUND(A115-8*B115,2))</f>
        <v>0</v>
      </c>
      <c r="F115" s="13" t="n">
        <f aca="false">IF(OR(D115="",C115=""),"",D115-C115)</f>
        <v>-1</v>
      </c>
      <c r="G115" s="20" t="n">
        <f aca="false">IF(G114="","",G114+1)</f>
        <v>114</v>
      </c>
      <c r="H115" s="15"/>
      <c r="I115" s="14"/>
      <c r="J115" s="16" t="str">
        <f aca="false">IF(OR(H115="",D115="",C115="",G115&lt;$P$2),"",MAX(0,ROUND(D115-C115,2)))</f>
        <v/>
      </c>
      <c r="K115" s="17"/>
      <c r="L115" s="16" t="str">
        <f aca="false">IF(NOT(ISNUMBER(K115)),"",ROUND(K115-N(M114)-N(J115),2))</f>
        <v/>
      </c>
      <c r="M115" s="16" t="n">
        <f aca="false">IF(ISNUMBER(K115),K115,N(M114))</f>
        <v>0</v>
      </c>
      <c r="N115" s="0" t="str">
        <f aca="true">IF(AND(H115="",K115=""),"",TRIM(IF(AND(H115&lt;&gt;"",NOT(AND(LEN(H115)=10,MID(H115,5,1)="-",MID(H115,8,1)="-"))),"Fecha con formato invalido (usa AAAA-MM-DD). ","")&amp;IF(AND(H115&lt;&gt;"",COUNTIF($H$2:$H$367,H115)&gt;1),"Fecha repetida en otro dia. ","")&amp;IF(AND(H115&lt;&gt;"",H114&lt;&gt;"",H115&lt;=H114),"La fecha no es posterior a la del dia anterior. ","")&amp;IF(AND(H115&lt;&gt;"",ISNUMBER(A115),ISNUMBER(D114),ISNUMBER(C114),ABS(A115-IF(G114&gt;=$P$2,MIN(D114,C114),D114))&gt;0.005),"Bank roll inicial no sigue la regla del dia anterior (alguien sobrescribio la formula). ","")&amp;IF(AND(H115&lt;&gt;"",ISNUMBER(B115),ISNUMBER(A115),ABS(B115-A115/8)&gt;0.00001),"Stake distinto de Bank roll/8. ","")&amp;IF(AND(H115&lt;&gt;"",ISNUMBER(E115),ABS(E115)&gt;0.005),"Residuo distinto de 0. ","")&amp;IF(AND(K115&lt;&gt;"",OR(NOT(ISNUMBER(K115)),N(K115)&lt;0)),"Saldo L2 no numerico o negativo. ","")&amp;IF(AND(H115&lt;&gt;"",H115&lt;TEXT(TODAY(),"yyyy-mm-dd"),G115&gt;=$P$2,K115="",OR(N(J115)&gt;0,N(M114)&gt;0)),"Falta cerrar el Saldo L2 de este dia. ","")&amp;IF(AND(H115&lt;&gt;"",SUMPRODUCT((Registros!$C$2:$C$3000=H115)*ISTEXT(Registros!$AP$2:$AP$3000))&gt;0),"Hay P/L guardado como texto en Registros (no suma). ","")))</f>
        <v/>
      </c>
    </row>
    <row r="116" customFormat="false" ht="15" hidden="false" customHeight="true" outlineLevel="0" collapsed="false">
      <c r="A116" s="13" t="n">
        <f aca="false">IF(D115="","",IF(G115&gt;=$P$2,MIN(D115,C115),D115))</f>
        <v>8</v>
      </c>
      <c r="B116" s="13" t="n">
        <f aca="false">IF(A116="","",A116/8)</f>
        <v>1</v>
      </c>
      <c r="C116" s="13" t="n">
        <f aca="false">IF(OR(A116="",B116=""),"",A116+B116)</f>
        <v>9</v>
      </c>
      <c r="D116" s="13" t="n">
        <f aca="false">IF(A116="","",A116+SUMIFS(Registros!$AP:$AP,Registros!$C:$C,H116))</f>
        <v>8</v>
      </c>
      <c r="E116" s="13" t="n">
        <f aca="false">IF(A116="","",ROUND(A116-8*B116,2))</f>
        <v>0</v>
      </c>
      <c r="F116" s="13" t="n">
        <f aca="false">IF(OR(D116="",C116=""),"",D116-C116)</f>
        <v>-1</v>
      </c>
      <c r="G116" s="20" t="n">
        <f aca="false">IF(G115="","",G115+1)</f>
        <v>115</v>
      </c>
      <c r="H116" s="15"/>
      <c r="I116" s="14"/>
      <c r="J116" s="16" t="str">
        <f aca="false">IF(OR(H116="",D116="",C116="",G116&lt;$P$2),"",MAX(0,ROUND(D116-C116,2)))</f>
        <v/>
      </c>
      <c r="K116" s="17"/>
      <c r="L116" s="16" t="str">
        <f aca="false">IF(NOT(ISNUMBER(K116)),"",ROUND(K116-N(M115)-N(J116),2))</f>
        <v/>
      </c>
      <c r="M116" s="16" t="n">
        <f aca="false">IF(ISNUMBER(K116),K116,N(M115))</f>
        <v>0</v>
      </c>
      <c r="N116" s="0" t="str">
        <f aca="true">IF(AND(H116="",K116=""),"",TRIM(IF(AND(H116&lt;&gt;"",NOT(AND(LEN(H116)=10,MID(H116,5,1)="-",MID(H116,8,1)="-"))),"Fecha con formato invalido (usa AAAA-MM-DD). ","")&amp;IF(AND(H116&lt;&gt;"",COUNTIF($H$2:$H$367,H116)&gt;1),"Fecha repetida en otro dia. ","")&amp;IF(AND(H116&lt;&gt;"",H115&lt;&gt;"",H116&lt;=H115),"La fecha no es posterior a la del dia anterior. ","")&amp;IF(AND(H116&lt;&gt;"",ISNUMBER(A116),ISNUMBER(D115),ISNUMBER(C115),ABS(A116-IF(G115&gt;=$P$2,MIN(D115,C115),D115))&gt;0.005),"Bank roll inicial no sigue la regla del dia anterior (alguien sobrescribio la formula). ","")&amp;IF(AND(H116&lt;&gt;"",ISNUMBER(B116),ISNUMBER(A116),ABS(B116-A116/8)&gt;0.00001),"Stake distinto de Bank roll/8. ","")&amp;IF(AND(H116&lt;&gt;"",ISNUMBER(E116),ABS(E116)&gt;0.005),"Residuo distinto de 0. ","")&amp;IF(AND(K116&lt;&gt;"",OR(NOT(ISNUMBER(K116)),N(K116)&lt;0)),"Saldo L2 no numerico o negativo. ","")&amp;IF(AND(H116&lt;&gt;"",H116&lt;TEXT(TODAY(),"yyyy-mm-dd"),G116&gt;=$P$2,K116="",OR(N(J116)&gt;0,N(M115)&gt;0)),"Falta cerrar el Saldo L2 de este dia. ","")&amp;IF(AND(H116&lt;&gt;"",SUMPRODUCT((Registros!$C$2:$C$3000=H116)*ISTEXT(Registros!$AP$2:$AP$3000))&gt;0),"Hay P/L guardado como texto en Registros (no suma). ","")))</f>
        <v/>
      </c>
    </row>
    <row r="117" customFormat="false" ht="15" hidden="false" customHeight="true" outlineLevel="0" collapsed="false">
      <c r="A117" s="13" t="n">
        <f aca="false">IF(D116="","",IF(G116&gt;=$P$2,MIN(D116,C116),D116))</f>
        <v>8</v>
      </c>
      <c r="B117" s="13" t="n">
        <f aca="false">IF(A117="","",A117/8)</f>
        <v>1</v>
      </c>
      <c r="C117" s="13" t="n">
        <f aca="false">IF(OR(A117="",B117=""),"",A117+B117)</f>
        <v>9</v>
      </c>
      <c r="D117" s="13" t="n">
        <f aca="false">IF(A117="","",A117+SUMIFS(Registros!$AP:$AP,Registros!$C:$C,H117))</f>
        <v>8</v>
      </c>
      <c r="E117" s="13" t="n">
        <f aca="false">IF(A117="","",ROUND(A117-8*B117,2))</f>
        <v>0</v>
      </c>
      <c r="F117" s="13" t="n">
        <f aca="false">IF(OR(D117="",C117=""),"",D117-C117)</f>
        <v>-1</v>
      </c>
      <c r="G117" s="20" t="n">
        <f aca="false">IF(G116="","",G116+1)</f>
        <v>116</v>
      </c>
      <c r="H117" s="15"/>
      <c r="I117" s="14"/>
      <c r="J117" s="16" t="str">
        <f aca="false">IF(OR(H117="",D117="",C117="",G117&lt;$P$2),"",MAX(0,ROUND(D117-C117,2)))</f>
        <v/>
      </c>
      <c r="K117" s="17"/>
      <c r="L117" s="16" t="str">
        <f aca="false">IF(NOT(ISNUMBER(K117)),"",ROUND(K117-N(M116)-N(J117),2))</f>
        <v/>
      </c>
      <c r="M117" s="16" t="n">
        <f aca="false">IF(ISNUMBER(K117),K117,N(M116))</f>
        <v>0</v>
      </c>
      <c r="N117" s="0" t="str">
        <f aca="true">IF(AND(H117="",K117=""),"",TRIM(IF(AND(H117&lt;&gt;"",NOT(AND(LEN(H117)=10,MID(H117,5,1)="-",MID(H117,8,1)="-"))),"Fecha con formato invalido (usa AAAA-MM-DD). ","")&amp;IF(AND(H117&lt;&gt;"",COUNTIF($H$2:$H$367,H117)&gt;1),"Fecha repetida en otro dia. ","")&amp;IF(AND(H117&lt;&gt;"",H116&lt;&gt;"",H117&lt;=H116),"La fecha no es posterior a la del dia anterior. ","")&amp;IF(AND(H117&lt;&gt;"",ISNUMBER(A117),ISNUMBER(D116),ISNUMBER(C116),ABS(A117-IF(G116&gt;=$P$2,MIN(D116,C116),D116))&gt;0.005),"Bank roll inicial no sigue la regla del dia anterior (alguien sobrescribio la formula). ","")&amp;IF(AND(H117&lt;&gt;"",ISNUMBER(B117),ISNUMBER(A117),ABS(B117-A117/8)&gt;0.00001),"Stake distinto de Bank roll/8. ","")&amp;IF(AND(H117&lt;&gt;"",ISNUMBER(E117),ABS(E117)&gt;0.005),"Residuo distinto de 0. ","")&amp;IF(AND(K117&lt;&gt;"",OR(NOT(ISNUMBER(K117)),N(K117)&lt;0)),"Saldo L2 no numerico o negativo. ","")&amp;IF(AND(H117&lt;&gt;"",H117&lt;TEXT(TODAY(),"yyyy-mm-dd"),G117&gt;=$P$2,K117="",OR(N(J117)&gt;0,N(M116)&gt;0)),"Falta cerrar el Saldo L2 de este dia. ","")&amp;IF(AND(H117&lt;&gt;"",SUMPRODUCT((Registros!$C$2:$C$3000=H117)*ISTEXT(Registros!$AP$2:$AP$3000))&gt;0),"Hay P/L guardado como texto en Registros (no suma). ","")))</f>
        <v/>
      </c>
    </row>
    <row r="118" customFormat="false" ht="15" hidden="false" customHeight="true" outlineLevel="0" collapsed="false">
      <c r="A118" s="13" t="n">
        <f aca="false">IF(D117="","",IF(G117&gt;=$P$2,MIN(D117,C117),D117))</f>
        <v>8</v>
      </c>
      <c r="B118" s="13" t="n">
        <f aca="false">IF(A118="","",A118/8)</f>
        <v>1</v>
      </c>
      <c r="C118" s="13" t="n">
        <f aca="false">IF(OR(A118="",B118=""),"",A118+B118)</f>
        <v>9</v>
      </c>
      <c r="D118" s="13" t="n">
        <f aca="false">IF(A118="","",A118+SUMIFS(Registros!$AP:$AP,Registros!$C:$C,H118))</f>
        <v>8</v>
      </c>
      <c r="E118" s="13" t="n">
        <f aca="false">IF(A118="","",ROUND(A118-8*B118,2))</f>
        <v>0</v>
      </c>
      <c r="F118" s="13" t="n">
        <f aca="false">IF(OR(D118="",C118=""),"",D118-C118)</f>
        <v>-1</v>
      </c>
      <c r="G118" s="20" t="n">
        <f aca="false">IF(G117="","",G117+1)</f>
        <v>117</v>
      </c>
      <c r="H118" s="15"/>
      <c r="I118" s="14"/>
      <c r="J118" s="16" t="str">
        <f aca="false">IF(OR(H118="",D118="",C118="",G118&lt;$P$2),"",MAX(0,ROUND(D118-C118,2)))</f>
        <v/>
      </c>
      <c r="K118" s="17"/>
      <c r="L118" s="16" t="str">
        <f aca="false">IF(NOT(ISNUMBER(K118)),"",ROUND(K118-N(M117)-N(J118),2))</f>
        <v/>
      </c>
      <c r="M118" s="16" t="n">
        <f aca="false">IF(ISNUMBER(K118),K118,N(M117))</f>
        <v>0</v>
      </c>
      <c r="N118" s="0" t="str">
        <f aca="true">IF(AND(H118="",K118=""),"",TRIM(IF(AND(H118&lt;&gt;"",NOT(AND(LEN(H118)=10,MID(H118,5,1)="-",MID(H118,8,1)="-"))),"Fecha con formato invalido (usa AAAA-MM-DD). ","")&amp;IF(AND(H118&lt;&gt;"",COUNTIF($H$2:$H$367,H118)&gt;1),"Fecha repetida en otro dia. ","")&amp;IF(AND(H118&lt;&gt;"",H117&lt;&gt;"",H118&lt;=H117),"La fecha no es posterior a la del dia anterior. ","")&amp;IF(AND(H118&lt;&gt;"",ISNUMBER(A118),ISNUMBER(D117),ISNUMBER(C117),ABS(A118-IF(G117&gt;=$P$2,MIN(D117,C117),D117))&gt;0.005),"Bank roll inicial no sigue la regla del dia anterior (alguien sobrescribio la formula). ","")&amp;IF(AND(H118&lt;&gt;"",ISNUMBER(B118),ISNUMBER(A118),ABS(B118-A118/8)&gt;0.00001),"Stake distinto de Bank roll/8. ","")&amp;IF(AND(H118&lt;&gt;"",ISNUMBER(E118),ABS(E118)&gt;0.005),"Residuo distinto de 0. ","")&amp;IF(AND(K118&lt;&gt;"",OR(NOT(ISNUMBER(K118)),N(K118)&lt;0)),"Saldo L2 no numerico o negativo. ","")&amp;IF(AND(H118&lt;&gt;"",H118&lt;TEXT(TODAY(),"yyyy-mm-dd"),G118&gt;=$P$2,K118="",OR(N(J118)&gt;0,N(M117)&gt;0)),"Falta cerrar el Saldo L2 de este dia. ","")&amp;IF(AND(H118&lt;&gt;"",SUMPRODUCT((Registros!$C$2:$C$3000=H118)*ISTEXT(Registros!$AP$2:$AP$3000))&gt;0),"Hay P/L guardado como texto en Registros (no suma). ","")))</f>
        <v/>
      </c>
    </row>
    <row r="119" customFormat="false" ht="15" hidden="false" customHeight="true" outlineLevel="0" collapsed="false">
      <c r="A119" s="13" t="n">
        <f aca="false">IF(D118="","",IF(G118&gt;=$P$2,MIN(D118,C118),D118))</f>
        <v>8</v>
      </c>
      <c r="B119" s="13" t="n">
        <f aca="false">IF(A119="","",A119/8)</f>
        <v>1</v>
      </c>
      <c r="C119" s="13" t="n">
        <f aca="false">IF(OR(A119="",B119=""),"",A119+B119)</f>
        <v>9</v>
      </c>
      <c r="D119" s="13" t="n">
        <f aca="false">IF(A119="","",A119+SUMIFS(Registros!$AP:$AP,Registros!$C:$C,H119))</f>
        <v>8</v>
      </c>
      <c r="E119" s="13" t="n">
        <f aca="false">IF(A119="","",ROUND(A119-8*B119,2))</f>
        <v>0</v>
      </c>
      <c r="F119" s="13" t="n">
        <f aca="false">IF(OR(D119="",C119=""),"",D119-C119)</f>
        <v>-1</v>
      </c>
      <c r="G119" s="20" t="n">
        <f aca="false">IF(G118="","",G118+1)</f>
        <v>118</v>
      </c>
      <c r="H119" s="15"/>
      <c r="I119" s="14"/>
      <c r="J119" s="16" t="str">
        <f aca="false">IF(OR(H119="",D119="",C119="",G119&lt;$P$2),"",MAX(0,ROUND(D119-C119,2)))</f>
        <v/>
      </c>
      <c r="K119" s="17"/>
      <c r="L119" s="16" t="str">
        <f aca="false">IF(NOT(ISNUMBER(K119)),"",ROUND(K119-N(M118)-N(J119),2))</f>
        <v/>
      </c>
      <c r="M119" s="16" t="n">
        <f aca="false">IF(ISNUMBER(K119),K119,N(M118))</f>
        <v>0</v>
      </c>
      <c r="N119" s="0" t="str">
        <f aca="true">IF(AND(H119="",K119=""),"",TRIM(IF(AND(H119&lt;&gt;"",NOT(AND(LEN(H119)=10,MID(H119,5,1)="-",MID(H119,8,1)="-"))),"Fecha con formato invalido (usa AAAA-MM-DD). ","")&amp;IF(AND(H119&lt;&gt;"",COUNTIF($H$2:$H$367,H119)&gt;1),"Fecha repetida en otro dia. ","")&amp;IF(AND(H119&lt;&gt;"",H118&lt;&gt;"",H119&lt;=H118),"La fecha no es posterior a la del dia anterior. ","")&amp;IF(AND(H119&lt;&gt;"",ISNUMBER(A119),ISNUMBER(D118),ISNUMBER(C118),ABS(A119-IF(G118&gt;=$P$2,MIN(D118,C118),D118))&gt;0.005),"Bank roll inicial no sigue la regla del dia anterior (alguien sobrescribio la formula). ","")&amp;IF(AND(H119&lt;&gt;"",ISNUMBER(B119),ISNUMBER(A119),ABS(B119-A119/8)&gt;0.00001),"Stake distinto de Bank roll/8. ","")&amp;IF(AND(H119&lt;&gt;"",ISNUMBER(E119),ABS(E119)&gt;0.005),"Residuo distinto de 0. ","")&amp;IF(AND(K119&lt;&gt;"",OR(NOT(ISNUMBER(K119)),N(K119)&lt;0)),"Saldo L2 no numerico o negativo. ","")&amp;IF(AND(H119&lt;&gt;"",H119&lt;TEXT(TODAY(),"yyyy-mm-dd"),G119&gt;=$P$2,K119="",OR(N(J119)&gt;0,N(M118)&gt;0)),"Falta cerrar el Saldo L2 de este dia. ","")&amp;IF(AND(H119&lt;&gt;"",SUMPRODUCT((Registros!$C$2:$C$3000=H119)*ISTEXT(Registros!$AP$2:$AP$3000))&gt;0),"Hay P/L guardado como texto en Registros (no suma). ","")))</f>
        <v/>
      </c>
    </row>
    <row r="120" customFormat="false" ht="15" hidden="false" customHeight="true" outlineLevel="0" collapsed="false">
      <c r="A120" s="13" t="n">
        <f aca="false">IF(D119="","",IF(G119&gt;=$P$2,MIN(D119,C119),D119))</f>
        <v>8</v>
      </c>
      <c r="B120" s="13" t="n">
        <f aca="false">IF(A120="","",A120/8)</f>
        <v>1</v>
      </c>
      <c r="C120" s="13" t="n">
        <f aca="false">IF(OR(A120="",B120=""),"",A120+B120)</f>
        <v>9</v>
      </c>
      <c r="D120" s="13" t="n">
        <f aca="false">IF(A120="","",A120+SUMIFS(Registros!$AP:$AP,Registros!$C:$C,H120))</f>
        <v>8</v>
      </c>
      <c r="E120" s="13" t="n">
        <f aca="false">IF(A120="","",ROUND(A120-8*B120,2))</f>
        <v>0</v>
      </c>
      <c r="F120" s="13" t="n">
        <f aca="false">IF(OR(D120="",C120=""),"",D120-C120)</f>
        <v>-1</v>
      </c>
      <c r="G120" s="20" t="n">
        <f aca="false">IF(G119="","",G119+1)</f>
        <v>119</v>
      </c>
      <c r="H120" s="15"/>
      <c r="I120" s="14"/>
      <c r="J120" s="16" t="str">
        <f aca="false">IF(OR(H120="",D120="",C120="",G120&lt;$P$2),"",MAX(0,ROUND(D120-C120,2)))</f>
        <v/>
      </c>
      <c r="K120" s="17"/>
      <c r="L120" s="16" t="str">
        <f aca="false">IF(NOT(ISNUMBER(K120)),"",ROUND(K120-N(M119)-N(J120),2))</f>
        <v/>
      </c>
      <c r="M120" s="16" t="n">
        <f aca="false">IF(ISNUMBER(K120),K120,N(M119))</f>
        <v>0</v>
      </c>
      <c r="N120" s="0" t="str">
        <f aca="true">IF(AND(H120="",K120=""),"",TRIM(IF(AND(H120&lt;&gt;"",NOT(AND(LEN(H120)=10,MID(H120,5,1)="-",MID(H120,8,1)="-"))),"Fecha con formato invalido (usa AAAA-MM-DD). ","")&amp;IF(AND(H120&lt;&gt;"",COUNTIF($H$2:$H$367,H120)&gt;1),"Fecha repetida en otro dia. ","")&amp;IF(AND(H120&lt;&gt;"",H119&lt;&gt;"",H120&lt;=H119),"La fecha no es posterior a la del dia anterior. ","")&amp;IF(AND(H120&lt;&gt;"",ISNUMBER(A120),ISNUMBER(D119),ISNUMBER(C119),ABS(A120-IF(G119&gt;=$P$2,MIN(D119,C119),D119))&gt;0.005),"Bank roll inicial no sigue la regla del dia anterior (alguien sobrescribio la formula). ","")&amp;IF(AND(H120&lt;&gt;"",ISNUMBER(B120),ISNUMBER(A120),ABS(B120-A120/8)&gt;0.00001),"Stake distinto de Bank roll/8. ","")&amp;IF(AND(H120&lt;&gt;"",ISNUMBER(E120),ABS(E120)&gt;0.005),"Residuo distinto de 0. ","")&amp;IF(AND(K120&lt;&gt;"",OR(NOT(ISNUMBER(K120)),N(K120)&lt;0)),"Saldo L2 no numerico o negativo. ","")&amp;IF(AND(H120&lt;&gt;"",H120&lt;TEXT(TODAY(),"yyyy-mm-dd"),G120&gt;=$P$2,K120="",OR(N(J120)&gt;0,N(M119)&gt;0)),"Falta cerrar el Saldo L2 de este dia. ","")&amp;IF(AND(H120&lt;&gt;"",SUMPRODUCT((Registros!$C$2:$C$3000=H120)*ISTEXT(Registros!$AP$2:$AP$3000))&gt;0),"Hay P/L guardado como texto en Registros (no suma). ","")))</f>
        <v/>
      </c>
    </row>
    <row r="121" customFormat="false" ht="15" hidden="false" customHeight="true" outlineLevel="0" collapsed="false">
      <c r="A121" s="13" t="n">
        <f aca="false">IF(D120="","",IF(G120&gt;=$P$2,MIN(D120,C120),D120))</f>
        <v>8</v>
      </c>
      <c r="B121" s="13" t="n">
        <f aca="false">IF(A121="","",A121/8)</f>
        <v>1</v>
      </c>
      <c r="C121" s="13" t="n">
        <f aca="false">IF(OR(A121="",B121=""),"",A121+B121)</f>
        <v>9</v>
      </c>
      <c r="D121" s="13" t="n">
        <f aca="false">IF(A121="","",A121+SUMIFS(Registros!$AP:$AP,Registros!$C:$C,H121))</f>
        <v>8</v>
      </c>
      <c r="E121" s="13" t="n">
        <f aca="false">IF(A121="","",ROUND(A121-8*B121,2))</f>
        <v>0</v>
      </c>
      <c r="F121" s="13" t="n">
        <f aca="false">IF(OR(D121="",C121=""),"",D121-C121)</f>
        <v>-1</v>
      </c>
      <c r="G121" s="20" t="n">
        <f aca="false">IF(G120="","",G120+1)</f>
        <v>120</v>
      </c>
      <c r="H121" s="15"/>
      <c r="I121" s="14"/>
      <c r="J121" s="16" t="str">
        <f aca="false">IF(OR(H121="",D121="",C121="",G121&lt;$P$2),"",MAX(0,ROUND(D121-C121,2)))</f>
        <v/>
      </c>
      <c r="K121" s="17"/>
      <c r="L121" s="16" t="str">
        <f aca="false">IF(NOT(ISNUMBER(K121)),"",ROUND(K121-N(M120)-N(J121),2))</f>
        <v/>
      </c>
      <c r="M121" s="16" t="n">
        <f aca="false">IF(ISNUMBER(K121),K121,N(M120))</f>
        <v>0</v>
      </c>
      <c r="N121" s="0" t="str">
        <f aca="true">IF(AND(H121="",K121=""),"",TRIM(IF(AND(H121&lt;&gt;"",NOT(AND(LEN(H121)=10,MID(H121,5,1)="-",MID(H121,8,1)="-"))),"Fecha con formato invalido (usa AAAA-MM-DD). ","")&amp;IF(AND(H121&lt;&gt;"",COUNTIF($H$2:$H$367,H121)&gt;1),"Fecha repetida en otro dia. ","")&amp;IF(AND(H121&lt;&gt;"",H120&lt;&gt;"",H121&lt;=H120),"La fecha no es posterior a la del dia anterior. ","")&amp;IF(AND(H121&lt;&gt;"",ISNUMBER(A121),ISNUMBER(D120),ISNUMBER(C120),ABS(A121-IF(G120&gt;=$P$2,MIN(D120,C120),D120))&gt;0.005),"Bank roll inicial no sigue la regla del dia anterior (alguien sobrescribio la formula). ","")&amp;IF(AND(H121&lt;&gt;"",ISNUMBER(B121),ISNUMBER(A121),ABS(B121-A121/8)&gt;0.00001),"Stake distinto de Bank roll/8. ","")&amp;IF(AND(H121&lt;&gt;"",ISNUMBER(E121),ABS(E121)&gt;0.005),"Residuo distinto de 0. ","")&amp;IF(AND(K121&lt;&gt;"",OR(NOT(ISNUMBER(K121)),N(K121)&lt;0)),"Saldo L2 no numerico o negativo. ","")&amp;IF(AND(H121&lt;&gt;"",H121&lt;TEXT(TODAY(),"yyyy-mm-dd"),G121&gt;=$P$2,K121="",OR(N(J121)&gt;0,N(M120)&gt;0)),"Falta cerrar el Saldo L2 de este dia. ","")&amp;IF(AND(H121&lt;&gt;"",SUMPRODUCT((Registros!$C$2:$C$3000=H121)*ISTEXT(Registros!$AP$2:$AP$3000))&gt;0),"Hay P/L guardado como texto en Registros (no suma). ","")))</f>
        <v/>
      </c>
    </row>
    <row r="122" customFormat="false" ht="15" hidden="false" customHeight="true" outlineLevel="0" collapsed="false">
      <c r="A122" s="13" t="n">
        <f aca="false">IF(D121="","",IF(G121&gt;=$P$2,MIN(D121,C121),D121))</f>
        <v>8</v>
      </c>
      <c r="B122" s="13" t="n">
        <f aca="false">IF(A122="","",A122/8)</f>
        <v>1</v>
      </c>
      <c r="C122" s="13" t="n">
        <f aca="false">IF(OR(A122="",B122=""),"",A122+B122)</f>
        <v>9</v>
      </c>
      <c r="D122" s="13" t="n">
        <f aca="false">IF(A122="","",A122+SUMIFS(Registros!$AP:$AP,Registros!$C:$C,H122))</f>
        <v>8</v>
      </c>
      <c r="E122" s="13" t="n">
        <f aca="false">IF(A122="","",ROUND(A122-8*B122,2))</f>
        <v>0</v>
      </c>
      <c r="F122" s="13" t="n">
        <f aca="false">IF(OR(D122="",C122=""),"",D122-C122)</f>
        <v>-1</v>
      </c>
      <c r="G122" s="20" t="n">
        <f aca="false">IF(G121="","",G121+1)</f>
        <v>121</v>
      </c>
      <c r="H122" s="15"/>
      <c r="I122" s="14"/>
      <c r="J122" s="16" t="str">
        <f aca="false">IF(OR(H122="",D122="",C122="",G122&lt;$P$2),"",MAX(0,ROUND(D122-C122,2)))</f>
        <v/>
      </c>
      <c r="K122" s="17"/>
      <c r="L122" s="16" t="str">
        <f aca="false">IF(NOT(ISNUMBER(K122)),"",ROUND(K122-N(M121)-N(J122),2))</f>
        <v/>
      </c>
      <c r="M122" s="16" t="n">
        <f aca="false">IF(ISNUMBER(K122),K122,N(M121))</f>
        <v>0</v>
      </c>
      <c r="N122" s="0" t="str">
        <f aca="true">IF(AND(H122="",K122=""),"",TRIM(IF(AND(H122&lt;&gt;"",NOT(AND(LEN(H122)=10,MID(H122,5,1)="-",MID(H122,8,1)="-"))),"Fecha con formato invalido (usa AAAA-MM-DD). ","")&amp;IF(AND(H122&lt;&gt;"",COUNTIF($H$2:$H$367,H122)&gt;1),"Fecha repetida en otro dia. ","")&amp;IF(AND(H122&lt;&gt;"",H121&lt;&gt;"",H122&lt;=H121),"La fecha no es posterior a la del dia anterior. ","")&amp;IF(AND(H122&lt;&gt;"",ISNUMBER(A122),ISNUMBER(D121),ISNUMBER(C121),ABS(A122-IF(G121&gt;=$P$2,MIN(D121,C121),D121))&gt;0.005),"Bank roll inicial no sigue la regla del dia anterior (alguien sobrescribio la formula). ","")&amp;IF(AND(H122&lt;&gt;"",ISNUMBER(B122),ISNUMBER(A122),ABS(B122-A122/8)&gt;0.00001),"Stake distinto de Bank roll/8. ","")&amp;IF(AND(H122&lt;&gt;"",ISNUMBER(E122),ABS(E122)&gt;0.005),"Residuo distinto de 0. ","")&amp;IF(AND(K122&lt;&gt;"",OR(NOT(ISNUMBER(K122)),N(K122)&lt;0)),"Saldo L2 no numerico o negativo. ","")&amp;IF(AND(H122&lt;&gt;"",H122&lt;TEXT(TODAY(),"yyyy-mm-dd"),G122&gt;=$P$2,K122="",OR(N(J122)&gt;0,N(M121)&gt;0)),"Falta cerrar el Saldo L2 de este dia. ","")&amp;IF(AND(H122&lt;&gt;"",SUMPRODUCT((Registros!$C$2:$C$3000=H122)*ISTEXT(Registros!$AP$2:$AP$3000))&gt;0),"Hay P/L guardado como texto en Registros (no suma). ","")))</f>
        <v/>
      </c>
    </row>
    <row r="123" customFormat="false" ht="15" hidden="false" customHeight="true" outlineLevel="0" collapsed="false">
      <c r="A123" s="13" t="n">
        <f aca="false">IF(D122="","",IF(G122&gt;=$P$2,MIN(D122,C122),D122))</f>
        <v>8</v>
      </c>
      <c r="B123" s="13" t="n">
        <f aca="false">IF(A123="","",A123/8)</f>
        <v>1</v>
      </c>
      <c r="C123" s="13" t="n">
        <f aca="false">IF(OR(A123="",B123=""),"",A123+B123)</f>
        <v>9</v>
      </c>
      <c r="D123" s="13" t="n">
        <f aca="false">IF(A123="","",A123+SUMIFS(Registros!$AP:$AP,Registros!$C:$C,H123))</f>
        <v>8</v>
      </c>
      <c r="E123" s="13" t="n">
        <f aca="false">IF(A123="","",ROUND(A123-8*B123,2))</f>
        <v>0</v>
      </c>
      <c r="F123" s="13" t="n">
        <f aca="false">IF(OR(D123="",C123=""),"",D123-C123)</f>
        <v>-1</v>
      </c>
      <c r="G123" s="20" t="n">
        <f aca="false">IF(G122="","",G122+1)</f>
        <v>122</v>
      </c>
      <c r="H123" s="15"/>
      <c r="I123" s="14"/>
      <c r="J123" s="16" t="str">
        <f aca="false">IF(OR(H123="",D123="",C123="",G123&lt;$P$2),"",MAX(0,ROUND(D123-C123,2)))</f>
        <v/>
      </c>
      <c r="K123" s="17"/>
      <c r="L123" s="16" t="str">
        <f aca="false">IF(NOT(ISNUMBER(K123)),"",ROUND(K123-N(M122)-N(J123),2))</f>
        <v/>
      </c>
      <c r="M123" s="16" t="n">
        <f aca="false">IF(ISNUMBER(K123),K123,N(M122))</f>
        <v>0</v>
      </c>
      <c r="N123" s="0" t="str">
        <f aca="true">IF(AND(H123="",K123=""),"",TRIM(IF(AND(H123&lt;&gt;"",NOT(AND(LEN(H123)=10,MID(H123,5,1)="-",MID(H123,8,1)="-"))),"Fecha con formato invalido (usa AAAA-MM-DD). ","")&amp;IF(AND(H123&lt;&gt;"",COUNTIF($H$2:$H$367,H123)&gt;1),"Fecha repetida en otro dia. ","")&amp;IF(AND(H123&lt;&gt;"",H122&lt;&gt;"",H123&lt;=H122),"La fecha no es posterior a la del dia anterior. ","")&amp;IF(AND(H123&lt;&gt;"",ISNUMBER(A123),ISNUMBER(D122),ISNUMBER(C122),ABS(A123-IF(G122&gt;=$P$2,MIN(D122,C122),D122))&gt;0.005),"Bank roll inicial no sigue la regla del dia anterior (alguien sobrescribio la formula). ","")&amp;IF(AND(H123&lt;&gt;"",ISNUMBER(B123),ISNUMBER(A123),ABS(B123-A123/8)&gt;0.00001),"Stake distinto de Bank roll/8. ","")&amp;IF(AND(H123&lt;&gt;"",ISNUMBER(E123),ABS(E123)&gt;0.005),"Residuo distinto de 0. ","")&amp;IF(AND(K123&lt;&gt;"",OR(NOT(ISNUMBER(K123)),N(K123)&lt;0)),"Saldo L2 no numerico o negativo. ","")&amp;IF(AND(H123&lt;&gt;"",H123&lt;TEXT(TODAY(),"yyyy-mm-dd"),G123&gt;=$P$2,K123="",OR(N(J123)&gt;0,N(M122)&gt;0)),"Falta cerrar el Saldo L2 de este dia. ","")&amp;IF(AND(H123&lt;&gt;"",SUMPRODUCT((Registros!$C$2:$C$3000=H123)*ISTEXT(Registros!$AP$2:$AP$3000))&gt;0),"Hay P/L guardado como texto en Registros (no suma). ","")))</f>
        <v/>
      </c>
    </row>
    <row r="124" customFormat="false" ht="15" hidden="false" customHeight="true" outlineLevel="0" collapsed="false">
      <c r="A124" s="13" t="n">
        <f aca="false">IF(D123="","",IF(G123&gt;=$P$2,MIN(D123,C123),D123))</f>
        <v>8</v>
      </c>
      <c r="B124" s="13" t="n">
        <f aca="false">IF(A124="","",A124/8)</f>
        <v>1</v>
      </c>
      <c r="C124" s="13" t="n">
        <f aca="false">IF(OR(A124="",B124=""),"",A124+B124)</f>
        <v>9</v>
      </c>
      <c r="D124" s="13" t="n">
        <f aca="false">IF(A124="","",A124+SUMIFS(Registros!$AP:$AP,Registros!$C:$C,H124))</f>
        <v>8</v>
      </c>
      <c r="E124" s="13" t="n">
        <f aca="false">IF(A124="","",ROUND(A124-8*B124,2))</f>
        <v>0</v>
      </c>
      <c r="F124" s="13" t="n">
        <f aca="false">IF(OR(D124="",C124=""),"",D124-C124)</f>
        <v>-1</v>
      </c>
      <c r="G124" s="20" t="n">
        <f aca="false">IF(G123="","",G123+1)</f>
        <v>123</v>
      </c>
      <c r="H124" s="15"/>
      <c r="I124" s="14"/>
      <c r="J124" s="16" t="str">
        <f aca="false">IF(OR(H124="",D124="",C124="",G124&lt;$P$2),"",MAX(0,ROUND(D124-C124,2)))</f>
        <v/>
      </c>
      <c r="K124" s="17"/>
      <c r="L124" s="16" t="str">
        <f aca="false">IF(NOT(ISNUMBER(K124)),"",ROUND(K124-N(M123)-N(J124),2))</f>
        <v/>
      </c>
      <c r="M124" s="16" t="n">
        <f aca="false">IF(ISNUMBER(K124),K124,N(M123))</f>
        <v>0</v>
      </c>
      <c r="N124" s="0" t="str">
        <f aca="true">IF(AND(H124="",K124=""),"",TRIM(IF(AND(H124&lt;&gt;"",NOT(AND(LEN(H124)=10,MID(H124,5,1)="-",MID(H124,8,1)="-"))),"Fecha con formato invalido (usa AAAA-MM-DD). ","")&amp;IF(AND(H124&lt;&gt;"",COUNTIF($H$2:$H$367,H124)&gt;1),"Fecha repetida en otro dia. ","")&amp;IF(AND(H124&lt;&gt;"",H123&lt;&gt;"",H124&lt;=H123),"La fecha no es posterior a la del dia anterior. ","")&amp;IF(AND(H124&lt;&gt;"",ISNUMBER(A124),ISNUMBER(D123),ISNUMBER(C123),ABS(A124-IF(G123&gt;=$P$2,MIN(D123,C123),D123))&gt;0.005),"Bank roll inicial no sigue la regla del dia anterior (alguien sobrescribio la formula). ","")&amp;IF(AND(H124&lt;&gt;"",ISNUMBER(B124),ISNUMBER(A124),ABS(B124-A124/8)&gt;0.00001),"Stake distinto de Bank roll/8. ","")&amp;IF(AND(H124&lt;&gt;"",ISNUMBER(E124),ABS(E124)&gt;0.005),"Residuo distinto de 0. ","")&amp;IF(AND(K124&lt;&gt;"",OR(NOT(ISNUMBER(K124)),N(K124)&lt;0)),"Saldo L2 no numerico o negativo. ","")&amp;IF(AND(H124&lt;&gt;"",H124&lt;TEXT(TODAY(),"yyyy-mm-dd"),G124&gt;=$P$2,K124="",OR(N(J124)&gt;0,N(M123)&gt;0)),"Falta cerrar el Saldo L2 de este dia. ","")&amp;IF(AND(H124&lt;&gt;"",SUMPRODUCT((Registros!$C$2:$C$3000=H124)*ISTEXT(Registros!$AP$2:$AP$3000))&gt;0),"Hay P/L guardado como texto en Registros (no suma). ","")))</f>
        <v/>
      </c>
    </row>
    <row r="125" customFormat="false" ht="15" hidden="false" customHeight="true" outlineLevel="0" collapsed="false">
      <c r="A125" s="13" t="n">
        <f aca="false">IF(D124="","",IF(G124&gt;=$P$2,MIN(D124,C124),D124))</f>
        <v>8</v>
      </c>
      <c r="B125" s="13" t="n">
        <f aca="false">IF(A125="","",A125/8)</f>
        <v>1</v>
      </c>
      <c r="C125" s="13" t="n">
        <f aca="false">IF(OR(A125="",B125=""),"",A125+B125)</f>
        <v>9</v>
      </c>
      <c r="D125" s="13" t="n">
        <f aca="false">IF(A125="","",A125+SUMIFS(Registros!$AP:$AP,Registros!$C:$C,H125))</f>
        <v>8</v>
      </c>
      <c r="E125" s="13" t="n">
        <f aca="false">IF(A125="","",ROUND(A125-8*B125,2))</f>
        <v>0</v>
      </c>
      <c r="F125" s="13" t="n">
        <f aca="false">IF(OR(D125="",C125=""),"",D125-C125)</f>
        <v>-1</v>
      </c>
      <c r="G125" s="20" t="n">
        <f aca="false">IF(G124="","",G124+1)</f>
        <v>124</v>
      </c>
      <c r="H125" s="15"/>
      <c r="I125" s="14"/>
      <c r="J125" s="16" t="str">
        <f aca="false">IF(OR(H125="",D125="",C125="",G125&lt;$P$2),"",MAX(0,ROUND(D125-C125,2)))</f>
        <v/>
      </c>
      <c r="K125" s="17"/>
      <c r="L125" s="16" t="str">
        <f aca="false">IF(NOT(ISNUMBER(K125)),"",ROUND(K125-N(M124)-N(J125),2))</f>
        <v/>
      </c>
      <c r="M125" s="16" t="n">
        <f aca="false">IF(ISNUMBER(K125),K125,N(M124))</f>
        <v>0</v>
      </c>
      <c r="N125" s="0" t="str">
        <f aca="true">IF(AND(H125="",K125=""),"",TRIM(IF(AND(H125&lt;&gt;"",NOT(AND(LEN(H125)=10,MID(H125,5,1)="-",MID(H125,8,1)="-"))),"Fecha con formato invalido (usa AAAA-MM-DD). ","")&amp;IF(AND(H125&lt;&gt;"",COUNTIF($H$2:$H$367,H125)&gt;1),"Fecha repetida en otro dia. ","")&amp;IF(AND(H125&lt;&gt;"",H124&lt;&gt;"",H125&lt;=H124),"La fecha no es posterior a la del dia anterior. ","")&amp;IF(AND(H125&lt;&gt;"",ISNUMBER(A125),ISNUMBER(D124),ISNUMBER(C124),ABS(A125-IF(G124&gt;=$P$2,MIN(D124,C124),D124))&gt;0.005),"Bank roll inicial no sigue la regla del dia anterior (alguien sobrescribio la formula). ","")&amp;IF(AND(H125&lt;&gt;"",ISNUMBER(B125),ISNUMBER(A125),ABS(B125-A125/8)&gt;0.00001),"Stake distinto de Bank roll/8. ","")&amp;IF(AND(H125&lt;&gt;"",ISNUMBER(E125),ABS(E125)&gt;0.005),"Residuo distinto de 0. ","")&amp;IF(AND(K125&lt;&gt;"",OR(NOT(ISNUMBER(K125)),N(K125)&lt;0)),"Saldo L2 no numerico o negativo. ","")&amp;IF(AND(H125&lt;&gt;"",H125&lt;TEXT(TODAY(),"yyyy-mm-dd"),G125&gt;=$P$2,K125="",OR(N(J125)&gt;0,N(M124)&gt;0)),"Falta cerrar el Saldo L2 de este dia. ","")&amp;IF(AND(H125&lt;&gt;"",SUMPRODUCT((Registros!$C$2:$C$3000=H125)*ISTEXT(Registros!$AP$2:$AP$3000))&gt;0),"Hay P/L guardado como texto en Registros (no suma). ","")))</f>
        <v/>
      </c>
    </row>
    <row r="126" customFormat="false" ht="15" hidden="false" customHeight="true" outlineLevel="0" collapsed="false">
      <c r="A126" s="13" t="n">
        <f aca="false">IF(D125="","",IF(G125&gt;=$P$2,MIN(D125,C125),D125))</f>
        <v>8</v>
      </c>
      <c r="B126" s="13" t="n">
        <f aca="false">IF(A126="","",A126/8)</f>
        <v>1</v>
      </c>
      <c r="C126" s="13" t="n">
        <f aca="false">IF(OR(A126="",B126=""),"",A126+B126)</f>
        <v>9</v>
      </c>
      <c r="D126" s="13" t="n">
        <f aca="false">IF(A126="","",A126+SUMIFS(Registros!$AP:$AP,Registros!$C:$C,H126))</f>
        <v>8</v>
      </c>
      <c r="E126" s="13" t="n">
        <f aca="false">IF(A126="","",ROUND(A126-8*B126,2))</f>
        <v>0</v>
      </c>
      <c r="F126" s="13" t="n">
        <f aca="false">IF(OR(D126="",C126=""),"",D126-C126)</f>
        <v>-1</v>
      </c>
      <c r="G126" s="20" t="n">
        <f aca="false">IF(G125="","",G125+1)</f>
        <v>125</v>
      </c>
      <c r="H126" s="15"/>
      <c r="I126" s="14"/>
      <c r="J126" s="16" t="str">
        <f aca="false">IF(OR(H126="",D126="",C126="",G126&lt;$P$2),"",MAX(0,ROUND(D126-C126,2)))</f>
        <v/>
      </c>
      <c r="K126" s="17"/>
      <c r="L126" s="16" t="str">
        <f aca="false">IF(NOT(ISNUMBER(K126)),"",ROUND(K126-N(M125)-N(J126),2))</f>
        <v/>
      </c>
      <c r="M126" s="16" t="n">
        <f aca="false">IF(ISNUMBER(K126),K126,N(M125))</f>
        <v>0</v>
      </c>
      <c r="N126" s="0" t="str">
        <f aca="true">IF(AND(H126="",K126=""),"",TRIM(IF(AND(H126&lt;&gt;"",NOT(AND(LEN(H126)=10,MID(H126,5,1)="-",MID(H126,8,1)="-"))),"Fecha con formato invalido (usa AAAA-MM-DD). ","")&amp;IF(AND(H126&lt;&gt;"",COUNTIF($H$2:$H$367,H126)&gt;1),"Fecha repetida en otro dia. ","")&amp;IF(AND(H126&lt;&gt;"",H125&lt;&gt;"",H126&lt;=H125),"La fecha no es posterior a la del dia anterior. ","")&amp;IF(AND(H126&lt;&gt;"",ISNUMBER(A126),ISNUMBER(D125),ISNUMBER(C125),ABS(A126-IF(G125&gt;=$P$2,MIN(D125,C125),D125))&gt;0.005),"Bank roll inicial no sigue la regla del dia anterior (alguien sobrescribio la formula). ","")&amp;IF(AND(H126&lt;&gt;"",ISNUMBER(B126),ISNUMBER(A126),ABS(B126-A126/8)&gt;0.00001),"Stake distinto de Bank roll/8. ","")&amp;IF(AND(H126&lt;&gt;"",ISNUMBER(E126),ABS(E126)&gt;0.005),"Residuo distinto de 0. ","")&amp;IF(AND(K126&lt;&gt;"",OR(NOT(ISNUMBER(K126)),N(K126)&lt;0)),"Saldo L2 no numerico o negativo. ","")&amp;IF(AND(H126&lt;&gt;"",H126&lt;TEXT(TODAY(),"yyyy-mm-dd"),G126&gt;=$P$2,K126="",OR(N(J126)&gt;0,N(M125)&gt;0)),"Falta cerrar el Saldo L2 de este dia. ","")&amp;IF(AND(H126&lt;&gt;"",SUMPRODUCT((Registros!$C$2:$C$3000=H126)*ISTEXT(Registros!$AP$2:$AP$3000))&gt;0),"Hay P/L guardado como texto en Registros (no suma). ","")))</f>
        <v/>
      </c>
    </row>
    <row r="127" customFormat="false" ht="15" hidden="false" customHeight="true" outlineLevel="0" collapsed="false">
      <c r="A127" s="13" t="n">
        <f aca="false">IF(D126="","",IF(G126&gt;=$P$2,MIN(D126,C126),D126))</f>
        <v>8</v>
      </c>
      <c r="B127" s="13" t="n">
        <f aca="false">IF(A127="","",A127/8)</f>
        <v>1</v>
      </c>
      <c r="C127" s="13" t="n">
        <f aca="false">IF(OR(A127="",B127=""),"",A127+B127)</f>
        <v>9</v>
      </c>
      <c r="D127" s="13" t="n">
        <f aca="false">IF(A127="","",A127+SUMIFS(Registros!$AP:$AP,Registros!$C:$C,H127))</f>
        <v>8</v>
      </c>
      <c r="E127" s="13" t="n">
        <f aca="false">IF(A127="","",ROUND(A127-8*B127,2))</f>
        <v>0</v>
      </c>
      <c r="F127" s="13" t="n">
        <f aca="false">IF(OR(D127="",C127=""),"",D127-C127)</f>
        <v>-1</v>
      </c>
      <c r="G127" s="20" t="n">
        <f aca="false">IF(G126="","",G126+1)</f>
        <v>126</v>
      </c>
      <c r="H127" s="15"/>
      <c r="I127" s="14"/>
      <c r="J127" s="16" t="str">
        <f aca="false">IF(OR(H127="",D127="",C127="",G127&lt;$P$2),"",MAX(0,ROUND(D127-C127,2)))</f>
        <v/>
      </c>
      <c r="K127" s="17"/>
      <c r="L127" s="16" t="str">
        <f aca="false">IF(NOT(ISNUMBER(K127)),"",ROUND(K127-N(M126)-N(J127),2))</f>
        <v/>
      </c>
      <c r="M127" s="16" t="n">
        <f aca="false">IF(ISNUMBER(K127),K127,N(M126))</f>
        <v>0</v>
      </c>
      <c r="N127" s="0" t="str">
        <f aca="true">IF(AND(H127="",K127=""),"",TRIM(IF(AND(H127&lt;&gt;"",NOT(AND(LEN(H127)=10,MID(H127,5,1)="-",MID(H127,8,1)="-"))),"Fecha con formato invalido (usa AAAA-MM-DD). ","")&amp;IF(AND(H127&lt;&gt;"",COUNTIF($H$2:$H$367,H127)&gt;1),"Fecha repetida en otro dia. ","")&amp;IF(AND(H127&lt;&gt;"",H126&lt;&gt;"",H127&lt;=H126),"La fecha no es posterior a la del dia anterior. ","")&amp;IF(AND(H127&lt;&gt;"",ISNUMBER(A127),ISNUMBER(D126),ISNUMBER(C126),ABS(A127-IF(G126&gt;=$P$2,MIN(D126,C126),D126))&gt;0.005),"Bank roll inicial no sigue la regla del dia anterior (alguien sobrescribio la formula). ","")&amp;IF(AND(H127&lt;&gt;"",ISNUMBER(B127),ISNUMBER(A127),ABS(B127-A127/8)&gt;0.00001),"Stake distinto de Bank roll/8. ","")&amp;IF(AND(H127&lt;&gt;"",ISNUMBER(E127),ABS(E127)&gt;0.005),"Residuo distinto de 0. ","")&amp;IF(AND(K127&lt;&gt;"",OR(NOT(ISNUMBER(K127)),N(K127)&lt;0)),"Saldo L2 no numerico o negativo. ","")&amp;IF(AND(H127&lt;&gt;"",H127&lt;TEXT(TODAY(),"yyyy-mm-dd"),G127&gt;=$P$2,K127="",OR(N(J127)&gt;0,N(M126)&gt;0)),"Falta cerrar el Saldo L2 de este dia. ","")&amp;IF(AND(H127&lt;&gt;"",SUMPRODUCT((Registros!$C$2:$C$3000=H127)*ISTEXT(Registros!$AP$2:$AP$3000))&gt;0),"Hay P/L guardado como texto en Registros (no suma). ","")))</f>
        <v/>
      </c>
    </row>
    <row r="128" customFormat="false" ht="15" hidden="false" customHeight="true" outlineLevel="0" collapsed="false">
      <c r="A128" s="13" t="n">
        <f aca="false">IF(D127="","",IF(G127&gt;=$P$2,MIN(D127,C127),D127))</f>
        <v>8</v>
      </c>
      <c r="B128" s="13" t="n">
        <f aca="false">IF(A128="","",A128/8)</f>
        <v>1</v>
      </c>
      <c r="C128" s="13" t="n">
        <f aca="false">IF(OR(A128="",B128=""),"",A128+B128)</f>
        <v>9</v>
      </c>
      <c r="D128" s="13" t="n">
        <f aca="false">IF(A128="","",A128+SUMIFS(Registros!$AP:$AP,Registros!$C:$C,H128))</f>
        <v>8</v>
      </c>
      <c r="E128" s="13" t="n">
        <f aca="false">IF(A128="","",ROUND(A128-8*B128,2))</f>
        <v>0</v>
      </c>
      <c r="F128" s="13" t="n">
        <f aca="false">IF(OR(D128="",C128=""),"",D128-C128)</f>
        <v>-1</v>
      </c>
      <c r="G128" s="20" t="n">
        <f aca="false">IF(G127="","",G127+1)</f>
        <v>127</v>
      </c>
      <c r="H128" s="15"/>
      <c r="I128" s="14"/>
      <c r="J128" s="16" t="str">
        <f aca="false">IF(OR(H128="",D128="",C128="",G128&lt;$P$2),"",MAX(0,ROUND(D128-C128,2)))</f>
        <v/>
      </c>
      <c r="K128" s="17"/>
      <c r="L128" s="16" t="str">
        <f aca="false">IF(NOT(ISNUMBER(K128)),"",ROUND(K128-N(M127)-N(J128),2))</f>
        <v/>
      </c>
      <c r="M128" s="16" t="n">
        <f aca="false">IF(ISNUMBER(K128),K128,N(M127))</f>
        <v>0</v>
      </c>
      <c r="N128" s="0" t="str">
        <f aca="true">IF(AND(H128="",K128=""),"",TRIM(IF(AND(H128&lt;&gt;"",NOT(AND(LEN(H128)=10,MID(H128,5,1)="-",MID(H128,8,1)="-"))),"Fecha con formato invalido (usa AAAA-MM-DD). ","")&amp;IF(AND(H128&lt;&gt;"",COUNTIF($H$2:$H$367,H128)&gt;1),"Fecha repetida en otro dia. ","")&amp;IF(AND(H128&lt;&gt;"",H127&lt;&gt;"",H128&lt;=H127),"La fecha no es posterior a la del dia anterior. ","")&amp;IF(AND(H128&lt;&gt;"",ISNUMBER(A128),ISNUMBER(D127),ISNUMBER(C127),ABS(A128-IF(G127&gt;=$P$2,MIN(D127,C127),D127))&gt;0.005),"Bank roll inicial no sigue la regla del dia anterior (alguien sobrescribio la formula). ","")&amp;IF(AND(H128&lt;&gt;"",ISNUMBER(B128),ISNUMBER(A128),ABS(B128-A128/8)&gt;0.00001),"Stake distinto de Bank roll/8. ","")&amp;IF(AND(H128&lt;&gt;"",ISNUMBER(E128),ABS(E128)&gt;0.005),"Residuo distinto de 0. ","")&amp;IF(AND(K128&lt;&gt;"",OR(NOT(ISNUMBER(K128)),N(K128)&lt;0)),"Saldo L2 no numerico o negativo. ","")&amp;IF(AND(H128&lt;&gt;"",H128&lt;TEXT(TODAY(),"yyyy-mm-dd"),G128&gt;=$P$2,K128="",OR(N(J128)&gt;0,N(M127)&gt;0)),"Falta cerrar el Saldo L2 de este dia. ","")&amp;IF(AND(H128&lt;&gt;"",SUMPRODUCT((Registros!$C$2:$C$3000=H128)*ISTEXT(Registros!$AP$2:$AP$3000))&gt;0),"Hay P/L guardado como texto en Registros (no suma). ","")))</f>
        <v/>
      </c>
    </row>
    <row r="129" customFormat="false" ht="15" hidden="false" customHeight="true" outlineLevel="0" collapsed="false">
      <c r="A129" s="13" t="n">
        <f aca="false">IF(D128="","",IF(G128&gt;=$P$2,MIN(D128,C128),D128))</f>
        <v>8</v>
      </c>
      <c r="B129" s="13" t="n">
        <f aca="false">IF(A129="","",A129/8)</f>
        <v>1</v>
      </c>
      <c r="C129" s="13" t="n">
        <f aca="false">IF(OR(A129="",B129=""),"",A129+B129)</f>
        <v>9</v>
      </c>
      <c r="D129" s="13" t="n">
        <f aca="false">IF(A129="","",A129+SUMIFS(Registros!$AP:$AP,Registros!$C:$C,H129))</f>
        <v>8</v>
      </c>
      <c r="E129" s="13" t="n">
        <f aca="false">IF(A129="","",ROUND(A129-8*B129,2))</f>
        <v>0</v>
      </c>
      <c r="F129" s="13" t="n">
        <f aca="false">IF(OR(D129="",C129=""),"",D129-C129)</f>
        <v>-1</v>
      </c>
      <c r="G129" s="20" t="n">
        <f aca="false">IF(G128="","",G128+1)</f>
        <v>128</v>
      </c>
      <c r="H129" s="15"/>
      <c r="I129" s="14"/>
      <c r="J129" s="16" t="str">
        <f aca="false">IF(OR(H129="",D129="",C129="",G129&lt;$P$2),"",MAX(0,ROUND(D129-C129,2)))</f>
        <v/>
      </c>
      <c r="K129" s="17"/>
      <c r="L129" s="16" t="str">
        <f aca="false">IF(NOT(ISNUMBER(K129)),"",ROUND(K129-N(M128)-N(J129),2))</f>
        <v/>
      </c>
      <c r="M129" s="16" t="n">
        <f aca="false">IF(ISNUMBER(K129),K129,N(M128))</f>
        <v>0</v>
      </c>
      <c r="N129" s="0" t="str">
        <f aca="true">IF(AND(H129="",K129=""),"",TRIM(IF(AND(H129&lt;&gt;"",NOT(AND(LEN(H129)=10,MID(H129,5,1)="-",MID(H129,8,1)="-"))),"Fecha con formato invalido (usa AAAA-MM-DD). ","")&amp;IF(AND(H129&lt;&gt;"",COUNTIF($H$2:$H$367,H129)&gt;1),"Fecha repetida en otro dia. ","")&amp;IF(AND(H129&lt;&gt;"",H128&lt;&gt;"",H129&lt;=H128),"La fecha no es posterior a la del dia anterior. ","")&amp;IF(AND(H129&lt;&gt;"",ISNUMBER(A129),ISNUMBER(D128),ISNUMBER(C128),ABS(A129-IF(G128&gt;=$P$2,MIN(D128,C128),D128))&gt;0.005),"Bank roll inicial no sigue la regla del dia anterior (alguien sobrescribio la formula). ","")&amp;IF(AND(H129&lt;&gt;"",ISNUMBER(B129),ISNUMBER(A129),ABS(B129-A129/8)&gt;0.00001),"Stake distinto de Bank roll/8. ","")&amp;IF(AND(H129&lt;&gt;"",ISNUMBER(E129),ABS(E129)&gt;0.005),"Residuo distinto de 0. ","")&amp;IF(AND(K129&lt;&gt;"",OR(NOT(ISNUMBER(K129)),N(K129)&lt;0)),"Saldo L2 no numerico o negativo. ","")&amp;IF(AND(H129&lt;&gt;"",H129&lt;TEXT(TODAY(),"yyyy-mm-dd"),G129&gt;=$P$2,K129="",OR(N(J129)&gt;0,N(M128)&gt;0)),"Falta cerrar el Saldo L2 de este dia. ","")&amp;IF(AND(H129&lt;&gt;"",SUMPRODUCT((Registros!$C$2:$C$3000=H129)*ISTEXT(Registros!$AP$2:$AP$3000))&gt;0),"Hay P/L guardado como texto en Registros (no suma). ","")))</f>
        <v/>
      </c>
    </row>
    <row r="130" customFormat="false" ht="15" hidden="false" customHeight="true" outlineLevel="0" collapsed="false">
      <c r="A130" s="13" t="n">
        <f aca="false">IF(D129="","",IF(G129&gt;=$P$2,MIN(D129,C129),D129))</f>
        <v>8</v>
      </c>
      <c r="B130" s="13" t="n">
        <f aca="false">IF(A130="","",A130/8)</f>
        <v>1</v>
      </c>
      <c r="C130" s="13" t="n">
        <f aca="false">IF(OR(A130="",B130=""),"",A130+B130)</f>
        <v>9</v>
      </c>
      <c r="D130" s="13" t="n">
        <f aca="false">IF(A130="","",A130+SUMIFS(Registros!$AP:$AP,Registros!$C:$C,H130))</f>
        <v>8</v>
      </c>
      <c r="E130" s="13" t="n">
        <f aca="false">IF(A130="","",ROUND(A130-8*B130,2))</f>
        <v>0</v>
      </c>
      <c r="F130" s="13" t="n">
        <f aca="false">IF(OR(D130="",C130=""),"",D130-C130)</f>
        <v>-1</v>
      </c>
      <c r="G130" s="20" t="n">
        <f aca="false">IF(G129="","",G129+1)</f>
        <v>129</v>
      </c>
      <c r="H130" s="15"/>
      <c r="I130" s="14"/>
      <c r="J130" s="16" t="str">
        <f aca="false">IF(OR(H130="",D130="",C130="",G130&lt;$P$2),"",MAX(0,ROUND(D130-C130,2)))</f>
        <v/>
      </c>
      <c r="K130" s="17"/>
      <c r="L130" s="16" t="str">
        <f aca="false">IF(NOT(ISNUMBER(K130)),"",ROUND(K130-N(M129)-N(J130),2))</f>
        <v/>
      </c>
      <c r="M130" s="16" t="n">
        <f aca="false">IF(ISNUMBER(K130),K130,N(M129))</f>
        <v>0</v>
      </c>
      <c r="N130" s="0" t="str">
        <f aca="true">IF(AND(H130="",K130=""),"",TRIM(IF(AND(H130&lt;&gt;"",NOT(AND(LEN(H130)=10,MID(H130,5,1)="-",MID(H130,8,1)="-"))),"Fecha con formato invalido (usa AAAA-MM-DD). ","")&amp;IF(AND(H130&lt;&gt;"",COUNTIF($H$2:$H$367,H130)&gt;1),"Fecha repetida en otro dia. ","")&amp;IF(AND(H130&lt;&gt;"",H129&lt;&gt;"",H130&lt;=H129),"La fecha no es posterior a la del dia anterior. ","")&amp;IF(AND(H130&lt;&gt;"",ISNUMBER(A130),ISNUMBER(D129),ISNUMBER(C129),ABS(A130-IF(G129&gt;=$P$2,MIN(D129,C129),D129))&gt;0.005),"Bank roll inicial no sigue la regla del dia anterior (alguien sobrescribio la formula). ","")&amp;IF(AND(H130&lt;&gt;"",ISNUMBER(B130),ISNUMBER(A130),ABS(B130-A130/8)&gt;0.00001),"Stake distinto de Bank roll/8. ","")&amp;IF(AND(H130&lt;&gt;"",ISNUMBER(E130),ABS(E130)&gt;0.005),"Residuo distinto de 0. ","")&amp;IF(AND(K130&lt;&gt;"",OR(NOT(ISNUMBER(K130)),N(K130)&lt;0)),"Saldo L2 no numerico o negativo. ","")&amp;IF(AND(H130&lt;&gt;"",H130&lt;TEXT(TODAY(),"yyyy-mm-dd"),G130&gt;=$P$2,K130="",OR(N(J130)&gt;0,N(M129)&gt;0)),"Falta cerrar el Saldo L2 de este dia. ","")&amp;IF(AND(H130&lt;&gt;"",SUMPRODUCT((Registros!$C$2:$C$3000=H130)*ISTEXT(Registros!$AP$2:$AP$3000))&gt;0),"Hay P/L guardado como texto en Registros (no suma). ","")))</f>
        <v/>
      </c>
    </row>
    <row r="131" customFormat="false" ht="15" hidden="false" customHeight="true" outlineLevel="0" collapsed="false">
      <c r="A131" s="13" t="n">
        <f aca="false">IF(D130="","",IF(G130&gt;=$P$2,MIN(D130,C130),D130))</f>
        <v>8</v>
      </c>
      <c r="B131" s="13" t="n">
        <f aca="false">IF(A131="","",A131/8)</f>
        <v>1</v>
      </c>
      <c r="C131" s="13" t="n">
        <f aca="false">IF(OR(A131="",B131=""),"",A131+B131)</f>
        <v>9</v>
      </c>
      <c r="D131" s="13" t="n">
        <f aca="false">IF(A131="","",A131+SUMIFS(Registros!$AP:$AP,Registros!$C:$C,H131))</f>
        <v>8</v>
      </c>
      <c r="E131" s="13" t="n">
        <f aca="false">IF(A131="","",ROUND(A131-8*B131,2))</f>
        <v>0</v>
      </c>
      <c r="F131" s="13" t="n">
        <f aca="false">IF(OR(D131="",C131=""),"",D131-C131)</f>
        <v>-1</v>
      </c>
      <c r="G131" s="20" t="n">
        <f aca="false">IF(G130="","",G130+1)</f>
        <v>130</v>
      </c>
      <c r="H131" s="15"/>
      <c r="I131" s="14"/>
      <c r="J131" s="16" t="str">
        <f aca="false">IF(OR(H131="",D131="",C131="",G131&lt;$P$2),"",MAX(0,ROUND(D131-C131,2)))</f>
        <v/>
      </c>
      <c r="K131" s="17"/>
      <c r="L131" s="16" t="str">
        <f aca="false">IF(NOT(ISNUMBER(K131)),"",ROUND(K131-N(M130)-N(J131),2))</f>
        <v/>
      </c>
      <c r="M131" s="16" t="n">
        <f aca="false">IF(ISNUMBER(K131),K131,N(M130))</f>
        <v>0</v>
      </c>
      <c r="N131" s="0" t="str">
        <f aca="true">IF(AND(H131="",K131=""),"",TRIM(IF(AND(H131&lt;&gt;"",NOT(AND(LEN(H131)=10,MID(H131,5,1)="-",MID(H131,8,1)="-"))),"Fecha con formato invalido (usa AAAA-MM-DD). ","")&amp;IF(AND(H131&lt;&gt;"",COUNTIF($H$2:$H$367,H131)&gt;1),"Fecha repetida en otro dia. ","")&amp;IF(AND(H131&lt;&gt;"",H130&lt;&gt;"",H131&lt;=H130),"La fecha no es posterior a la del dia anterior. ","")&amp;IF(AND(H131&lt;&gt;"",ISNUMBER(A131),ISNUMBER(D130),ISNUMBER(C130),ABS(A131-IF(G130&gt;=$P$2,MIN(D130,C130),D130))&gt;0.005),"Bank roll inicial no sigue la regla del dia anterior (alguien sobrescribio la formula). ","")&amp;IF(AND(H131&lt;&gt;"",ISNUMBER(B131),ISNUMBER(A131),ABS(B131-A131/8)&gt;0.00001),"Stake distinto de Bank roll/8. ","")&amp;IF(AND(H131&lt;&gt;"",ISNUMBER(E131),ABS(E131)&gt;0.005),"Residuo distinto de 0. ","")&amp;IF(AND(K131&lt;&gt;"",OR(NOT(ISNUMBER(K131)),N(K131)&lt;0)),"Saldo L2 no numerico o negativo. ","")&amp;IF(AND(H131&lt;&gt;"",H131&lt;TEXT(TODAY(),"yyyy-mm-dd"),G131&gt;=$P$2,K131="",OR(N(J131)&gt;0,N(M130)&gt;0)),"Falta cerrar el Saldo L2 de este dia. ","")&amp;IF(AND(H131&lt;&gt;"",SUMPRODUCT((Registros!$C$2:$C$3000=H131)*ISTEXT(Registros!$AP$2:$AP$3000))&gt;0),"Hay P/L guardado como texto en Registros (no suma). ","")))</f>
        <v/>
      </c>
    </row>
    <row r="132" customFormat="false" ht="15" hidden="false" customHeight="true" outlineLevel="0" collapsed="false">
      <c r="A132" s="13" t="n">
        <f aca="false">IF(D131="","",IF(G131&gt;=$P$2,MIN(D131,C131),D131))</f>
        <v>8</v>
      </c>
      <c r="B132" s="13" t="n">
        <f aca="false">IF(A132="","",A132/8)</f>
        <v>1</v>
      </c>
      <c r="C132" s="13" t="n">
        <f aca="false">IF(OR(A132="",B132=""),"",A132+B132)</f>
        <v>9</v>
      </c>
      <c r="D132" s="13" t="n">
        <f aca="false">IF(A132="","",A132+SUMIFS(Registros!$AP:$AP,Registros!$C:$C,H132))</f>
        <v>8</v>
      </c>
      <c r="E132" s="13" t="n">
        <f aca="false">IF(A132="","",ROUND(A132-8*B132,2))</f>
        <v>0</v>
      </c>
      <c r="F132" s="13" t="n">
        <f aca="false">IF(OR(D132="",C132=""),"",D132-C132)</f>
        <v>-1</v>
      </c>
      <c r="G132" s="20" t="n">
        <f aca="false">IF(G131="","",G131+1)</f>
        <v>131</v>
      </c>
      <c r="H132" s="15"/>
      <c r="I132" s="14"/>
      <c r="J132" s="16" t="str">
        <f aca="false">IF(OR(H132="",D132="",C132="",G132&lt;$P$2),"",MAX(0,ROUND(D132-C132,2)))</f>
        <v/>
      </c>
      <c r="K132" s="17"/>
      <c r="L132" s="16" t="str">
        <f aca="false">IF(NOT(ISNUMBER(K132)),"",ROUND(K132-N(M131)-N(J132),2))</f>
        <v/>
      </c>
      <c r="M132" s="16" t="n">
        <f aca="false">IF(ISNUMBER(K132),K132,N(M131))</f>
        <v>0</v>
      </c>
      <c r="N132" s="0" t="str">
        <f aca="true">IF(AND(H132="",K132=""),"",TRIM(IF(AND(H132&lt;&gt;"",NOT(AND(LEN(H132)=10,MID(H132,5,1)="-",MID(H132,8,1)="-"))),"Fecha con formato invalido (usa AAAA-MM-DD). ","")&amp;IF(AND(H132&lt;&gt;"",COUNTIF($H$2:$H$367,H132)&gt;1),"Fecha repetida en otro dia. ","")&amp;IF(AND(H132&lt;&gt;"",H131&lt;&gt;"",H132&lt;=H131),"La fecha no es posterior a la del dia anterior. ","")&amp;IF(AND(H132&lt;&gt;"",ISNUMBER(A132),ISNUMBER(D131),ISNUMBER(C131),ABS(A132-IF(G131&gt;=$P$2,MIN(D131,C131),D131))&gt;0.005),"Bank roll inicial no sigue la regla del dia anterior (alguien sobrescribio la formula). ","")&amp;IF(AND(H132&lt;&gt;"",ISNUMBER(B132),ISNUMBER(A132),ABS(B132-A132/8)&gt;0.00001),"Stake distinto de Bank roll/8. ","")&amp;IF(AND(H132&lt;&gt;"",ISNUMBER(E132),ABS(E132)&gt;0.005),"Residuo distinto de 0. ","")&amp;IF(AND(K132&lt;&gt;"",OR(NOT(ISNUMBER(K132)),N(K132)&lt;0)),"Saldo L2 no numerico o negativo. ","")&amp;IF(AND(H132&lt;&gt;"",H132&lt;TEXT(TODAY(),"yyyy-mm-dd"),G132&gt;=$P$2,K132="",OR(N(J132)&gt;0,N(M131)&gt;0)),"Falta cerrar el Saldo L2 de este dia. ","")&amp;IF(AND(H132&lt;&gt;"",SUMPRODUCT((Registros!$C$2:$C$3000=H132)*ISTEXT(Registros!$AP$2:$AP$3000))&gt;0),"Hay P/L guardado como texto en Registros (no suma). ","")))</f>
        <v/>
      </c>
    </row>
    <row r="133" customFormat="false" ht="15" hidden="false" customHeight="true" outlineLevel="0" collapsed="false">
      <c r="A133" s="13" t="n">
        <f aca="false">IF(D132="","",IF(G132&gt;=$P$2,MIN(D132,C132),D132))</f>
        <v>8</v>
      </c>
      <c r="B133" s="13" t="n">
        <f aca="false">IF(A133="","",A133/8)</f>
        <v>1</v>
      </c>
      <c r="C133" s="13" t="n">
        <f aca="false">IF(OR(A133="",B133=""),"",A133+B133)</f>
        <v>9</v>
      </c>
      <c r="D133" s="13" t="n">
        <f aca="false">IF(A133="","",A133+SUMIFS(Registros!$AP:$AP,Registros!$C:$C,H133))</f>
        <v>8</v>
      </c>
      <c r="E133" s="13" t="n">
        <f aca="false">IF(A133="","",ROUND(A133-8*B133,2))</f>
        <v>0</v>
      </c>
      <c r="F133" s="13" t="n">
        <f aca="false">IF(OR(D133="",C133=""),"",D133-C133)</f>
        <v>-1</v>
      </c>
      <c r="G133" s="20" t="n">
        <f aca="false">IF(G132="","",G132+1)</f>
        <v>132</v>
      </c>
      <c r="H133" s="15"/>
      <c r="I133" s="14"/>
      <c r="J133" s="16" t="str">
        <f aca="false">IF(OR(H133="",D133="",C133="",G133&lt;$P$2),"",MAX(0,ROUND(D133-C133,2)))</f>
        <v/>
      </c>
      <c r="K133" s="17"/>
      <c r="L133" s="16" t="str">
        <f aca="false">IF(NOT(ISNUMBER(K133)),"",ROUND(K133-N(M132)-N(J133),2))</f>
        <v/>
      </c>
      <c r="M133" s="16" t="n">
        <f aca="false">IF(ISNUMBER(K133),K133,N(M132))</f>
        <v>0</v>
      </c>
      <c r="N133" s="0" t="str">
        <f aca="true">IF(AND(H133="",K133=""),"",TRIM(IF(AND(H133&lt;&gt;"",NOT(AND(LEN(H133)=10,MID(H133,5,1)="-",MID(H133,8,1)="-"))),"Fecha con formato invalido (usa AAAA-MM-DD). ","")&amp;IF(AND(H133&lt;&gt;"",COUNTIF($H$2:$H$367,H133)&gt;1),"Fecha repetida en otro dia. ","")&amp;IF(AND(H133&lt;&gt;"",H132&lt;&gt;"",H133&lt;=H132),"La fecha no es posterior a la del dia anterior. ","")&amp;IF(AND(H133&lt;&gt;"",ISNUMBER(A133),ISNUMBER(D132),ISNUMBER(C132),ABS(A133-IF(G132&gt;=$P$2,MIN(D132,C132),D132))&gt;0.005),"Bank roll inicial no sigue la regla del dia anterior (alguien sobrescribio la formula). ","")&amp;IF(AND(H133&lt;&gt;"",ISNUMBER(B133),ISNUMBER(A133),ABS(B133-A133/8)&gt;0.00001),"Stake distinto de Bank roll/8. ","")&amp;IF(AND(H133&lt;&gt;"",ISNUMBER(E133),ABS(E133)&gt;0.005),"Residuo distinto de 0. ","")&amp;IF(AND(K133&lt;&gt;"",OR(NOT(ISNUMBER(K133)),N(K133)&lt;0)),"Saldo L2 no numerico o negativo. ","")&amp;IF(AND(H133&lt;&gt;"",H133&lt;TEXT(TODAY(),"yyyy-mm-dd"),G133&gt;=$P$2,K133="",OR(N(J133)&gt;0,N(M132)&gt;0)),"Falta cerrar el Saldo L2 de este dia. ","")&amp;IF(AND(H133&lt;&gt;"",SUMPRODUCT((Registros!$C$2:$C$3000=H133)*ISTEXT(Registros!$AP$2:$AP$3000))&gt;0),"Hay P/L guardado como texto en Registros (no suma). ","")))</f>
        <v/>
      </c>
    </row>
    <row r="134" customFormat="false" ht="15" hidden="false" customHeight="true" outlineLevel="0" collapsed="false">
      <c r="A134" s="13" t="n">
        <f aca="false">IF(D133="","",IF(G133&gt;=$P$2,MIN(D133,C133),D133))</f>
        <v>8</v>
      </c>
      <c r="B134" s="13" t="n">
        <f aca="false">IF(A134="","",A134/8)</f>
        <v>1</v>
      </c>
      <c r="C134" s="13" t="n">
        <f aca="false">IF(OR(A134="",B134=""),"",A134+B134)</f>
        <v>9</v>
      </c>
      <c r="D134" s="13" t="n">
        <f aca="false">IF(A134="","",A134+SUMIFS(Registros!$AP:$AP,Registros!$C:$C,H134))</f>
        <v>8</v>
      </c>
      <c r="E134" s="13" t="n">
        <f aca="false">IF(A134="","",ROUND(A134-8*B134,2))</f>
        <v>0</v>
      </c>
      <c r="F134" s="13" t="n">
        <f aca="false">IF(OR(D134="",C134=""),"",D134-C134)</f>
        <v>-1</v>
      </c>
      <c r="G134" s="20" t="n">
        <f aca="false">IF(G133="","",G133+1)</f>
        <v>133</v>
      </c>
      <c r="H134" s="15"/>
      <c r="I134" s="14"/>
      <c r="J134" s="16" t="str">
        <f aca="false">IF(OR(H134="",D134="",C134="",G134&lt;$P$2),"",MAX(0,ROUND(D134-C134,2)))</f>
        <v/>
      </c>
      <c r="K134" s="17"/>
      <c r="L134" s="16" t="str">
        <f aca="false">IF(NOT(ISNUMBER(K134)),"",ROUND(K134-N(M133)-N(J134),2))</f>
        <v/>
      </c>
      <c r="M134" s="16" t="n">
        <f aca="false">IF(ISNUMBER(K134),K134,N(M133))</f>
        <v>0</v>
      </c>
      <c r="N134" s="0" t="str">
        <f aca="true">IF(AND(H134="",K134=""),"",TRIM(IF(AND(H134&lt;&gt;"",NOT(AND(LEN(H134)=10,MID(H134,5,1)="-",MID(H134,8,1)="-"))),"Fecha con formato invalido (usa AAAA-MM-DD). ","")&amp;IF(AND(H134&lt;&gt;"",COUNTIF($H$2:$H$367,H134)&gt;1),"Fecha repetida en otro dia. ","")&amp;IF(AND(H134&lt;&gt;"",H133&lt;&gt;"",H134&lt;=H133),"La fecha no es posterior a la del dia anterior. ","")&amp;IF(AND(H134&lt;&gt;"",ISNUMBER(A134),ISNUMBER(D133),ISNUMBER(C133),ABS(A134-IF(G133&gt;=$P$2,MIN(D133,C133),D133))&gt;0.005),"Bank roll inicial no sigue la regla del dia anterior (alguien sobrescribio la formula). ","")&amp;IF(AND(H134&lt;&gt;"",ISNUMBER(B134),ISNUMBER(A134),ABS(B134-A134/8)&gt;0.00001),"Stake distinto de Bank roll/8. ","")&amp;IF(AND(H134&lt;&gt;"",ISNUMBER(E134),ABS(E134)&gt;0.005),"Residuo distinto de 0. ","")&amp;IF(AND(K134&lt;&gt;"",OR(NOT(ISNUMBER(K134)),N(K134)&lt;0)),"Saldo L2 no numerico o negativo. ","")&amp;IF(AND(H134&lt;&gt;"",H134&lt;TEXT(TODAY(),"yyyy-mm-dd"),G134&gt;=$P$2,K134="",OR(N(J134)&gt;0,N(M133)&gt;0)),"Falta cerrar el Saldo L2 de este dia. ","")&amp;IF(AND(H134&lt;&gt;"",SUMPRODUCT((Registros!$C$2:$C$3000=H134)*ISTEXT(Registros!$AP$2:$AP$3000))&gt;0),"Hay P/L guardado como texto en Registros (no suma). ","")))</f>
        <v/>
      </c>
    </row>
    <row r="135" customFormat="false" ht="15" hidden="false" customHeight="true" outlineLevel="0" collapsed="false">
      <c r="A135" s="13" t="n">
        <f aca="false">IF(D134="","",IF(G134&gt;=$P$2,MIN(D134,C134),D134))</f>
        <v>8</v>
      </c>
      <c r="B135" s="13" t="n">
        <f aca="false">IF(A135="","",A135/8)</f>
        <v>1</v>
      </c>
      <c r="C135" s="13" t="n">
        <f aca="false">IF(OR(A135="",B135=""),"",A135+B135)</f>
        <v>9</v>
      </c>
      <c r="D135" s="13" t="n">
        <f aca="false">IF(A135="","",A135+SUMIFS(Registros!$AP:$AP,Registros!$C:$C,H135))</f>
        <v>8</v>
      </c>
      <c r="E135" s="13" t="n">
        <f aca="false">IF(A135="","",ROUND(A135-8*B135,2))</f>
        <v>0</v>
      </c>
      <c r="F135" s="13" t="n">
        <f aca="false">IF(OR(D135="",C135=""),"",D135-C135)</f>
        <v>-1</v>
      </c>
      <c r="G135" s="20" t="n">
        <f aca="false">IF(G134="","",G134+1)</f>
        <v>134</v>
      </c>
      <c r="H135" s="15"/>
      <c r="I135" s="14"/>
      <c r="J135" s="16" t="str">
        <f aca="false">IF(OR(H135="",D135="",C135="",G135&lt;$P$2),"",MAX(0,ROUND(D135-C135,2)))</f>
        <v/>
      </c>
      <c r="K135" s="17"/>
      <c r="L135" s="16" t="str">
        <f aca="false">IF(NOT(ISNUMBER(K135)),"",ROUND(K135-N(M134)-N(J135),2))</f>
        <v/>
      </c>
      <c r="M135" s="16" t="n">
        <f aca="false">IF(ISNUMBER(K135),K135,N(M134))</f>
        <v>0</v>
      </c>
      <c r="N135" s="0" t="str">
        <f aca="true">IF(AND(H135="",K135=""),"",TRIM(IF(AND(H135&lt;&gt;"",NOT(AND(LEN(H135)=10,MID(H135,5,1)="-",MID(H135,8,1)="-"))),"Fecha con formato invalido (usa AAAA-MM-DD). ","")&amp;IF(AND(H135&lt;&gt;"",COUNTIF($H$2:$H$367,H135)&gt;1),"Fecha repetida en otro dia. ","")&amp;IF(AND(H135&lt;&gt;"",H134&lt;&gt;"",H135&lt;=H134),"La fecha no es posterior a la del dia anterior. ","")&amp;IF(AND(H135&lt;&gt;"",ISNUMBER(A135),ISNUMBER(D134),ISNUMBER(C134),ABS(A135-IF(G134&gt;=$P$2,MIN(D134,C134),D134))&gt;0.005),"Bank roll inicial no sigue la regla del dia anterior (alguien sobrescribio la formula). ","")&amp;IF(AND(H135&lt;&gt;"",ISNUMBER(B135),ISNUMBER(A135),ABS(B135-A135/8)&gt;0.00001),"Stake distinto de Bank roll/8. ","")&amp;IF(AND(H135&lt;&gt;"",ISNUMBER(E135),ABS(E135)&gt;0.005),"Residuo distinto de 0. ","")&amp;IF(AND(K135&lt;&gt;"",OR(NOT(ISNUMBER(K135)),N(K135)&lt;0)),"Saldo L2 no numerico o negativo. ","")&amp;IF(AND(H135&lt;&gt;"",H135&lt;TEXT(TODAY(),"yyyy-mm-dd"),G135&gt;=$P$2,K135="",OR(N(J135)&gt;0,N(M134)&gt;0)),"Falta cerrar el Saldo L2 de este dia. ","")&amp;IF(AND(H135&lt;&gt;"",SUMPRODUCT((Registros!$C$2:$C$3000=H135)*ISTEXT(Registros!$AP$2:$AP$3000))&gt;0),"Hay P/L guardado como texto en Registros (no suma). ","")))</f>
        <v/>
      </c>
    </row>
    <row r="136" customFormat="false" ht="15" hidden="false" customHeight="true" outlineLevel="0" collapsed="false">
      <c r="A136" s="13" t="n">
        <f aca="false">IF(D135="","",IF(G135&gt;=$P$2,MIN(D135,C135),D135))</f>
        <v>8</v>
      </c>
      <c r="B136" s="13" t="n">
        <f aca="false">IF(A136="","",A136/8)</f>
        <v>1</v>
      </c>
      <c r="C136" s="13" t="n">
        <f aca="false">IF(OR(A136="",B136=""),"",A136+B136)</f>
        <v>9</v>
      </c>
      <c r="D136" s="13" t="n">
        <f aca="false">IF(A136="","",A136+SUMIFS(Registros!$AP:$AP,Registros!$C:$C,H136))</f>
        <v>8</v>
      </c>
      <c r="E136" s="13" t="n">
        <f aca="false">IF(A136="","",ROUND(A136-8*B136,2))</f>
        <v>0</v>
      </c>
      <c r="F136" s="13" t="n">
        <f aca="false">IF(OR(D136="",C136=""),"",D136-C136)</f>
        <v>-1</v>
      </c>
      <c r="G136" s="20" t="n">
        <f aca="false">IF(G135="","",G135+1)</f>
        <v>135</v>
      </c>
      <c r="H136" s="15"/>
      <c r="I136" s="14"/>
      <c r="J136" s="16" t="str">
        <f aca="false">IF(OR(H136="",D136="",C136="",G136&lt;$P$2),"",MAX(0,ROUND(D136-C136,2)))</f>
        <v/>
      </c>
      <c r="K136" s="17"/>
      <c r="L136" s="16" t="str">
        <f aca="false">IF(NOT(ISNUMBER(K136)),"",ROUND(K136-N(M135)-N(J136),2))</f>
        <v/>
      </c>
      <c r="M136" s="16" t="n">
        <f aca="false">IF(ISNUMBER(K136),K136,N(M135))</f>
        <v>0</v>
      </c>
      <c r="N136" s="0" t="str">
        <f aca="true">IF(AND(H136="",K136=""),"",TRIM(IF(AND(H136&lt;&gt;"",NOT(AND(LEN(H136)=10,MID(H136,5,1)="-",MID(H136,8,1)="-"))),"Fecha con formato invalido (usa AAAA-MM-DD). ","")&amp;IF(AND(H136&lt;&gt;"",COUNTIF($H$2:$H$367,H136)&gt;1),"Fecha repetida en otro dia. ","")&amp;IF(AND(H136&lt;&gt;"",H135&lt;&gt;"",H136&lt;=H135),"La fecha no es posterior a la del dia anterior. ","")&amp;IF(AND(H136&lt;&gt;"",ISNUMBER(A136),ISNUMBER(D135),ISNUMBER(C135),ABS(A136-IF(G135&gt;=$P$2,MIN(D135,C135),D135))&gt;0.005),"Bank roll inicial no sigue la regla del dia anterior (alguien sobrescribio la formula). ","")&amp;IF(AND(H136&lt;&gt;"",ISNUMBER(B136),ISNUMBER(A136),ABS(B136-A136/8)&gt;0.00001),"Stake distinto de Bank roll/8. ","")&amp;IF(AND(H136&lt;&gt;"",ISNUMBER(E136),ABS(E136)&gt;0.005),"Residuo distinto de 0. ","")&amp;IF(AND(K136&lt;&gt;"",OR(NOT(ISNUMBER(K136)),N(K136)&lt;0)),"Saldo L2 no numerico o negativo. ","")&amp;IF(AND(H136&lt;&gt;"",H136&lt;TEXT(TODAY(),"yyyy-mm-dd"),G136&gt;=$P$2,K136="",OR(N(J136)&gt;0,N(M135)&gt;0)),"Falta cerrar el Saldo L2 de este dia. ","")&amp;IF(AND(H136&lt;&gt;"",SUMPRODUCT((Registros!$C$2:$C$3000=H136)*ISTEXT(Registros!$AP$2:$AP$3000))&gt;0),"Hay P/L guardado como texto en Registros (no suma). ","")))</f>
        <v/>
      </c>
    </row>
    <row r="137" customFormat="false" ht="15" hidden="false" customHeight="true" outlineLevel="0" collapsed="false">
      <c r="A137" s="13" t="n">
        <f aca="false">IF(D136="","",IF(G136&gt;=$P$2,MIN(D136,C136),D136))</f>
        <v>8</v>
      </c>
      <c r="B137" s="13" t="n">
        <f aca="false">IF(A137="","",A137/8)</f>
        <v>1</v>
      </c>
      <c r="C137" s="13" t="n">
        <f aca="false">IF(OR(A137="",B137=""),"",A137+B137)</f>
        <v>9</v>
      </c>
      <c r="D137" s="13" t="n">
        <f aca="false">IF(A137="","",A137+SUMIFS(Registros!$AP:$AP,Registros!$C:$C,H137))</f>
        <v>8</v>
      </c>
      <c r="E137" s="13" t="n">
        <f aca="false">IF(A137="","",ROUND(A137-8*B137,2))</f>
        <v>0</v>
      </c>
      <c r="F137" s="13" t="n">
        <f aca="false">IF(OR(D137="",C137=""),"",D137-C137)</f>
        <v>-1</v>
      </c>
      <c r="G137" s="20" t="n">
        <f aca="false">IF(G136="","",G136+1)</f>
        <v>136</v>
      </c>
      <c r="H137" s="15"/>
      <c r="I137" s="14"/>
      <c r="J137" s="16" t="str">
        <f aca="false">IF(OR(H137="",D137="",C137="",G137&lt;$P$2),"",MAX(0,ROUND(D137-C137,2)))</f>
        <v/>
      </c>
      <c r="K137" s="17"/>
      <c r="L137" s="16" t="str">
        <f aca="false">IF(NOT(ISNUMBER(K137)),"",ROUND(K137-N(M136)-N(J137),2))</f>
        <v/>
      </c>
      <c r="M137" s="16" t="n">
        <f aca="false">IF(ISNUMBER(K137),K137,N(M136))</f>
        <v>0</v>
      </c>
      <c r="N137" s="0" t="str">
        <f aca="true">IF(AND(H137="",K137=""),"",TRIM(IF(AND(H137&lt;&gt;"",NOT(AND(LEN(H137)=10,MID(H137,5,1)="-",MID(H137,8,1)="-"))),"Fecha con formato invalido (usa AAAA-MM-DD). ","")&amp;IF(AND(H137&lt;&gt;"",COUNTIF($H$2:$H$367,H137)&gt;1),"Fecha repetida en otro dia. ","")&amp;IF(AND(H137&lt;&gt;"",H136&lt;&gt;"",H137&lt;=H136),"La fecha no es posterior a la del dia anterior. ","")&amp;IF(AND(H137&lt;&gt;"",ISNUMBER(A137),ISNUMBER(D136),ISNUMBER(C136),ABS(A137-IF(G136&gt;=$P$2,MIN(D136,C136),D136))&gt;0.005),"Bank roll inicial no sigue la regla del dia anterior (alguien sobrescribio la formula). ","")&amp;IF(AND(H137&lt;&gt;"",ISNUMBER(B137),ISNUMBER(A137),ABS(B137-A137/8)&gt;0.00001),"Stake distinto de Bank roll/8. ","")&amp;IF(AND(H137&lt;&gt;"",ISNUMBER(E137),ABS(E137)&gt;0.005),"Residuo distinto de 0. ","")&amp;IF(AND(K137&lt;&gt;"",OR(NOT(ISNUMBER(K137)),N(K137)&lt;0)),"Saldo L2 no numerico o negativo. ","")&amp;IF(AND(H137&lt;&gt;"",H137&lt;TEXT(TODAY(),"yyyy-mm-dd"),G137&gt;=$P$2,K137="",OR(N(J137)&gt;0,N(M136)&gt;0)),"Falta cerrar el Saldo L2 de este dia. ","")&amp;IF(AND(H137&lt;&gt;"",SUMPRODUCT((Registros!$C$2:$C$3000=H137)*ISTEXT(Registros!$AP$2:$AP$3000))&gt;0),"Hay P/L guardado como texto en Registros (no suma). ","")))</f>
        <v/>
      </c>
    </row>
    <row r="138" customFormat="false" ht="15" hidden="false" customHeight="true" outlineLevel="0" collapsed="false">
      <c r="A138" s="13" t="n">
        <f aca="false">IF(D137="","",IF(G137&gt;=$P$2,MIN(D137,C137),D137))</f>
        <v>8</v>
      </c>
      <c r="B138" s="13" t="n">
        <f aca="false">IF(A138="","",A138/8)</f>
        <v>1</v>
      </c>
      <c r="C138" s="13" t="n">
        <f aca="false">IF(OR(A138="",B138=""),"",A138+B138)</f>
        <v>9</v>
      </c>
      <c r="D138" s="13" t="n">
        <f aca="false">IF(A138="","",A138+SUMIFS(Registros!$AP:$AP,Registros!$C:$C,H138))</f>
        <v>8</v>
      </c>
      <c r="E138" s="13" t="n">
        <f aca="false">IF(A138="","",ROUND(A138-8*B138,2))</f>
        <v>0</v>
      </c>
      <c r="F138" s="13" t="n">
        <f aca="false">IF(OR(D138="",C138=""),"",D138-C138)</f>
        <v>-1</v>
      </c>
      <c r="G138" s="20" t="n">
        <f aca="false">IF(G137="","",G137+1)</f>
        <v>137</v>
      </c>
      <c r="H138" s="15"/>
      <c r="I138" s="14"/>
      <c r="J138" s="16" t="str">
        <f aca="false">IF(OR(H138="",D138="",C138="",G138&lt;$P$2),"",MAX(0,ROUND(D138-C138,2)))</f>
        <v/>
      </c>
      <c r="K138" s="17"/>
      <c r="L138" s="16" t="str">
        <f aca="false">IF(NOT(ISNUMBER(K138)),"",ROUND(K138-N(M137)-N(J138),2))</f>
        <v/>
      </c>
      <c r="M138" s="16" t="n">
        <f aca="false">IF(ISNUMBER(K138),K138,N(M137))</f>
        <v>0</v>
      </c>
      <c r="N138" s="0" t="str">
        <f aca="true">IF(AND(H138="",K138=""),"",TRIM(IF(AND(H138&lt;&gt;"",NOT(AND(LEN(H138)=10,MID(H138,5,1)="-",MID(H138,8,1)="-"))),"Fecha con formato invalido (usa AAAA-MM-DD). ","")&amp;IF(AND(H138&lt;&gt;"",COUNTIF($H$2:$H$367,H138)&gt;1),"Fecha repetida en otro dia. ","")&amp;IF(AND(H138&lt;&gt;"",H137&lt;&gt;"",H138&lt;=H137),"La fecha no es posterior a la del dia anterior. ","")&amp;IF(AND(H138&lt;&gt;"",ISNUMBER(A138),ISNUMBER(D137),ISNUMBER(C137),ABS(A138-IF(G137&gt;=$P$2,MIN(D137,C137),D137))&gt;0.005),"Bank roll inicial no sigue la regla del dia anterior (alguien sobrescribio la formula). ","")&amp;IF(AND(H138&lt;&gt;"",ISNUMBER(B138),ISNUMBER(A138),ABS(B138-A138/8)&gt;0.00001),"Stake distinto de Bank roll/8. ","")&amp;IF(AND(H138&lt;&gt;"",ISNUMBER(E138),ABS(E138)&gt;0.005),"Residuo distinto de 0. ","")&amp;IF(AND(K138&lt;&gt;"",OR(NOT(ISNUMBER(K138)),N(K138)&lt;0)),"Saldo L2 no numerico o negativo. ","")&amp;IF(AND(H138&lt;&gt;"",H138&lt;TEXT(TODAY(),"yyyy-mm-dd"),G138&gt;=$P$2,K138="",OR(N(J138)&gt;0,N(M137)&gt;0)),"Falta cerrar el Saldo L2 de este dia. ","")&amp;IF(AND(H138&lt;&gt;"",SUMPRODUCT((Registros!$C$2:$C$3000=H138)*ISTEXT(Registros!$AP$2:$AP$3000))&gt;0),"Hay P/L guardado como texto en Registros (no suma). ","")))</f>
        <v/>
      </c>
    </row>
    <row r="139" customFormat="false" ht="15" hidden="false" customHeight="true" outlineLevel="0" collapsed="false">
      <c r="A139" s="13" t="n">
        <f aca="false">IF(D138="","",IF(G138&gt;=$P$2,MIN(D138,C138),D138))</f>
        <v>8</v>
      </c>
      <c r="B139" s="13" t="n">
        <f aca="false">IF(A139="","",A139/8)</f>
        <v>1</v>
      </c>
      <c r="C139" s="13" t="n">
        <f aca="false">IF(OR(A139="",B139=""),"",A139+B139)</f>
        <v>9</v>
      </c>
      <c r="D139" s="13" t="n">
        <f aca="false">IF(A139="","",A139+SUMIFS(Registros!$AP:$AP,Registros!$C:$C,H139))</f>
        <v>8</v>
      </c>
      <c r="E139" s="13" t="n">
        <f aca="false">IF(A139="","",ROUND(A139-8*B139,2))</f>
        <v>0</v>
      </c>
      <c r="F139" s="13" t="n">
        <f aca="false">IF(OR(D139="",C139=""),"",D139-C139)</f>
        <v>-1</v>
      </c>
      <c r="G139" s="20" t="n">
        <f aca="false">IF(G138="","",G138+1)</f>
        <v>138</v>
      </c>
      <c r="H139" s="15"/>
      <c r="I139" s="14"/>
      <c r="J139" s="16" t="str">
        <f aca="false">IF(OR(H139="",D139="",C139="",G139&lt;$P$2),"",MAX(0,ROUND(D139-C139,2)))</f>
        <v/>
      </c>
      <c r="K139" s="17"/>
      <c r="L139" s="16" t="str">
        <f aca="false">IF(NOT(ISNUMBER(K139)),"",ROUND(K139-N(M138)-N(J139),2))</f>
        <v/>
      </c>
      <c r="M139" s="16" t="n">
        <f aca="false">IF(ISNUMBER(K139),K139,N(M138))</f>
        <v>0</v>
      </c>
      <c r="N139" s="0" t="str">
        <f aca="true">IF(AND(H139="",K139=""),"",TRIM(IF(AND(H139&lt;&gt;"",NOT(AND(LEN(H139)=10,MID(H139,5,1)="-",MID(H139,8,1)="-"))),"Fecha con formato invalido (usa AAAA-MM-DD). ","")&amp;IF(AND(H139&lt;&gt;"",COUNTIF($H$2:$H$367,H139)&gt;1),"Fecha repetida en otro dia. ","")&amp;IF(AND(H139&lt;&gt;"",H138&lt;&gt;"",H139&lt;=H138),"La fecha no es posterior a la del dia anterior. ","")&amp;IF(AND(H139&lt;&gt;"",ISNUMBER(A139),ISNUMBER(D138),ISNUMBER(C138),ABS(A139-IF(G138&gt;=$P$2,MIN(D138,C138),D138))&gt;0.005),"Bank roll inicial no sigue la regla del dia anterior (alguien sobrescribio la formula). ","")&amp;IF(AND(H139&lt;&gt;"",ISNUMBER(B139),ISNUMBER(A139),ABS(B139-A139/8)&gt;0.00001),"Stake distinto de Bank roll/8. ","")&amp;IF(AND(H139&lt;&gt;"",ISNUMBER(E139),ABS(E139)&gt;0.005),"Residuo distinto de 0. ","")&amp;IF(AND(K139&lt;&gt;"",OR(NOT(ISNUMBER(K139)),N(K139)&lt;0)),"Saldo L2 no numerico o negativo. ","")&amp;IF(AND(H139&lt;&gt;"",H139&lt;TEXT(TODAY(),"yyyy-mm-dd"),G139&gt;=$P$2,K139="",OR(N(J139)&gt;0,N(M138)&gt;0)),"Falta cerrar el Saldo L2 de este dia. ","")&amp;IF(AND(H139&lt;&gt;"",SUMPRODUCT((Registros!$C$2:$C$3000=H139)*ISTEXT(Registros!$AP$2:$AP$3000))&gt;0),"Hay P/L guardado como texto en Registros (no suma). ","")))</f>
        <v/>
      </c>
    </row>
    <row r="140" customFormat="false" ht="15" hidden="false" customHeight="true" outlineLevel="0" collapsed="false">
      <c r="A140" s="13" t="n">
        <f aca="false">IF(D139="","",IF(G139&gt;=$P$2,MIN(D139,C139),D139))</f>
        <v>8</v>
      </c>
      <c r="B140" s="13" t="n">
        <f aca="false">IF(A140="","",A140/8)</f>
        <v>1</v>
      </c>
      <c r="C140" s="13" t="n">
        <f aca="false">IF(OR(A140="",B140=""),"",A140+B140)</f>
        <v>9</v>
      </c>
      <c r="D140" s="13" t="n">
        <f aca="false">IF(A140="","",A140+SUMIFS(Registros!$AP:$AP,Registros!$C:$C,H140))</f>
        <v>8</v>
      </c>
      <c r="E140" s="13" t="n">
        <f aca="false">IF(A140="","",ROUND(A140-8*B140,2))</f>
        <v>0</v>
      </c>
      <c r="F140" s="13" t="n">
        <f aca="false">IF(OR(D140="",C140=""),"",D140-C140)</f>
        <v>-1</v>
      </c>
      <c r="G140" s="20" t="n">
        <f aca="false">IF(G139="","",G139+1)</f>
        <v>139</v>
      </c>
      <c r="H140" s="15"/>
      <c r="I140" s="14"/>
      <c r="J140" s="16" t="str">
        <f aca="false">IF(OR(H140="",D140="",C140="",G140&lt;$P$2),"",MAX(0,ROUND(D140-C140,2)))</f>
        <v/>
      </c>
      <c r="K140" s="17"/>
      <c r="L140" s="16" t="str">
        <f aca="false">IF(NOT(ISNUMBER(K140)),"",ROUND(K140-N(M139)-N(J140),2))</f>
        <v/>
      </c>
      <c r="M140" s="16" t="n">
        <f aca="false">IF(ISNUMBER(K140),K140,N(M139))</f>
        <v>0</v>
      </c>
      <c r="N140" s="0" t="str">
        <f aca="true">IF(AND(H140="",K140=""),"",TRIM(IF(AND(H140&lt;&gt;"",NOT(AND(LEN(H140)=10,MID(H140,5,1)="-",MID(H140,8,1)="-"))),"Fecha con formato invalido (usa AAAA-MM-DD). ","")&amp;IF(AND(H140&lt;&gt;"",COUNTIF($H$2:$H$367,H140)&gt;1),"Fecha repetida en otro dia. ","")&amp;IF(AND(H140&lt;&gt;"",H139&lt;&gt;"",H140&lt;=H139),"La fecha no es posterior a la del dia anterior. ","")&amp;IF(AND(H140&lt;&gt;"",ISNUMBER(A140),ISNUMBER(D139),ISNUMBER(C139),ABS(A140-IF(G139&gt;=$P$2,MIN(D139,C139),D139))&gt;0.005),"Bank roll inicial no sigue la regla del dia anterior (alguien sobrescribio la formula). ","")&amp;IF(AND(H140&lt;&gt;"",ISNUMBER(B140),ISNUMBER(A140),ABS(B140-A140/8)&gt;0.00001),"Stake distinto de Bank roll/8. ","")&amp;IF(AND(H140&lt;&gt;"",ISNUMBER(E140),ABS(E140)&gt;0.005),"Residuo distinto de 0. ","")&amp;IF(AND(K140&lt;&gt;"",OR(NOT(ISNUMBER(K140)),N(K140)&lt;0)),"Saldo L2 no numerico o negativo. ","")&amp;IF(AND(H140&lt;&gt;"",H140&lt;TEXT(TODAY(),"yyyy-mm-dd"),G140&gt;=$P$2,K140="",OR(N(J140)&gt;0,N(M139)&gt;0)),"Falta cerrar el Saldo L2 de este dia. ","")&amp;IF(AND(H140&lt;&gt;"",SUMPRODUCT((Registros!$C$2:$C$3000=H140)*ISTEXT(Registros!$AP$2:$AP$3000))&gt;0),"Hay P/L guardado como texto en Registros (no suma). ","")))</f>
        <v/>
      </c>
    </row>
    <row r="141" customFormat="false" ht="15" hidden="false" customHeight="true" outlineLevel="0" collapsed="false">
      <c r="A141" s="13" t="n">
        <f aca="false">IF(D140="","",IF(G140&gt;=$P$2,MIN(D140,C140),D140))</f>
        <v>8</v>
      </c>
      <c r="B141" s="13" t="n">
        <f aca="false">IF(A141="","",A141/8)</f>
        <v>1</v>
      </c>
      <c r="C141" s="13" t="n">
        <f aca="false">IF(OR(A141="",B141=""),"",A141+B141)</f>
        <v>9</v>
      </c>
      <c r="D141" s="13" t="n">
        <f aca="false">IF(A141="","",A141+SUMIFS(Registros!$AP:$AP,Registros!$C:$C,H141))</f>
        <v>8</v>
      </c>
      <c r="E141" s="13" t="n">
        <f aca="false">IF(A141="","",ROUND(A141-8*B141,2))</f>
        <v>0</v>
      </c>
      <c r="F141" s="13" t="n">
        <f aca="false">IF(OR(D141="",C141=""),"",D141-C141)</f>
        <v>-1</v>
      </c>
      <c r="G141" s="20" t="n">
        <f aca="false">IF(G140="","",G140+1)</f>
        <v>140</v>
      </c>
      <c r="H141" s="15"/>
      <c r="I141" s="14"/>
      <c r="J141" s="16" t="str">
        <f aca="false">IF(OR(H141="",D141="",C141="",G141&lt;$P$2),"",MAX(0,ROUND(D141-C141,2)))</f>
        <v/>
      </c>
      <c r="K141" s="17"/>
      <c r="L141" s="16" t="str">
        <f aca="false">IF(NOT(ISNUMBER(K141)),"",ROUND(K141-N(M140)-N(J141),2))</f>
        <v/>
      </c>
      <c r="M141" s="16" t="n">
        <f aca="false">IF(ISNUMBER(K141),K141,N(M140))</f>
        <v>0</v>
      </c>
      <c r="N141" s="0" t="str">
        <f aca="true">IF(AND(H141="",K141=""),"",TRIM(IF(AND(H141&lt;&gt;"",NOT(AND(LEN(H141)=10,MID(H141,5,1)="-",MID(H141,8,1)="-"))),"Fecha con formato invalido (usa AAAA-MM-DD). ","")&amp;IF(AND(H141&lt;&gt;"",COUNTIF($H$2:$H$367,H141)&gt;1),"Fecha repetida en otro dia. ","")&amp;IF(AND(H141&lt;&gt;"",H140&lt;&gt;"",H141&lt;=H140),"La fecha no es posterior a la del dia anterior. ","")&amp;IF(AND(H141&lt;&gt;"",ISNUMBER(A141),ISNUMBER(D140),ISNUMBER(C140),ABS(A141-IF(G140&gt;=$P$2,MIN(D140,C140),D140))&gt;0.005),"Bank roll inicial no sigue la regla del dia anterior (alguien sobrescribio la formula). ","")&amp;IF(AND(H141&lt;&gt;"",ISNUMBER(B141),ISNUMBER(A141),ABS(B141-A141/8)&gt;0.00001),"Stake distinto de Bank roll/8. ","")&amp;IF(AND(H141&lt;&gt;"",ISNUMBER(E141),ABS(E141)&gt;0.005),"Residuo distinto de 0. ","")&amp;IF(AND(K141&lt;&gt;"",OR(NOT(ISNUMBER(K141)),N(K141)&lt;0)),"Saldo L2 no numerico o negativo. ","")&amp;IF(AND(H141&lt;&gt;"",H141&lt;TEXT(TODAY(),"yyyy-mm-dd"),G141&gt;=$P$2,K141="",OR(N(J141)&gt;0,N(M140)&gt;0)),"Falta cerrar el Saldo L2 de este dia. ","")&amp;IF(AND(H141&lt;&gt;"",SUMPRODUCT((Registros!$C$2:$C$3000=H141)*ISTEXT(Registros!$AP$2:$AP$3000))&gt;0),"Hay P/L guardado como texto en Registros (no suma). ","")))</f>
        <v/>
      </c>
    </row>
    <row r="142" customFormat="false" ht="15" hidden="false" customHeight="true" outlineLevel="0" collapsed="false">
      <c r="A142" s="13" t="n">
        <f aca="false">IF(D141="","",IF(G141&gt;=$P$2,MIN(D141,C141),D141))</f>
        <v>8</v>
      </c>
      <c r="B142" s="13" t="n">
        <f aca="false">IF(A142="","",A142/8)</f>
        <v>1</v>
      </c>
      <c r="C142" s="13" t="n">
        <f aca="false">IF(OR(A142="",B142=""),"",A142+B142)</f>
        <v>9</v>
      </c>
      <c r="D142" s="13" t="n">
        <f aca="false">IF(A142="","",A142+SUMIFS(Registros!$AP:$AP,Registros!$C:$C,H142))</f>
        <v>8</v>
      </c>
      <c r="E142" s="13" t="n">
        <f aca="false">IF(A142="","",ROUND(A142-8*B142,2))</f>
        <v>0</v>
      </c>
      <c r="F142" s="13" t="n">
        <f aca="false">IF(OR(D142="",C142=""),"",D142-C142)</f>
        <v>-1</v>
      </c>
      <c r="G142" s="20" t="n">
        <f aca="false">IF(G141="","",G141+1)</f>
        <v>141</v>
      </c>
      <c r="H142" s="15"/>
      <c r="I142" s="14"/>
      <c r="J142" s="16" t="str">
        <f aca="false">IF(OR(H142="",D142="",C142="",G142&lt;$P$2),"",MAX(0,ROUND(D142-C142,2)))</f>
        <v/>
      </c>
      <c r="K142" s="17"/>
      <c r="L142" s="16" t="str">
        <f aca="false">IF(NOT(ISNUMBER(K142)),"",ROUND(K142-N(M141)-N(J142),2))</f>
        <v/>
      </c>
      <c r="M142" s="16" t="n">
        <f aca="false">IF(ISNUMBER(K142),K142,N(M141))</f>
        <v>0</v>
      </c>
      <c r="N142" s="0" t="str">
        <f aca="true">IF(AND(H142="",K142=""),"",TRIM(IF(AND(H142&lt;&gt;"",NOT(AND(LEN(H142)=10,MID(H142,5,1)="-",MID(H142,8,1)="-"))),"Fecha con formato invalido (usa AAAA-MM-DD). ","")&amp;IF(AND(H142&lt;&gt;"",COUNTIF($H$2:$H$367,H142)&gt;1),"Fecha repetida en otro dia. ","")&amp;IF(AND(H142&lt;&gt;"",H141&lt;&gt;"",H142&lt;=H141),"La fecha no es posterior a la del dia anterior. ","")&amp;IF(AND(H142&lt;&gt;"",ISNUMBER(A142),ISNUMBER(D141),ISNUMBER(C141),ABS(A142-IF(G141&gt;=$P$2,MIN(D141,C141),D141))&gt;0.005),"Bank roll inicial no sigue la regla del dia anterior (alguien sobrescribio la formula). ","")&amp;IF(AND(H142&lt;&gt;"",ISNUMBER(B142),ISNUMBER(A142),ABS(B142-A142/8)&gt;0.00001),"Stake distinto de Bank roll/8. ","")&amp;IF(AND(H142&lt;&gt;"",ISNUMBER(E142),ABS(E142)&gt;0.005),"Residuo distinto de 0. ","")&amp;IF(AND(K142&lt;&gt;"",OR(NOT(ISNUMBER(K142)),N(K142)&lt;0)),"Saldo L2 no numerico o negativo. ","")&amp;IF(AND(H142&lt;&gt;"",H142&lt;TEXT(TODAY(),"yyyy-mm-dd"),G142&gt;=$P$2,K142="",OR(N(J142)&gt;0,N(M141)&gt;0)),"Falta cerrar el Saldo L2 de este dia. ","")&amp;IF(AND(H142&lt;&gt;"",SUMPRODUCT((Registros!$C$2:$C$3000=H142)*ISTEXT(Registros!$AP$2:$AP$3000))&gt;0),"Hay P/L guardado como texto en Registros (no suma). ","")))</f>
        <v/>
      </c>
    </row>
    <row r="143" customFormat="false" ht="15" hidden="false" customHeight="true" outlineLevel="0" collapsed="false">
      <c r="A143" s="13" t="n">
        <f aca="false">IF(D142="","",IF(G142&gt;=$P$2,MIN(D142,C142),D142))</f>
        <v>8</v>
      </c>
      <c r="B143" s="13" t="n">
        <f aca="false">IF(A143="","",A143/8)</f>
        <v>1</v>
      </c>
      <c r="C143" s="13" t="n">
        <f aca="false">IF(OR(A143="",B143=""),"",A143+B143)</f>
        <v>9</v>
      </c>
      <c r="D143" s="13" t="n">
        <f aca="false">IF(A143="","",A143+SUMIFS(Registros!$AP:$AP,Registros!$C:$C,H143))</f>
        <v>8</v>
      </c>
      <c r="E143" s="13" t="n">
        <f aca="false">IF(A143="","",ROUND(A143-8*B143,2))</f>
        <v>0</v>
      </c>
      <c r="F143" s="13" t="n">
        <f aca="false">IF(OR(D143="",C143=""),"",D143-C143)</f>
        <v>-1</v>
      </c>
      <c r="G143" s="20" t="n">
        <f aca="false">IF(G142="","",G142+1)</f>
        <v>142</v>
      </c>
      <c r="H143" s="15"/>
      <c r="I143" s="14"/>
      <c r="J143" s="16" t="str">
        <f aca="false">IF(OR(H143="",D143="",C143="",G143&lt;$P$2),"",MAX(0,ROUND(D143-C143,2)))</f>
        <v/>
      </c>
      <c r="K143" s="17"/>
      <c r="L143" s="16" t="str">
        <f aca="false">IF(NOT(ISNUMBER(K143)),"",ROUND(K143-N(M142)-N(J143),2))</f>
        <v/>
      </c>
      <c r="M143" s="16" t="n">
        <f aca="false">IF(ISNUMBER(K143),K143,N(M142))</f>
        <v>0</v>
      </c>
      <c r="N143" s="0" t="str">
        <f aca="true">IF(AND(H143="",K143=""),"",TRIM(IF(AND(H143&lt;&gt;"",NOT(AND(LEN(H143)=10,MID(H143,5,1)="-",MID(H143,8,1)="-"))),"Fecha con formato invalido (usa AAAA-MM-DD). ","")&amp;IF(AND(H143&lt;&gt;"",COUNTIF($H$2:$H$367,H143)&gt;1),"Fecha repetida en otro dia. ","")&amp;IF(AND(H143&lt;&gt;"",H142&lt;&gt;"",H143&lt;=H142),"La fecha no es posterior a la del dia anterior. ","")&amp;IF(AND(H143&lt;&gt;"",ISNUMBER(A143),ISNUMBER(D142),ISNUMBER(C142),ABS(A143-IF(G142&gt;=$P$2,MIN(D142,C142),D142))&gt;0.005),"Bank roll inicial no sigue la regla del dia anterior (alguien sobrescribio la formula). ","")&amp;IF(AND(H143&lt;&gt;"",ISNUMBER(B143),ISNUMBER(A143),ABS(B143-A143/8)&gt;0.00001),"Stake distinto de Bank roll/8. ","")&amp;IF(AND(H143&lt;&gt;"",ISNUMBER(E143),ABS(E143)&gt;0.005),"Residuo distinto de 0. ","")&amp;IF(AND(K143&lt;&gt;"",OR(NOT(ISNUMBER(K143)),N(K143)&lt;0)),"Saldo L2 no numerico o negativo. ","")&amp;IF(AND(H143&lt;&gt;"",H143&lt;TEXT(TODAY(),"yyyy-mm-dd"),G143&gt;=$P$2,K143="",OR(N(J143)&gt;0,N(M142)&gt;0)),"Falta cerrar el Saldo L2 de este dia. ","")&amp;IF(AND(H143&lt;&gt;"",SUMPRODUCT((Registros!$C$2:$C$3000=H143)*ISTEXT(Registros!$AP$2:$AP$3000))&gt;0),"Hay P/L guardado como texto en Registros (no suma). ","")))</f>
        <v/>
      </c>
    </row>
    <row r="144" customFormat="false" ht="15" hidden="false" customHeight="true" outlineLevel="0" collapsed="false">
      <c r="A144" s="13" t="n">
        <f aca="false">IF(D143="","",IF(G143&gt;=$P$2,MIN(D143,C143),D143))</f>
        <v>8</v>
      </c>
      <c r="B144" s="13" t="n">
        <f aca="false">IF(A144="","",A144/8)</f>
        <v>1</v>
      </c>
      <c r="C144" s="13" t="n">
        <f aca="false">IF(OR(A144="",B144=""),"",A144+B144)</f>
        <v>9</v>
      </c>
      <c r="D144" s="13" t="n">
        <f aca="false">IF(A144="","",A144+SUMIFS(Registros!$AP:$AP,Registros!$C:$C,H144))</f>
        <v>8</v>
      </c>
      <c r="E144" s="13" t="n">
        <f aca="false">IF(A144="","",ROUND(A144-8*B144,2))</f>
        <v>0</v>
      </c>
      <c r="F144" s="13" t="n">
        <f aca="false">IF(OR(D144="",C144=""),"",D144-C144)</f>
        <v>-1</v>
      </c>
      <c r="G144" s="20" t="n">
        <f aca="false">IF(G143="","",G143+1)</f>
        <v>143</v>
      </c>
      <c r="H144" s="15"/>
      <c r="I144" s="14"/>
      <c r="J144" s="16" t="str">
        <f aca="false">IF(OR(H144="",D144="",C144="",G144&lt;$P$2),"",MAX(0,ROUND(D144-C144,2)))</f>
        <v/>
      </c>
      <c r="K144" s="17"/>
      <c r="L144" s="16" t="str">
        <f aca="false">IF(NOT(ISNUMBER(K144)),"",ROUND(K144-N(M143)-N(J144),2))</f>
        <v/>
      </c>
      <c r="M144" s="16" t="n">
        <f aca="false">IF(ISNUMBER(K144),K144,N(M143))</f>
        <v>0</v>
      </c>
      <c r="N144" s="0" t="str">
        <f aca="true">IF(AND(H144="",K144=""),"",TRIM(IF(AND(H144&lt;&gt;"",NOT(AND(LEN(H144)=10,MID(H144,5,1)="-",MID(H144,8,1)="-"))),"Fecha con formato invalido (usa AAAA-MM-DD). ","")&amp;IF(AND(H144&lt;&gt;"",COUNTIF($H$2:$H$367,H144)&gt;1),"Fecha repetida en otro dia. ","")&amp;IF(AND(H144&lt;&gt;"",H143&lt;&gt;"",H144&lt;=H143),"La fecha no es posterior a la del dia anterior. ","")&amp;IF(AND(H144&lt;&gt;"",ISNUMBER(A144),ISNUMBER(D143),ISNUMBER(C143),ABS(A144-IF(G143&gt;=$P$2,MIN(D143,C143),D143))&gt;0.005),"Bank roll inicial no sigue la regla del dia anterior (alguien sobrescribio la formula). ","")&amp;IF(AND(H144&lt;&gt;"",ISNUMBER(B144),ISNUMBER(A144),ABS(B144-A144/8)&gt;0.00001),"Stake distinto de Bank roll/8. ","")&amp;IF(AND(H144&lt;&gt;"",ISNUMBER(E144),ABS(E144)&gt;0.005),"Residuo distinto de 0. ","")&amp;IF(AND(K144&lt;&gt;"",OR(NOT(ISNUMBER(K144)),N(K144)&lt;0)),"Saldo L2 no numerico o negativo. ","")&amp;IF(AND(H144&lt;&gt;"",H144&lt;TEXT(TODAY(),"yyyy-mm-dd"),G144&gt;=$P$2,K144="",OR(N(J144)&gt;0,N(M143)&gt;0)),"Falta cerrar el Saldo L2 de este dia. ","")&amp;IF(AND(H144&lt;&gt;"",SUMPRODUCT((Registros!$C$2:$C$3000=H144)*ISTEXT(Registros!$AP$2:$AP$3000))&gt;0),"Hay P/L guardado como texto en Registros (no suma). ","")))</f>
        <v/>
      </c>
    </row>
    <row r="145" customFormat="false" ht="15" hidden="false" customHeight="true" outlineLevel="0" collapsed="false">
      <c r="A145" s="13" t="n">
        <f aca="false">IF(D144="","",IF(G144&gt;=$P$2,MIN(D144,C144),D144))</f>
        <v>8</v>
      </c>
      <c r="B145" s="13" t="n">
        <f aca="false">IF(A145="","",A145/8)</f>
        <v>1</v>
      </c>
      <c r="C145" s="13" t="n">
        <f aca="false">IF(OR(A145="",B145=""),"",A145+B145)</f>
        <v>9</v>
      </c>
      <c r="D145" s="13" t="n">
        <f aca="false">IF(A145="","",A145+SUMIFS(Registros!$AP:$AP,Registros!$C:$C,H145))</f>
        <v>8</v>
      </c>
      <c r="E145" s="13" t="n">
        <f aca="false">IF(A145="","",ROUND(A145-8*B145,2))</f>
        <v>0</v>
      </c>
      <c r="F145" s="13" t="n">
        <f aca="false">IF(OR(D145="",C145=""),"",D145-C145)</f>
        <v>-1</v>
      </c>
      <c r="G145" s="20" t="n">
        <f aca="false">IF(G144="","",G144+1)</f>
        <v>144</v>
      </c>
      <c r="H145" s="15"/>
      <c r="I145" s="14"/>
      <c r="J145" s="16" t="str">
        <f aca="false">IF(OR(H145="",D145="",C145="",G145&lt;$P$2),"",MAX(0,ROUND(D145-C145,2)))</f>
        <v/>
      </c>
      <c r="K145" s="17"/>
      <c r="L145" s="16" t="str">
        <f aca="false">IF(NOT(ISNUMBER(K145)),"",ROUND(K145-N(M144)-N(J145),2))</f>
        <v/>
      </c>
      <c r="M145" s="16" t="n">
        <f aca="false">IF(ISNUMBER(K145),K145,N(M144))</f>
        <v>0</v>
      </c>
      <c r="N145" s="0" t="str">
        <f aca="true">IF(AND(H145="",K145=""),"",TRIM(IF(AND(H145&lt;&gt;"",NOT(AND(LEN(H145)=10,MID(H145,5,1)="-",MID(H145,8,1)="-"))),"Fecha con formato invalido (usa AAAA-MM-DD). ","")&amp;IF(AND(H145&lt;&gt;"",COUNTIF($H$2:$H$367,H145)&gt;1),"Fecha repetida en otro dia. ","")&amp;IF(AND(H145&lt;&gt;"",H144&lt;&gt;"",H145&lt;=H144),"La fecha no es posterior a la del dia anterior. ","")&amp;IF(AND(H145&lt;&gt;"",ISNUMBER(A145),ISNUMBER(D144),ISNUMBER(C144),ABS(A145-IF(G144&gt;=$P$2,MIN(D144,C144),D144))&gt;0.005),"Bank roll inicial no sigue la regla del dia anterior (alguien sobrescribio la formula). ","")&amp;IF(AND(H145&lt;&gt;"",ISNUMBER(B145),ISNUMBER(A145),ABS(B145-A145/8)&gt;0.00001),"Stake distinto de Bank roll/8. ","")&amp;IF(AND(H145&lt;&gt;"",ISNUMBER(E145),ABS(E145)&gt;0.005),"Residuo distinto de 0. ","")&amp;IF(AND(K145&lt;&gt;"",OR(NOT(ISNUMBER(K145)),N(K145)&lt;0)),"Saldo L2 no numerico o negativo. ","")&amp;IF(AND(H145&lt;&gt;"",H145&lt;TEXT(TODAY(),"yyyy-mm-dd"),G145&gt;=$P$2,K145="",OR(N(J145)&gt;0,N(M144)&gt;0)),"Falta cerrar el Saldo L2 de este dia. ","")&amp;IF(AND(H145&lt;&gt;"",SUMPRODUCT((Registros!$C$2:$C$3000=H145)*ISTEXT(Registros!$AP$2:$AP$3000))&gt;0),"Hay P/L guardado como texto en Registros (no suma). ","")))</f>
        <v/>
      </c>
    </row>
    <row r="146" customFormat="false" ht="15" hidden="false" customHeight="true" outlineLevel="0" collapsed="false">
      <c r="A146" s="13" t="n">
        <f aca="false">IF(D145="","",IF(G145&gt;=$P$2,MIN(D145,C145),D145))</f>
        <v>8</v>
      </c>
      <c r="B146" s="13" t="n">
        <f aca="false">IF(A146="","",A146/8)</f>
        <v>1</v>
      </c>
      <c r="C146" s="13" t="n">
        <f aca="false">IF(OR(A146="",B146=""),"",A146+B146)</f>
        <v>9</v>
      </c>
      <c r="D146" s="13" t="n">
        <f aca="false">IF(A146="","",A146+SUMIFS(Registros!$AP:$AP,Registros!$C:$C,H146))</f>
        <v>8</v>
      </c>
      <c r="E146" s="13" t="n">
        <f aca="false">IF(A146="","",ROUND(A146-8*B146,2))</f>
        <v>0</v>
      </c>
      <c r="F146" s="13" t="n">
        <f aca="false">IF(OR(D146="",C146=""),"",D146-C146)</f>
        <v>-1</v>
      </c>
      <c r="G146" s="20" t="n">
        <f aca="false">IF(G145="","",G145+1)</f>
        <v>145</v>
      </c>
      <c r="H146" s="15"/>
      <c r="I146" s="14"/>
      <c r="J146" s="16" t="str">
        <f aca="false">IF(OR(H146="",D146="",C146="",G146&lt;$P$2),"",MAX(0,ROUND(D146-C146,2)))</f>
        <v/>
      </c>
      <c r="K146" s="17"/>
      <c r="L146" s="16" t="str">
        <f aca="false">IF(NOT(ISNUMBER(K146)),"",ROUND(K146-N(M145)-N(J146),2))</f>
        <v/>
      </c>
      <c r="M146" s="16" t="n">
        <f aca="false">IF(ISNUMBER(K146),K146,N(M145))</f>
        <v>0</v>
      </c>
      <c r="N146" s="0" t="str">
        <f aca="true">IF(AND(H146="",K146=""),"",TRIM(IF(AND(H146&lt;&gt;"",NOT(AND(LEN(H146)=10,MID(H146,5,1)="-",MID(H146,8,1)="-"))),"Fecha con formato invalido (usa AAAA-MM-DD). ","")&amp;IF(AND(H146&lt;&gt;"",COUNTIF($H$2:$H$367,H146)&gt;1),"Fecha repetida en otro dia. ","")&amp;IF(AND(H146&lt;&gt;"",H145&lt;&gt;"",H146&lt;=H145),"La fecha no es posterior a la del dia anterior. ","")&amp;IF(AND(H146&lt;&gt;"",ISNUMBER(A146),ISNUMBER(D145),ISNUMBER(C145),ABS(A146-IF(G145&gt;=$P$2,MIN(D145,C145),D145))&gt;0.005),"Bank roll inicial no sigue la regla del dia anterior (alguien sobrescribio la formula). ","")&amp;IF(AND(H146&lt;&gt;"",ISNUMBER(B146),ISNUMBER(A146),ABS(B146-A146/8)&gt;0.00001),"Stake distinto de Bank roll/8. ","")&amp;IF(AND(H146&lt;&gt;"",ISNUMBER(E146),ABS(E146)&gt;0.005),"Residuo distinto de 0. ","")&amp;IF(AND(K146&lt;&gt;"",OR(NOT(ISNUMBER(K146)),N(K146)&lt;0)),"Saldo L2 no numerico o negativo. ","")&amp;IF(AND(H146&lt;&gt;"",H146&lt;TEXT(TODAY(),"yyyy-mm-dd"),G146&gt;=$P$2,K146="",OR(N(J146)&gt;0,N(M145)&gt;0)),"Falta cerrar el Saldo L2 de este dia. ","")&amp;IF(AND(H146&lt;&gt;"",SUMPRODUCT((Registros!$C$2:$C$3000=H146)*ISTEXT(Registros!$AP$2:$AP$3000))&gt;0),"Hay P/L guardado como texto en Registros (no suma). ","")))</f>
        <v/>
      </c>
    </row>
    <row r="147" customFormat="false" ht="15" hidden="false" customHeight="true" outlineLevel="0" collapsed="false">
      <c r="A147" s="13" t="n">
        <f aca="false">IF(D146="","",IF(G146&gt;=$P$2,MIN(D146,C146),D146))</f>
        <v>8</v>
      </c>
      <c r="B147" s="13" t="n">
        <f aca="false">IF(A147="","",A147/8)</f>
        <v>1</v>
      </c>
      <c r="C147" s="13" t="n">
        <f aca="false">IF(OR(A147="",B147=""),"",A147+B147)</f>
        <v>9</v>
      </c>
      <c r="D147" s="13" t="n">
        <f aca="false">IF(A147="","",A147+SUMIFS(Registros!$AP:$AP,Registros!$C:$C,H147))</f>
        <v>8</v>
      </c>
      <c r="E147" s="13" t="n">
        <f aca="false">IF(A147="","",ROUND(A147-8*B147,2))</f>
        <v>0</v>
      </c>
      <c r="F147" s="13" t="n">
        <f aca="false">IF(OR(D147="",C147=""),"",D147-C147)</f>
        <v>-1</v>
      </c>
      <c r="G147" s="20" t="n">
        <f aca="false">IF(G146="","",G146+1)</f>
        <v>146</v>
      </c>
      <c r="H147" s="15"/>
      <c r="I147" s="14"/>
      <c r="J147" s="16" t="str">
        <f aca="false">IF(OR(H147="",D147="",C147="",G147&lt;$P$2),"",MAX(0,ROUND(D147-C147,2)))</f>
        <v/>
      </c>
      <c r="K147" s="17"/>
      <c r="L147" s="16" t="str">
        <f aca="false">IF(NOT(ISNUMBER(K147)),"",ROUND(K147-N(M146)-N(J147),2))</f>
        <v/>
      </c>
      <c r="M147" s="16" t="n">
        <f aca="false">IF(ISNUMBER(K147),K147,N(M146))</f>
        <v>0</v>
      </c>
      <c r="N147" s="0" t="str">
        <f aca="true">IF(AND(H147="",K147=""),"",TRIM(IF(AND(H147&lt;&gt;"",NOT(AND(LEN(H147)=10,MID(H147,5,1)="-",MID(H147,8,1)="-"))),"Fecha con formato invalido (usa AAAA-MM-DD). ","")&amp;IF(AND(H147&lt;&gt;"",COUNTIF($H$2:$H$367,H147)&gt;1),"Fecha repetida en otro dia. ","")&amp;IF(AND(H147&lt;&gt;"",H146&lt;&gt;"",H147&lt;=H146),"La fecha no es posterior a la del dia anterior. ","")&amp;IF(AND(H147&lt;&gt;"",ISNUMBER(A147),ISNUMBER(D146),ISNUMBER(C146),ABS(A147-IF(G146&gt;=$P$2,MIN(D146,C146),D146))&gt;0.005),"Bank roll inicial no sigue la regla del dia anterior (alguien sobrescribio la formula). ","")&amp;IF(AND(H147&lt;&gt;"",ISNUMBER(B147),ISNUMBER(A147),ABS(B147-A147/8)&gt;0.00001),"Stake distinto de Bank roll/8. ","")&amp;IF(AND(H147&lt;&gt;"",ISNUMBER(E147),ABS(E147)&gt;0.005),"Residuo distinto de 0. ","")&amp;IF(AND(K147&lt;&gt;"",OR(NOT(ISNUMBER(K147)),N(K147)&lt;0)),"Saldo L2 no numerico o negativo. ","")&amp;IF(AND(H147&lt;&gt;"",H147&lt;TEXT(TODAY(),"yyyy-mm-dd"),G147&gt;=$P$2,K147="",OR(N(J147)&gt;0,N(M146)&gt;0)),"Falta cerrar el Saldo L2 de este dia. ","")&amp;IF(AND(H147&lt;&gt;"",SUMPRODUCT((Registros!$C$2:$C$3000=H147)*ISTEXT(Registros!$AP$2:$AP$3000))&gt;0),"Hay P/L guardado como texto en Registros (no suma). ","")))</f>
        <v/>
      </c>
    </row>
    <row r="148" customFormat="false" ht="15" hidden="false" customHeight="true" outlineLevel="0" collapsed="false">
      <c r="A148" s="13" t="n">
        <f aca="false">IF(D147="","",IF(G147&gt;=$P$2,MIN(D147,C147),D147))</f>
        <v>8</v>
      </c>
      <c r="B148" s="13" t="n">
        <f aca="false">IF(A148="","",A148/8)</f>
        <v>1</v>
      </c>
      <c r="C148" s="13" t="n">
        <f aca="false">IF(OR(A148="",B148=""),"",A148+B148)</f>
        <v>9</v>
      </c>
      <c r="D148" s="13" t="n">
        <f aca="false">IF(A148="","",A148+SUMIFS(Registros!$AP:$AP,Registros!$C:$C,H148))</f>
        <v>8</v>
      </c>
      <c r="E148" s="13" t="n">
        <f aca="false">IF(A148="","",ROUND(A148-8*B148,2))</f>
        <v>0</v>
      </c>
      <c r="F148" s="13" t="n">
        <f aca="false">IF(OR(D148="",C148=""),"",D148-C148)</f>
        <v>-1</v>
      </c>
      <c r="G148" s="20" t="n">
        <f aca="false">IF(G147="","",G147+1)</f>
        <v>147</v>
      </c>
      <c r="H148" s="15"/>
      <c r="I148" s="14"/>
      <c r="J148" s="16" t="str">
        <f aca="false">IF(OR(H148="",D148="",C148="",G148&lt;$P$2),"",MAX(0,ROUND(D148-C148,2)))</f>
        <v/>
      </c>
      <c r="K148" s="17"/>
      <c r="L148" s="16" t="str">
        <f aca="false">IF(NOT(ISNUMBER(K148)),"",ROUND(K148-N(M147)-N(J148),2))</f>
        <v/>
      </c>
      <c r="M148" s="16" t="n">
        <f aca="false">IF(ISNUMBER(K148),K148,N(M147))</f>
        <v>0</v>
      </c>
      <c r="N148" s="0" t="str">
        <f aca="true">IF(AND(H148="",K148=""),"",TRIM(IF(AND(H148&lt;&gt;"",NOT(AND(LEN(H148)=10,MID(H148,5,1)="-",MID(H148,8,1)="-"))),"Fecha con formato invalido (usa AAAA-MM-DD). ","")&amp;IF(AND(H148&lt;&gt;"",COUNTIF($H$2:$H$367,H148)&gt;1),"Fecha repetida en otro dia. ","")&amp;IF(AND(H148&lt;&gt;"",H147&lt;&gt;"",H148&lt;=H147),"La fecha no es posterior a la del dia anterior. ","")&amp;IF(AND(H148&lt;&gt;"",ISNUMBER(A148),ISNUMBER(D147),ISNUMBER(C147),ABS(A148-IF(G147&gt;=$P$2,MIN(D147,C147),D147))&gt;0.005),"Bank roll inicial no sigue la regla del dia anterior (alguien sobrescribio la formula). ","")&amp;IF(AND(H148&lt;&gt;"",ISNUMBER(B148),ISNUMBER(A148),ABS(B148-A148/8)&gt;0.00001),"Stake distinto de Bank roll/8. ","")&amp;IF(AND(H148&lt;&gt;"",ISNUMBER(E148),ABS(E148)&gt;0.005),"Residuo distinto de 0. ","")&amp;IF(AND(K148&lt;&gt;"",OR(NOT(ISNUMBER(K148)),N(K148)&lt;0)),"Saldo L2 no numerico o negativo. ","")&amp;IF(AND(H148&lt;&gt;"",H148&lt;TEXT(TODAY(),"yyyy-mm-dd"),G148&gt;=$P$2,K148="",OR(N(J148)&gt;0,N(M147)&gt;0)),"Falta cerrar el Saldo L2 de este dia. ","")&amp;IF(AND(H148&lt;&gt;"",SUMPRODUCT((Registros!$C$2:$C$3000=H148)*ISTEXT(Registros!$AP$2:$AP$3000))&gt;0),"Hay P/L guardado como texto en Registros (no suma). ","")))</f>
        <v/>
      </c>
    </row>
    <row r="149" customFormat="false" ht="15" hidden="false" customHeight="true" outlineLevel="0" collapsed="false">
      <c r="A149" s="13" t="n">
        <f aca="false">IF(D148="","",IF(G148&gt;=$P$2,MIN(D148,C148),D148))</f>
        <v>8</v>
      </c>
      <c r="B149" s="13" t="n">
        <f aca="false">IF(A149="","",A149/8)</f>
        <v>1</v>
      </c>
      <c r="C149" s="13" t="n">
        <f aca="false">IF(OR(A149="",B149=""),"",A149+B149)</f>
        <v>9</v>
      </c>
      <c r="D149" s="13" t="n">
        <f aca="false">IF(A149="","",A149+SUMIFS(Registros!$AP:$AP,Registros!$C:$C,H149))</f>
        <v>8</v>
      </c>
      <c r="E149" s="13" t="n">
        <f aca="false">IF(A149="","",ROUND(A149-8*B149,2))</f>
        <v>0</v>
      </c>
      <c r="F149" s="13" t="n">
        <f aca="false">IF(OR(D149="",C149=""),"",D149-C149)</f>
        <v>-1</v>
      </c>
      <c r="G149" s="20" t="n">
        <f aca="false">IF(G148="","",G148+1)</f>
        <v>148</v>
      </c>
      <c r="H149" s="15"/>
      <c r="I149" s="14"/>
      <c r="J149" s="16" t="str">
        <f aca="false">IF(OR(H149="",D149="",C149="",G149&lt;$P$2),"",MAX(0,ROUND(D149-C149,2)))</f>
        <v/>
      </c>
      <c r="K149" s="17"/>
      <c r="L149" s="16" t="str">
        <f aca="false">IF(NOT(ISNUMBER(K149)),"",ROUND(K149-N(M148)-N(J149),2))</f>
        <v/>
      </c>
      <c r="M149" s="16" t="n">
        <f aca="false">IF(ISNUMBER(K149),K149,N(M148))</f>
        <v>0</v>
      </c>
      <c r="N149" s="0" t="str">
        <f aca="true">IF(AND(H149="",K149=""),"",TRIM(IF(AND(H149&lt;&gt;"",NOT(AND(LEN(H149)=10,MID(H149,5,1)="-",MID(H149,8,1)="-"))),"Fecha con formato invalido (usa AAAA-MM-DD). ","")&amp;IF(AND(H149&lt;&gt;"",COUNTIF($H$2:$H$367,H149)&gt;1),"Fecha repetida en otro dia. ","")&amp;IF(AND(H149&lt;&gt;"",H148&lt;&gt;"",H149&lt;=H148),"La fecha no es posterior a la del dia anterior. ","")&amp;IF(AND(H149&lt;&gt;"",ISNUMBER(A149),ISNUMBER(D148),ISNUMBER(C148),ABS(A149-IF(G148&gt;=$P$2,MIN(D148,C148),D148))&gt;0.005),"Bank roll inicial no sigue la regla del dia anterior (alguien sobrescribio la formula). ","")&amp;IF(AND(H149&lt;&gt;"",ISNUMBER(B149),ISNUMBER(A149),ABS(B149-A149/8)&gt;0.00001),"Stake distinto de Bank roll/8. ","")&amp;IF(AND(H149&lt;&gt;"",ISNUMBER(E149),ABS(E149)&gt;0.005),"Residuo distinto de 0. ","")&amp;IF(AND(K149&lt;&gt;"",OR(NOT(ISNUMBER(K149)),N(K149)&lt;0)),"Saldo L2 no numerico o negativo. ","")&amp;IF(AND(H149&lt;&gt;"",H149&lt;TEXT(TODAY(),"yyyy-mm-dd"),G149&gt;=$P$2,K149="",OR(N(J149)&gt;0,N(M148)&gt;0)),"Falta cerrar el Saldo L2 de este dia. ","")&amp;IF(AND(H149&lt;&gt;"",SUMPRODUCT((Registros!$C$2:$C$3000=H149)*ISTEXT(Registros!$AP$2:$AP$3000))&gt;0),"Hay P/L guardado como texto en Registros (no suma). ","")))</f>
        <v/>
      </c>
    </row>
    <row r="150" customFormat="false" ht="15" hidden="false" customHeight="true" outlineLevel="0" collapsed="false">
      <c r="A150" s="13" t="n">
        <f aca="false">IF(D149="","",IF(G149&gt;=$P$2,MIN(D149,C149),D149))</f>
        <v>8</v>
      </c>
      <c r="B150" s="13" t="n">
        <f aca="false">IF(A150="","",A150/8)</f>
        <v>1</v>
      </c>
      <c r="C150" s="13" t="n">
        <f aca="false">IF(OR(A150="",B150=""),"",A150+B150)</f>
        <v>9</v>
      </c>
      <c r="D150" s="13" t="n">
        <f aca="false">IF(A150="","",A150+SUMIFS(Registros!$AP:$AP,Registros!$C:$C,H150))</f>
        <v>8</v>
      </c>
      <c r="E150" s="13" t="n">
        <f aca="false">IF(A150="","",ROUND(A150-8*B150,2))</f>
        <v>0</v>
      </c>
      <c r="F150" s="13" t="n">
        <f aca="false">IF(OR(D150="",C150=""),"",D150-C150)</f>
        <v>-1</v>
      </c>
      <c r="G150" s="20" t="n">
        <f aca="false">IF(G149="","",G149+1)</f>
        <v>149</v>
      </c>
      <c r="H150" s="15"/>
      <c r="I150" s="14"/>
      <c r="J150" s="16" t="str">
        <f aca="false">IF(OR(H150="",D150="",C150="",G150&lt;$P$2),"",MAX(0,ROUND(D150-C150,2)))</f>
        <v/>
      </c>
      <c r="K150" s="17"/>
      <c r="L150" s="16" t="str">
        <f aca="false">IF(NOT(ISNUMBER(K150)),"",ROUND(K150-N(M149)-N(J150),2))</f>
        <v/>
      </c>
      <c r="M150" s="16" t="n">
        <f aca="false">IF(ISNUMBER(K150),K150,N(M149))</f>
        <v>0</v>
      </c>
      <c r="N150" s="0" t="str">
        <f aca="true">IF(AND(H150="",K150=""),"",TRIM(IF(AND(H150&lt;&gt;"",NOT(AND(LEN(H150)=10,MID(H150,5,1)="-",MID(H150,8,1)="-"))),"Fecha con formato invalido (usa AAAA-MM-DD). ","")&amp;IF(AND(H150&lt;&gt;"",COUNTIF($H$2:$H$367,H150)&gt;1),"Fecha repetida en otro dia. ","")&amp;IF(AND(H150&lt;&gt;"",H149&lt;&gt;"",H150&lt;=H149),"La fecha no es posterior a la del dia anterior. ","")&amp;IF(AND(H150&lt;&gt;"",ISNUMBER(A150),ISNUMBER(D149),ISNUMBER(C149),ABS(A150-IF(G149&gt;=$P$2,MIN(D149,C149),D149))&gt;0.005),"Bank roll inicial no sigue la regla del dia anterior (alguien sobrescribio la formula). ","")&amp;IF(AND(H150&lt;&gt;"",ISNUMBER(B150),ISNUMBER(A150),ABS(B150-A150/8)&gt;0.00001),"Stake distinto de Bank roll/8. ","")&amp;IF(AND(H150&lt;&gt;"",ISNUMBER(E150),ABS(E150)&gt;0.005),"Residuo distinto de 0. ","")&amp;IF(AND(K150&lt;&gt;"",OR(NOT(ISNUMBER(K150)),N(K150)&lt;0)),"Saldo L2 no numerico o negativo. ","")&amp;IF(AND(H150&lt;&gt;"",H150&lt;TEXT(TODAY(),"yyyy-mm-dd"),G150&gt;=$P$2,K150="",OR(N(J150)&gt;0,N(M149)&gt;0)),"Falta cerrar el Saldo L2 de este dia. ","")&amp;IF(AND(H150&lt;&gt;"",SUMPRODUCT((Registros!$C$2:$C$3000=H150)*ISTEXT(Registros!$AP$2:$AP$3000))&gt;0),"Hay P/L guardado como texto en Registros (no suma). ","")))</f>
        <v/>
      </c>
    </row>
    <row r="151" customFormat="false" ht="15" hidden="false" customHeight="true" outlineLevel="0" collapsed="false">
      <c r="A151" s="13" t="n">
        <f aca="false">IF(D150="","",IF(G150&gt;=$P$2,MIN(D150,C150),D150))</f>
        <v>8</v>
      </c>
      <c r="B151" s="13" t="n">
        <f aca="false">IF(A151="","",A151/8)</f>
        <v>1</v>
      </c>
      <c r="C151" s="13" t="n">
        <f aca="false">IF(OR(A151="",B151=""),"",A151+B151)</f>
        <v>9</v>
      </c>
      <c r="D151" s="13" t="n">
        <f aca="false">IF(A151="","",A151+SUMIFS(Registros!$AP:$AP,Registros!$C:$C,H151))</f>
        <v>8</v>
      </c>
      <c r="E151" s="13" t="n">
        <f aca="false">IF(A151="","",ROUND(A151-8*B151,2))</f>
        <v>0</v>
      </c>
      <c r="F151" s="13" t="n">
        <f aca="false">IF(OR(D151="",C151=""),"",D151-C151)</f>
        <v>-1</v>
      </c>
      <c r="G151" s="20" t="n">
        <f aca="false">IF(G150="","",G150+1)</f>
        <v>150</v>
      </c>
      <c r="H151" s="15"/>
      <c r="I151" s="14"/>
      <c r="J151" s="16" t="str">
        <f aca="false">IF(OR(H151="",D151="",C151="",G151&lt;$P$2),"",MAX(0,ROUND(D151-C151,2)))</f>
        <v/>
      </c>
      <c r="K151" s="17"/>
      <c r="L151" s="16" t="str">
        <f aca="false">IF(NOT(ISNUMBER(K151)),"",ROUND(K151-N(M150)-N(J151),2))</f>
        <v/>
      </c>
      <c r="M151" s="16" t="n">
        <f aca="false">IF(ISNUMBER(K151),K151,N(M150))</f>
        <v>0</v>
      </c>
      <c r="N151" s="0" t="str">
        <f aca="true">IF(AND(H151="",K151=""),"",TRIM(IF(AND(H151&lt;&gt;"",NOT(AND(LEN(H151)=10,MID(H151,5,1)="-",MID(H151,8,1)="-"))),"Fecha con formato invalido (usa AAAA-MM-DD). ","")&amp;IF(AND(H151&lt;&gt;"",COUNTIF($H$2:$H$367,H151)&gt;1),"Fecha repetida en otro dia. ","")&amp;IF(AND(H151&lt;&gt;"",H150&lt;&gt;"",H151&lt;=H150),"La fecha no es posterior a la del dia anterior. ","")&amp;IF(AND(H151&lt;&gt;"",ISNUMBER(A151),ISNUMBER(D150),ISNUMBER(C150),ABS(A151-IF(G150&gt;=$P$2,MIN(D150,C150),D150))&gt;0.005),"Bank roll inicial no sigue la regla del dia anterior (alguien sobrescribio la formula). ","")&amp;IF(AND(H151&lt;&gt;"",ISNUMBER(B151),ISNUMBER(A151),ABS(B151-A151/8)&gt;0.00001),"Stake distinto de Bank roll/8. ","")&amp;IF(AND(H151&lt;&gt;"",ISNUMBER(E151),ABS(E151)&gt;0.005),"Residuo distinto de 0. ","")&amp;IF(AND(K151&lt;&gt;"",OR(NOT(ISNUMBER(K151)),N(K151)&lt;0)),"Saldo L2 no numerico o negativo. ","")&amp;IF(AND(H151&lt;&gt;"",H151&lt;TEXT(TODAY(),"yyyy-mm-dd"),G151&gt;=$P$2,K151="",OR(N(J151)&gt;0,N(M150)&gt;0)),"Falta cerrar el Saldo L2 de este dia. ","")&amp;IF(AND(H151&lt;&gt;"",SUMPRODUCT((Registros!$C$2:$C$3000=H151)*ISTEXT(Registros!$AP$2:$AP$3000))&gt;0),"Hay P/L guardado como texto en Registros (no suma). ","")))</f>
        <v/>
      </c>
    </row>
    <row r="152" customFormat="false" ht="15" hidden="false" customHeight="true" outlineLevel="0" collapsed="false">
      <c r="A152" s="13" t="n">
        <f aca="false">IF(D151="","",IF(G151&gt;=$P$2,MIN(D151,C151),D151))</f>
        <v>8</v>
      </c>
      <c r="B152" s="13" t="n">
        <f aca="false">IF(A152="","",A152/8)</f>
        <v>1</v>
      </c>
      <c r="C152" s="13" t="n">
        <f aca="false">IF(OR(A152="",B152=""),"",A152+B152)</f>
        <v>9</v>
      </c>
      <c r="D152" s="13" t="n">
        <f aca="false">IF(A152="","",A152+SUMIFS(Registros!$AP:$AP,Registros!$C:$C,H152))</f>
        <v>8</v>
      </c>
      <c r="E152" s="13" t="n">
        <f aca="false">IF(A152="","",ROUND(A152-8*B152,2))</f>
        <v>0</v>
      </c>
      <c r="F152" s="13" t="n">
        <f aca="false">IF(OR(D152="",C152=""),"",D152-C152)</f>
        <v>-1</v>
      </c>
      <c r="G152" s="20" t="n">
        <f aca="false">IF(G151="","",G151+1)</f>
        <v>151</v>
      </c>
      <c r="H152" s="15"/>
      <c r="I152" s="14"/>
      <c r="J152" s="16" t="str">
        <f aca="false">IF(OR(H152="",D152="",C152="",G152&lt;$P$2),"",MAX(0,ROUND(D152-C152,2)))</f>
        <v/>
      </c>
      <c r="K152" s="17"/>
      <c r="L152" s="16" t="str">
        <f aca="false">IF(NOT(ISNUMBER(K152)),"",ROUND(K152-N(M151)-N(J152),2))</f>
        <v/>
      </c>
      <c r="M152" s="16" t="n">
        <f aca="false">IF(ISNUMBER(K152),K152,N(M151))</f>
        <v>0</v>
      </c>
      <c r="N152" s="0" t="str">
        <f aca="true">IF(AND(H152="",K152=""),"",TRIM(IF(AND(H152&lt;&gt;"",NOT(AND(LEN(H152)=10,MID(H152,5,1)="-",MID(H152,8,1)="-"))),"Fecha con formato invalido (usa AAAA-MM-DD). ","")&amp;IF(AND(H152&lt;&gt;"",COUNTIF($H$2:$H$367,H152)&gt;1),"Fecha repetida en otro dia. ","")&amp;IF(AND(H152&lt;&gt;"",H151&lt;&gt;"",H152&lt;=H151),"La fecha no es posterior a la del dia anterior. ","")&amp;IF(AND(H152&lt;&gt;"",ISNUMBER(A152),ISNUMBER(D151),ISNUMBER(C151),ABS(A152-IF(G151&gt;=$P$2,MIN(D151,C151),D151))&gt;0.005),"Bank roll inicial no sigue la regla del dia anterior (alguien sobrescribio la formula). ","")&amp;IF(AND(H152&lt;&gt;"",ISNUMBER(B152),ISNUMBER(A152),ABS(B152-A152/8)&gt;0.00001),"Stake distinto de Bank roll/8. ","")&amp;IF(AND(H152&lt;&gt;"",ISNUMBER(E152),ABS(E152)&gt;0.005),"Residuo distinto de 0. ","")&amp;IF(AND(K152&lt;&gt;"",OR(NOT(ISNUMBER(K152)),N(K152)&lt;0)),"Saldo L2 no numerico o negativo. ","")&amp;IF(AND(H152&lt;&gt;"",H152&lt;TEXT(TODAY(),"yyyy-mm-dd"),G152&gt;=$P$2,K152="",OR(N(J152)&gt;0,N(M151)&gt;0)),"Falta cerrar el Saldo L2 de este dia. ","")&amp;IF(AND(H152&lt;&gt;"",SUMPRODUCT((Registros!$C$2:$C$3000=H152)*ISTEXT(Registros!$AP$2:$AP$3000))&gt;0),"Hay P/L guardado como texto en Registros (no suma). ","")))</f>
        <v/>
      </c>
    </row>
    <row r="153" customFormat="false" ht="15" hidden="false" customHeight="true" outlineLevel="0" collapsed="false">
      <c r="A153" s="13" t="n">
        <f aca="false">IF(D152="","",IF(G152&gt;=$P$2,MIN(D152,C152),D152))</f>
        <v>8</v>
      </c>
      <c r="B153" s="13" t="n">
        <f aca="false">IF(A153="","",A153/8)</f>
        <v>1</v>
      </c>
      <c r="C153" s="13" t="n">
        <f aca="false">IF(OR(A153="",B153=""),"",A153+B153)</f>
        <v>9</v>
      </c>
      <c r="D153" s="13" t="n">
        <f aca="false">IF(A153="","",A153+SUMIFS(Registros!$AP:$AP,Registros!$C:$C,H153))</f>
        <v>8</v>
      </c>
      <c r="E153" s="13" t="n">
        <f aca="false">IF(A153="","",ROUND(A153-8*B153,2))</f>
        <v>0</v>
      </c>
      <c r="F153" s="13" t="n">
        <f aca="false">IF(OR(D153="",C153=""),"",D153-C153)</f>
        <v>-1</v>
      </c>
      <c r="G153" s="20" t="n">
        <f aca="false">IF(G152="","",G152+1)</f>
        <v>152</v>
      </c>
      <c r="H153" s="15"/>
      <c r="I153" s="14"/>
      <c r="J153" s="16" t="str">
        <f aca="false">IF(OR(H153="",D153="",C153="",G153&lt;$P$2),"",MAX(0,ROUND(D153-C153,2)))</f>
        <v/>
      </c>
      <c r="K153" s="17"/>
      <c r="L153" s="16" t="str">
        <f aca="false">IF(NOT(ISNUMBER(K153)),"",ROUND(K153-N(M152)-N(J153),2))</f>
        <v/>
      </c>
      <c r="M153" s="16" t="n">
        <f aca="false">IF(ISNUMBER(K153),K153,N(M152))</f>
        <v>0</v>
      </c>
      <c r="N153" s="0" t="str">
        <f aca="true">IF(AND(H153="",K153=""),"",TRIM(IF(AND(H153&lt;&gt;"",NOT(AND(LEN(H153)=10,MID(H153,5,1)="-",MID(H153,8,1)="-"))),"Fecha con formato invalido (usa AAAA-MM-DD). ","")&amp;IF(AND(H153&lt;&gt;"",COUNTIF($H$2:$H$367,H153)&gt;1),"Fecha repetida en otro dia. ","")&amp;IF(AND(H153&lt;&gt;"",H152&lt;&gt;"",H153&lt;=H152),"La fecha no es posterior a la del dia anterior. ","")&amp;IF(AND(H153&lt;&gt;"",ISNUMBER(A153),ISNUMBER(D152),ISNUMBER(C152),ABS(A153-IF(G152&gt;=$P$2,MIN(D152,C152),D152))&gt;0.005),"Bank roll inicial no sigue la regla del dia anterior (alguien sobrescribio la formula). ","")&amp;IF(AND(H153&lt;&gt;"",ISNUMBER(B153),ISNUMBER(A153),ABS(B153-A153/8)&gt;0.00001),"Stake distinto de Bank roll/8. ","")&amp;IF(AND(H153&lt;&gt;"",ISNUMBER(E153),ABS(E153)&gt;0.005),"Residuo distinto de 0. ","")&amp;IF(AND(K153&lt;&gt;"",OR(NOT(ISNUMBER(K153)),N(K153)&lt;0)),"Saldo L2 no numerico o negativo. ","")&amp;IF(AND(H153&lt;&gt;"",H153&lt;TEXT(TODAY(),"yyyy-mm-dd"),G153&gt;=$P$2,K153="",OR(N(J153)&gt;0,N(M152)&gt;0)),"Falta cerrar el Saldo L2 de este dia. ","")&amp;IF(AND(H153&lt;&gt;"",SUMPRODUCT((Registros!$C$2:$C$3000=H153)*ISTEXT(Registros!$AP$2:$AP$3000))&gt;0),"Hay P/L guardado como texto en Registros (no suma). ","")))</f>
        <v/>
      </c>
    </row>
    <row r="154" customFormat="false" ht="15" hidden="false" customHeight="true" outlineLevel="0" collapsed="false">
      <c r="A154" s="13" t="n">
        <f aca="false">IF(D153="","",IF(G153&gt;=$P$2,MIN(D153,C153),D153))</f>
        <v>8</v>
      </c>
      <c r="B154" s="13" t="n">
        <f aca="false">IF(A154="","",A154/8)</f>
        <v>1</v>
      </c>
      <c r="C154" s="13" t="n">
        <f aca="false">IF(OR(A154="",B154=""),"",A154+B154)</f>
        <v>9</v>
      </c>
      <c r="D154" s="13" t="n">
        <f aca="false">IF(A154="","",A154+SUMIFS(Registros!$AP:$AP,Registros!$C:$C,H154))</f>
        <v>8</v>
      </c>
      <c r="E154" s="13" t="n">
        <f aca="false">IF(A154="","",ROUND(A154-8*B154,2))</f>
        <v>0</v>
      </c>
      <c r="F154" s="13" t="n">
        <f aca="false">IF(OR(D154="",C154=""),"",D154-C154)</f>
        <v>-1</v>
      </c>
      <c r="G154" s="20" t="n">
        <f aca="false">IF(G153="","",G153+1)</f>
        <v>153</v>
      </c>
      <c r="H154" s="15"/>
      <c r="I154" s="14"/>
      <c r="J154" s="16" t="str">
        <f aca="false">IF(OR(H154="",D154="",C154="",G154&lt;$P$2),"",MAX(0,ROUND(D154-C154,2)))</f>
        <v/>
      </c>
      <c r="K154" s="17"/>
      <c r="L154" s="16" t="str">
        <f aca="false">IF(NOT(ISNUMBER(K154)),"",ROUND(K154-N(M153)-N(J154),2))</f>
        <v/>
      </c>
      <c r="M154" s="16" t="n">
        <f aca="false">IF(ISNUMBER(K154),K154,N(M153))</f>
        <v>0</v>
      </c>
      <c r="N154" s="0" t="str">
        <f aca="true">IF(AND(H154="",K154=""),"",TRIM(IF(AND(H154&lt;&gt;"",NOT(AND(LEN(H154)=10,MID(H154,5,1)="-",MID(H154,8,1)="-"))),"Fecha con formato invalido (usa AAAA-MM-DD). ","")&amp;IF(AND(H154&lt;&gt;"",COUNTIF($H$2:$H$367,H154)&gt;1),"Fecha repetida en otro dia. ","")&amp;IF(AND(H154&lt;&gt;"",H153&lt;&gt;"",H154&lt;=H153),"La fecha no es posterior a la del dia anterior. ","")&amp;IF(AND(H154&lt;&gt;"",ISNUMBER(A154),ISNUMBER(D153),ISNUMBER(C153),ABS(A154-IF(G153&gt;=$P$2,MIN(D153,C153),D153))&gt;0.005),"Bank roll inicial no sigue la regla del dia anterior (alguien sobrescribio la formula). ","")&amp;IF(AND(H154&lt;&gt;"",ISNUMBER(B154),ISNUMBER(A154),ABS(B154-A154/8)&gt;0.00001),"Stake distinto de Bank roll/8. ","")&amp;IF(AND(H154&lt;&gt;"",ISNUMBER(E154),ABS(E154)&gt;0.005),"Residuo distinto de 0. ","")&amp;IF(AND(K154&lt;&gt;"",OR(NOT(ISNUMBER(K154)),N(K154)&lt;0)),"Saldo L2 no numerico o negativo. ","")&amp;IF(AND(H154&lt;&gt;"",H154&lt;TEXT(TODAY(),"yyyy-mm-dd"),G154&gt;=$P$2,K154="",OR(N(J154)&gt;0,N(M153)&gt;0)),"Falta cerrar el Saldo L2 de este dia. ","")&amp;IF(AND(H154&lt;&gt;"",SUMPRODUCT((Registros!$C$2:$C$3000=H154)*ISTEXT(Registros!$AP$2:$AP$3000))&gt;0),"Hay P/L guardado como texto en Registros (no suma). ","")))</f>
        <v/>
      </c>
    </row>
    <row r="155" customFormat="false" ht="15" hidden="false" customHeight="true" outlineLevel="0" collapsed="false">
      <c r="A155" s="13" t="n">
        <f aca="false">IF(D154="","",IF(G154&gt;=$P$2,MIN(D154,C154),D154))</f>
        <v>8</v>
      </c>
      <c r="B155" s="13" t="n">
        <f aca="false">IF(A155="","",A155/8)</f>
        <v>1</v>
      </c>
      <c r="C155" s="13" t="n">
        <f aca="false">IF(OR(A155="",B155=""),"",A155+B155)</f>
        <v>9</v>
      </c>
      <c r="D155" s="13" t="n">
        <f aca="false">IF(A155="","",A155+SUMIFS(Registros!$AP:$AP,Registros!$C:$C,H155))</f>
        <v>8</v>
      </c>
      <c r="E155" s="13" t="n">
        <f aca="false">IF(A155="","",ROUND(A155-8*B155,2))</f>
        <v>0</v>
      </c>
      <c r="F155" s="13" t="n">
        <f aca="false">IF(OR(D155="",C155=""),"",D155-C155)</f>
        <v>-1</v>
      </c>
      <c r="G155" s="20" t="n">
        <f aca="false">IF(G154="","",G154+1)</f>
        <v>154</v>
      </c>
      <c r="H155" s="15"/>
      <c r="I155" s="14"/>
      <c r="J155" s="16" t="str">
        <f aca="false">IF(OR(H155="",D155="",C155="",G155&lt;$P$2),"",MAX(0,ROUND(D155-C155,2)))</f>
        <v/>
      </c>
      <c r="K155" s="17"/>
      <c r="L155" s="16" t="str">
        <f aca="false">IF(NOT(ISNUMBER(K155)),"",ROUND(K155-N(M154)-N(J155),2))</f>
        <v/>
      </c>
      <c r="M155" s="16" t="n">
        <f aca="false">IF(ISNUMBER(K155),K155,N(M154))</f>
        <v>0</v>
      </c>
      <c r="N155" s="0" t="str">
        <f aca="true">IF(AND(H155="",K155=""),"",TRIM(IF(AND(H155&lt;&gt;"",NOT(AND(LEN(H155)=10,MID(H155,5,1)="-",MID(H155,8,1)="-"))),"Fecha con formato invalido (usa AAAA-MM-DD). ","")&amp;IF(AND(H155&lt;&gt;"",COUNTIF($H$2:$H$367,H155)&gt;1),"Fecha repetida en otro dia. ","")&amp;IF(AND(H155&lt;&gt;"",H154&lt;&gt;"",H155&lt;=H154),"La fecha no es posterior a la del dia anterior. ","")&amp;IF(AND(H155&lt;&gt;"",ISNUMBER(A155),ISNUMBER(D154),ISNUMBER(C154),ABS(A155-IF(G154&gt;=$P$2,MIN(D154,C154),D154))&gt;0.005),"Bank roll inicial no sigue la regla del dia anterior (alguien sobrescribio la formula). ","")&amp;IF(AND(H155&lt;&gt;"",ISNUMBER(B155),ISNUMBER(A155),ABS(B155-A155/8)&gt;0.00001),"Stake distinto de Bank roll/8. ","")&amp;IF(AND(H155&lt;&gt;"",ISNUMBER(E155),ABS(E155)&gt;0.005),"Residuo distinto de 0. ","")&amp;IF(AND(K155&lt;&gt;"",OR(NOT(ISNUMBER(K155)),N(K155)&lt;0)),"Saldo L2 no numerico o negativo. ","")&amp;IF(AND(H155&lt;&gt;"",H155&lt;TEXT(TODAY(),"yyyy-mm-dd"),G155&gt;=$P$2,K155="",OR(N(J155)&gt;0,N(M154)&gt;0)),"Falta cerrar el Saldo L2 de este dia. ","")&amp;IF(AND(H155&lt;&gt;"",SUMPRODUCT((Registros!$C$2:$C$3000=H155)*ISTEXT(Registros!$AP$2:$AP$3000))&gt;0),"Hay P/L guardado como texto en Registros (no suma). ","")))</f>
        <v/>
      </c>
    </row>
    <row r="156" customFormat="false" ht="15" hidden="false" customHeight="true" outlineLevel="0" collapsed="false">
      <c r="A156" s="13" t="n">
        <f aca="false">IF(D155="","",IF(G155&gt;=$P$2,MIN(D155,C155),D155))</f>
        <v>8</v>
      </c>
      <c r="B156" s="13" t="n">
        <f aca="false">IF(A156="","",A156/8)</f>
        <v>1</v>
      </c>
      <c r="C156" s="13" t="n">
        <f aca="false">IF(OR(A156="",B156=""),"",A156+B156)</f>
        <v>9</v>
      </c>
      <c r="D156" s="13" t="n">
        <f aca="false">IF(A156="","",A156+SUMIFS(Registros!$AP:$AP,Registros!$C:$C,H156))</f>
        <v>8</v>
      </c>
      <c r="E156" s="13" t="n">
        <f aca="false">IF(A156="","",ROUND(A156-8*B156,2))</f>
        <v>0</v>
      </c>
      <c r="F156" s="13" t="n">
        <f aca="false">IF(OR(D156="",C156=""),"",D156-C156)</f>
        <v>-1</v>
      </c>
      <c r="G156" s="20" t="n">
        <f aca="false">IF(G155="","",G155+1)</f>
        <v>155</v>
      </c>
      <c r="H156" s="15"/>
      <c r="I156" s="14"/>
      <c r="J156" s="16" t="str">
        <f aca="false">IF(OR(H156="",D156="",C156="",G156&lt;$P$2),"",MAX(0,ROUND(D156-C156,2)))</f>
        <v/>
      </c>
      <c r="K156" s="17"/>
      <c r="L156" s="16" t="str">
        <f aca="false">IF(NOT(ISNUMBER(K156)),"",ROUND(K156-N(M155)-N(J156),2))</f>
        <v/>
      </c>
      <c r="M156" s="16" t="n">
        <f aca="false">IF(ISNUMBER(K156),K156,N(M155))</f>
        <v>0</v>
      </c>
      <c r="N156" s="0" t="str">
        <f aca="true">IF(AND(H156="",K156=""),"",TRIM(IF(AND(H156&lt;&gt;"",NOT(AND(LEN(H156)=10,MID(H156,5,1)="-",MID(H156,8,1)="-"))),"Fecha con formato invalido (usa AAAA-MM-DD). ","")&amp;IF(AND(H156&lt;&gt;"",COUNTIF($H$2:$H$367,H156)&gt;1),"Fecha repetida en otro dia. ","")&amp;IF(AND(H156&lt;&gt;"",H155&lt;&gt;"",H156&lt;=H155),"La fecha no es posterior a la del dia anterior. ","")&amp;IF(AND(H156&lt;&gt;"",ISNUMBER(A156),ISNUMBER(D155),ISNUMBER(C155),ABS(A156-IF(G155&gt;=$P$2,MIN(D155,C155),D155))&gt;0.005),"Bank roll inicial no sigue la regla del dia anterior (alguien sobrescribio la formula). ","")&amp;IF(AND(H156&lt;&gt;"",ISNUMBER(B156),ISNUMBER(A156),ABS(B156-A156/8)&gt;0.00001),"Stake distinto de Bank roll/8. ","")&amp;IF(AND(H156&lt;&gt;"",ISNUMBER(E156),ABS(E156)&gt;0.005),"Residuo distinto de 0. ","")&amp;IF(AND(K156&lt;&gt;"",OR(NOT(ISNUMBER(K156)),N(K156)&lt;0)),"Saldo L2 no numerico o negativo. ","")&amp;IF(AND(H156&lt;&gt;"",H156&lt;TEXT(TODAY(),"yyyy-mm-dd"),G156&gt;=$P$2,K156="",OR(N(J156)&gt;0,N(M155)&gt;0)),"Falta cerrar el Saldo L2 de este dia. ","")&amp;IF(AND(H156&lt;&gt;"",SUMPRODUCT((Registros!$C$2:$C$3000=H156)*ISTEXT(Registros!$AP$2:$AP$3000))&gt;0),"Hay P/L guardado como texto en Registros (no suma). ","")))</f>
        <v/>
      </c>
    </row>
    <row r="157" customFormat="false" ht="15" hidden="false" customHeight="true" outlineLevel="0" collapsed="false">
      <c r="A157" s="13" t="n">
        <f aca="false">IF(D156="","",IF(G156&gt;=$P$2,MIN(D156,C156),D156))</f>
        <v>8</v>
      </c>
      <c r="B157" s="13" t="n">
        <f aca="false">IF(A157="","",A157/8)</f>
        <v>1</v>
      </c>
      <c r="C157" s="13" t="n">
        <f aca="false">IF(OR(A157="",B157=""),"",A157+B157)</f>
        <v>9</v>
      </c>
      <c r="D157" s="13" t="n">
        <f aca="false">IF(A157="","",A157+SUMIFS(Registros!$AP:$AP,Registros!$C:$C,H157))</f>
        <v>8</v>
      </c>
      <c r="E157" s="13" t="n">
        <f aca="false">IF(A157="","",ROUND(A157-8*B157,2))</f>
        <v>0</v>
      </c>
      <c r="F157" s="13" t="n">
        <f aca="false">IF(OR(D157="",C157=""),"",D157-C157)</f>
        <v>-1</v>
      </c>
      <c r="G157" s="20" t="n">
        <f aca="false">IF(G156="","",G156+1)</f>
        <v>156</v>
      </c>
      <c r="H157" s="15"/>
      <c r="I157" s="14"/>
      <c r="J157" s="16" t="str">
        <f aca="false">IF(OR(H157="",D157="",C157="",G157&lt;$P$2),"",MAX(0,ROUND(D157-C157,2)))</f>
        <v/>
      </c>
      <c r="K157" s="17"/>
      <c r="L157" s="16" t="str">
        <f aca="false">IF(NOT(ISNUMBER(K157)),"",ROUND(K157-N(M156)-N(J157),2))</f>
        <v/>
      </c>
      <c r="M157" s="16" t="n">
        <f aca="false">IF(ISNUMBER(K157),K157,N(M156))</f>
        <v>0</v>
      </c>
      <c r="N157" s="0" t="str">
        <f aca="true">IF(AND(H157="",K157=""),"",TRIM(IF(AND(H157&lt;&gt;"",NOT(AND(LEN(H157)=10,MID(H157,5,1)="-",MID(H157,8,1)="-"))),"Fecha con formato invalido (usa AAAA-MM-DD). ","")&amp;IF(AND(H157&lt;&gt;"",COUNTIF($H$2:$H$367,H157)&gt;1),"Fecha repetida en otro dia. ","")&amp;IF(AND(H157&lt;&gt;"",H156&lt;&gt;"",H157&lt;=H156),"La fecha no es posterior a la del dia anterior. ","")&amp;IF(AND(H157&lt;&gt;"",ISNUMBER(A157),ISNUMBER(D156),ISNUMBER(C156),ABS(A157-IF(G156&gt;=$P$2,MIN(D156,C156),D156))&gt;0.005),"Bank roll inicial no sigue la regla del dia anterior (alguien sobrescribio la formula). ","")&amp;IF(AND(H157&lt;&gt;"",ISNUMBER(B157),ISNUMBER(A157),ABS(B157-A157/8)&gt;0.00001),"Stake distinto de Bank roll/8. ","")&amp;IF(AND(H157&lt;&gt;"",ISNUMBER(E157),ABS(E157)&gt;0.005),"Residuo distinto de 0. ","")&amp;IF(AND(K157&lt;&gt;"",OR(NOT(ISNUMBER(K157)),N(K157)&lt;0)),"Saldo L2 no numerico o negativo. ","")&amp;IF(AND(H157&lt;&gt;"",H157&lt;TEXT(TODAY(),"yyyy-mm-dd"),G157&gt;=$P$2,K157="",OR(N(J157)&gt;0,N(M156)&gt;0)),"Falta cerrar el Saldo L2 de este dia. ","")&amp;IF(AND(H157&lt;&gt;"",SUMPRODUCT((Registros!$C$2:$C$3000=H157)*ISTEXT(Registros!$AP$2:$AP$3000))&gt;0),"Hay P/L guardado como texto en Registros (no suma). ","")))</f>
        <v/>
      </c>
    </row>
    <row r="158" customFormat="false" ht="15" hidden="false" customHeight="true" outlineLevel="0" collapsed="false">
      <c r="A158" s="13" t="n">
        <f aca="false">IF(D157="","",IF(G157&gt;=$P$2,MIN(D157,C157),D157))</f>
        <v>8</v>
      </c>
      <c r="B158" s="13" t="n">
        <f aca="false">IF(A158="","",A158/8)</f>
        <v>1</v>
      </c>
      <c r="C158" s="13" t="n">
        <f aca="false">IF(OR(A158="",B158=""),"",A158+B158)</f>
        <v>9</v>
      </c>
      <c r="D158" s="13" t="n">
        <f aca="false">IF(A158="","",A158+SUMIFS(Registros!$AP:$AP,Registros!$C:$C,H158))</f>
        <v>8</v>
      </c>
      <c r="E158" s="13" t="n">
        <f aca="false">IF(A158="","",ROUND(A158-8*B158,2))</f>
        <v>0</v>
      </c>
      <c r="F158" s="13" t="n">
        <f aca="false">IF(OR(D158="",C158=""),"",D158-C158)</f>
        <v>-1</v>
      </c>
      <c r="G158" s="20" t="n">
        <f aca="false">IF(G157="","",G157+1)</f>
        <v>157</v>
      </c>
      <c r="H158" s="15"/>
      <c r="I158" s="14"/>
      <c r="J158" s="16" t="str">
        <f aca="false">IF(OR(H158="",D158="",C158="",G158&lt;$P$2),"",MAX(0,ROUND(D158-C158,2)))</f>
        <v/>
      </c>
      <c r="K158" s="17"/>
      <c r="L158" s="16" t="str">
        <f aca="false">IF(NOT(ISNUMBER(K158)),"",ROUND(K158-N(M157)-N(J158),2))</f>
        <v/>
      </c>
      <c r="M158" s="16" t="n">
        <f aca="false">IF(ISNUMBER(K158),K158,N(M157))</f>
        <v>0</v>
      </c>
      <c r="N158" s="0" t="str">
        <f aca="true">IF(AND(H158="",K158=""),"",TRIM(IF(AND(H158&lt;&gt;"",NOT(AND(LEN(H158)=10,MID(H158,5,1)="-",MID(H158,8,1)="-"))),"Fecha con formato invalido (usa AAAA-MM-DD). ","")&amp;IF(AND(H158&lt;&gt;"",COUNTIF($H$2:$H$367,H158)&gt;1),"Fecha repetida en otro dia. ","")&amp;IF(AND(H158&lt;&gt;"",H157&lt;&gt;"",H158&lt;=H157),"La fecha no es posterior a la del dia anterior. ","")&amp;IF(AND(H158&lt;&gt;"",ISNUMBER(A158),ISNUMBER(D157),ISNUMBER(C157),ABS(A158-IF(G157&gt;=$P$2,MIN(D157,C157),D157))&gt;0.005),"Bank roll inicial no sigue la regla del dia anterior (alguien sobrescribio la formula). ","")&amp;IF(AND(H158&lt;&gt;"",ISNUMBER(B158),ISNUMBER(A158),ABS(B158-A158/8)&gt;0.00001),"Stake distinto de Bank roll/8. ","")&amp;IF(AND(H158&lt;&gt;"",ISNUMBER(E158),ABS(E158)&gt;0.005),"Residuo distinto de 0. ","")&amp;IF(AND(K158&lt;&gt;"",OR(NOT(ISNUMBER(K158)),N(K158)&lt;0)),"Saldo L2 no numerico o negativo. ","")&amp;IF(AND(H158&lt;&gt;"",H158&lt;TEXT(TODAY(),"yyyy-mm-dd"),G158&gt;=$P$2,K158="",OR(N(J158)&gt;0,N(M157)&gt;0)),"Falta cerrar el Saldo L2 de este dia. ","")&amp;IF(AND(H158&lt;&gt;"",SUMPRODUCT((Registros!$C$2:$C$3000=H158)*ISTEXT(Registros!$AP$2:$AP$3000))&gt;0),"Hay P/L guardado como texto en Registros (no suma). ","")))</f>
        <v/>
      </c>
    </row>
    <row r="159" customFormat="false" ht="15" hidden="false" customHeight="true" outlineLevel="0" collapsed="false">
      <c r="A159" s="13" t="n">
        <f aca="false">IF(D158="","",IF(G158&gt;=$P$2,MIN(D158,C158),D158))</f>
        <v>8</v>
      </c>
      <c r="B159" s="13" t="n">
        <f aca="false">IF(A159="","",A159/8)</f>
        <v>1</v>
      </c>
      <c r="C159" s="13" t="n">
        <f aca="false">IF(OR(A159="",B159=""),"",A159+B159)</f>
        <v>9</v>
      </c>
      <c r="D159" s="13" t="n">
        <f aca="false">IF(A159="","",A159+SUMIFS(Registros!$AP:$AP,Registros!$C:$C,H159))</f>
        <v>8</v>
      </c>
      <c r="E159" s="13" t="n">
        <f aca="false">IF(A159="","",ROUND(A159-8*B159,2))</f>
        <v>0</v>
      </c>
      <c r="F159" s="13" t="n">
        <f aca="false">IF(OR(D159="",C159=""),"",D159-C159)</f>
        <v>-1</v>
      </c>
      <c r="G159" s="20" t="n">
        <f aca="false">IF(G158="","",G158+1)</f>
        <v>158</v>
      </c>
      <c r="H159" s="15"/>
      <c r="I159" s="14"/>
      <c r="J159" s="16" t="str">
        <f aca="false">IF(OR(H159="",D159="",C159="",G159&lt;$P$2),"",MAX(0,ROUND(D159-C159,2)))</f>
        <v/>
      </c>
      <c r="K159" s="17"/>
      <c r="L159" s="16" t="str">
        <f aca="false">IF(NOT(ISNUMBER(K159)),"",ROUND(K159-N(M158)-N(J159),2))</f>
        <v/>
      </c>
      <c r="M159" s="16" t="n">
        <f aca="false">IF(ISNUMBER(K159),K159,N(M158))</f>
        <v>0</v>
      </c>
      <c r="N159" s="0" t="str">
        <f aca="true">IF(AND(H159="",K159=""),"",TRIM(IF(AND(H159&lt;&gt;"",NOT(AND(LEN(H159)=10,MID(H159,5,1)="-",MID(H159,8,1)="-"))),"Fecha con formato invalido (usa AAAA-MM-DD). ","")&amp;IF(AND(H159&lt;&gt;"",COUNTIF($H$2:$H$367,H159)&gt;1),"Fecha repetida en otro dia. ","")&amp;IF(AND(H159&lt;&gt;"",H158&lt;&gt;"",H159&lt;=H158),"La fecha no es posterior a la del dia anterior. ","")&amp;IF(AND(H159&lt;&gt;"",ISNUMBER(A159),ISNUMBER(D158),ISNUMBER(C158),ABS(A159-IF(G158&gt;=$P$2,MIN(D158,C158),D158))&gt;0.005),"Bank roll inicial no sigue la regla del dia anterior (alguien sobrescribio la formula). ","")&amp;IF(AND(H159&lt;&gt;"",ISNUMBER(B159),ISNUMBER(A159),ABS(B159-A159/8)&gt;0.00001),"Stake distinto de Bank roll/8. ","")&amp;IF(AND(H159&lt;&gt;"",ISNUMBER(E159),ABS(E159)&gt;0.005),"Residuo distinto de 0. ","")&amp;IF(AND(K159&lt;&gt;"",OR(NOT(ISNUMBER(K159)),N(K159)&lt;0)),"Saldo L2 no numerico o negativo. ","")&amp;IF(AND(H159&lt;&gt;"",H159&lt;TEXT(TODAY(),"yyyy-mm-dd"),G159&gt;=$P$2,K159="",OR(N(J159)&gt;0,N(M158)&gt;0)),"Falta cerrar el Saldo L2 de este dia. ","")&amp;IF(AND(H159&lt;&gt;"",SUMPRODUCT((Registros!$C$2:$C$3000=H159)*ISTEXT(Registros!$AP$2:$AP$3000))&gt;0),"Hay P/L guardado como texto en Registros (no suma). ","")))</f>
        <v/>
      </c>
    </row>
    <row r="160" customFormat="false" ht="15" hidden="false" customHeight="true" outlineLevel="0" collapsed="false">
      <c r="A160" s="13" t="n">
        <f aca="false">IF(D159="","",IF(G159&gt;=$P$2,MIN(D159,C159),D159))</f>
        <v>8</v>
      </c>
      <c r="B160" s="13" t="n">
        <f aca="false">IF(A160="","",A160/8)</f>
        <v>1</v>
      </c>
      <c r="C160" s="13" t="n">
        <f aca="false">IF(OR(A160="",B160=""),"",A160+B160)</f>
        <v>9</v>
      </c>
      <c r="D160" s="13" t="n">
        <f aca="false">IF(A160="","",A160+SUMIFS(Registros!$AP:$AP,Registros!$C:$C,H160))</f>
        <v>8</v>
      </c>
      <c r="E160" s="13" t="n">
        <f aca="false">IF(A160="","",ROUND(A160-8*B160,2))</f>
        <v>0</v>
      </c>
      <c r="F160" s="13" t="n">
        <f aca="false">IF(OR(D160="",C160=""),"",D160-C160)</f>
        <v>-1</v>
      </c>
      <c r="G160" s="20" t="n">
        <f aca="false">IF(G159="","",G159+1)</f>
        <v>159</v>
      </c>
      <c r="H160" s="15"/>
      <c r="I160" s="14"/>
      <c r="J160" s="16" t="str">
        <f aca="false">IF(OR(H160="",D160="",C160="",G160&lt;$P$2),"",MAX(0,ROUND(D160-C160,2)))</f>
        <v/>
      </c>
      <c r="K160" s="17"/>
      <c r="L160" s="16" t="str">
        <f aca="false">IF(NOT(ISNUMBER(K160)),"",ROUND(K160-N(M159)-N(J160),2))</f>
        <v/>
      </c>
      <c r="M160" s="16" t="n">
        <f aca="false">IF(ISNUMBER(K160),K160,N(M159))</f>
        <v>0</v>
      </c>
      <c r="N160" s="0" t="str">
        <f aca="true">IF(AND(H160="",K160=""),"",TRIM(IF(AND(H160&lt;&gt;"",NOT(AND(LEN(H160)=10,MID(H160,5,1)="-",MID(H160,8,1)="-"))),"Fecha con formato invalido (usa AAAA-MM-DD). ","")&amp;IF(AND(H160&lt;&gt;"",COUNTIF($H$2:$H$367,H160)&gt;1),"Fecha repetida en otro dia. ","")&amp;IF(AND(H160&lt;&gt;"",H159&lt;&gt;"",H160&lt;=H159),"La fecha no es posterior a la del dia anterior. ","")&amp;IF(AND(H160&lt;&gt;"",ISNUMBER(A160),ISNUMBER(D159),ISNUMBER(C159),ABS(A160-IF(G159&gt;=$P$2,MIN(D159,C159),D159))&gt;0.005),"Bank roll inicial no sigue la regla del dia anterior (alguien sobrescribio la formula). ","")&amp;IF(AND(H160&lt;&gt;"",ISNUMBER(B160),ISNUMBER(A160),ABS(B160-A160/8)&gt;0.00001),"Stake distinto de Bank roll/8. ","")&amp;IF(AND(H160&lt;&gt;"",ISNUMBER(E160),ABS(E160)&gt;0.005),"Residuo distinto de 0. ","")&amp;IF(AND(K160&lt;&gt;"",OR(NOT(ISNUMBER(K160)),N(K160)&lt;0)),"Saldo L2 no numerico o negativo. ","")&amp;IF(AND(H160&lt;&gt;"",H160&lt;TEXT(TODAY(),"yyyy-mm-dd"),G160&gt;=$P$2,K160="",OR(N(J160)&gt;0,N(M159)&gt;0)),"Falta cerrar el Saldo L2 de este dia. ","")&amp;IF(AND(H160&lt;&gt;"",SUMPRODUCT((Registros!$C$2:$C$3000=H160)*ISTEXT(Registros!$AP$2:$AP$3000))&gt;0),"Hay P/L guardado como texto en Registros (no suma). ","")))</f>
        <v/>
      </c>
    </row>
    <row r="161" customFormat="false" ht="15" hidden="false" customHeight="true" outlineLevel="0" collapsed="false">
      <c r="A161" s="13" t="n">
        <f aca="false">IF(D160="","",IF(G160&gt;=$P$2,MIN(D160,C160),D160))</f>
        <v>8</v>
      </c>
      <c r="B161" s="13" t="n">
        <f aca="false">IF(A161="","",A161/8)</f>
        <v>1</v>
      </c>
      <c r="C161" s="13" t="n">
        <f aca="false">IF(OR(A161="",B161=""),"",A161+B161)</f>
        <v>9</v>
      </c>
      <c r="D161" s="13" t="n">
        <f aca="false">IF(A161="","",A161+SUMIFS(Registros!$AP:$AP,Registros!$C:$C,H161))</f>
        <v>8</v>
      </c>
      <c r="E161" s="13" t="n">
        <f aca="false">IF(A161="","",ROUND(A161-8*B161,2))</f>
        <v>0</v>
      </c>
      <c r="F161" s="13" t="n">
        <f aca="false">IF(OR(D161="",C161=""),"",D161-C161)</f>
        <v>-1</v>
      </c>
      <c r="G161" s="20" t="n">
        <f aca="false">IF(G160="","",G160+1)</f>
        <v>160</v>
      </c>
      <c r="H161" s="15"/>
      <c r="I161" s="14"/>
      <c r="J161" s="16" t="str">
        <f aca="false">IF(OR(H161="",D161="",C161="",G161&lt;$P$2),"",MAX(0,ROUND(D161-C161,2)))</f>
        <v/>
      </c>
      <c r="K161" s="17"/>
      <c r="L161" s="16" t="str">
        <f aca="false">IF(NOT(ISNUMBER(K161)),"",ROUND(K161-N(M160)-N(J161),2))</f>
        <v/>
      </c>
      <c r="M161" s="16" t="n">
        <f aca="false">IF(ISNUMBER(K161),K161,N(M160))</f>
        <v>0</v>
      </c>
      <c r="N161" s="0" t="str">
        <f aca="true">IF(AND(H161="",K161=""),"",TRIM(IF(AND(H161&lt;&gt;"",NOT(AND(LEN(H161)=10,MID(H161,5,1)="-",MID(H161,8,1)="-"))),"Fecha con formato invalido (usa AAAA-MM-DD). ","")&amp;IF(AND(H161&lt;&gt;"",COUNTIF($H$2:$H$367,H161)&gt;1),"Fecha repetida en otro dia. ","")&amp;IF(AND(H161&lt;&gt;"",H160&lt;&gt;"",H161&lt;=H160),"La fecha no es posterior a la del dia anterior. ","")&amp;IF(AND(H161&lt;&gt;"",ISNUMBER(A161),ISNUMBER(D160),ISNUMBER(C160),ABS(A161-IF(G160&gt;=$P$2,MIN(D160,C160),D160))&gt;0.005),"Bank roll inicial no sigue la regla del dia anterior (alguien sobrescribio la formula). ","")&amp;IF(AND(H161&lt;&gt;"",ISNUMBER(B161),ISNUMBER(A161),ABS(B161-A161/8)&gt;0.00001),"Stake distinto de Bank roll/8. ","")&amp;IF(AND(H161&lt;&gt;"",ISNUMBER(E161),ABS(E161)&gt;0.005),"Residuo distinto de 0. ","")&amp;IF(AND(K161&lt;&gt;"",OR(NOT(ISNUMBER(K161)),N(K161)&lt;0)),"Saldo L2 no numerico o negativo. ","")&amp;IF(AND(H161&lt;&gt;"",H161&lt;TEXT(TODAY(),"yyyy-mm-dd"),G161&gt;=$P$2,K161="",OR(N(J161)&gt;0,N(M160)&gt;0)),"Falta cerrar el Saldo L2 de este dia. ","")&amp;IF(AND(H161&lt;&gt;"",SUMPRODUCT((Registros!$C$2:$C$3000=H161)*ISTEXT(Registros!$AP$2:$AP$3000))&gt;0),"Hay P/L guardado como texto en Registros (no suma). ","")))</f>
        <v/>
      </c>
    </row>
    <row r="162" customFormat="false" ht="15" hidden="false" customHeight="true" outlineLevel="0" collapsed="false">
      <c r="A162" s="13" t="n">
        <f aca="false">IF(D161="","",IF(G161&gt;=$P$2,MIN(D161,C161),D161))</f>
        <v>8</v>
      </c>
      <c r="B162" s="13" t="n">
        <f aca="false">IF(A162="","",A162/8)</f>
        <v>1</v>
      </c>
      <c r="C162" s="13" t="n">
        <f aca="false">IF(OR(A162="",B162=""),"",A162+B162)</f>
        <v>9</v>
      </c>
      <c r="D162" s="13" t="n">
        <f aca="false">IF(A162="","",A162+SUMIFS(Registros!$AP:$AP,Registros!$C:$C,H162))</f>
        <v>8</v>
      </c>
      <c r="E162" s="13" t="n">
        <f aca="false">IF(A162="","",ROUND(A162-8*B162,2))</f>
        <v>0</v>
      </c>
      <c r="F162" s="13" t="n">
        <f aca="false">IF(OR(D162="",C162=""),"",D162-C162)</f>
        <v>-1</v>
      </c>
      <c r="G162" s="20" t="n">
        <f aca="false">IF(G161="","",G161+1)</f>
        <v>161</v>
      </c>
      <c r="H162" s="15"/>
      <c r="I162" s="14"/>
      <c r="J162" s="16" t="str">
        <f aca="false">IF(OR(H162="",D162="",C162="",G162&lt;$P$2),"",MAX(0,ROUND(D162-C162,2)))</f>
        <v/>
      </c>
      <c r="K162" s="17"/>
      <c r="L162" s="16" t="str">
        <f aca="false">IF(NOT(ISNUMBER(K162)),"",ROUND(K162-N(M161)-N(J162),2))</f>
        <v/>
      </c>
      <c r="M162" s="16" t="n">
        <f aca="false">IF(ISNUMBER(K162),K162,N(M161))</f>
        <v>0</v>
      </c>
      <c r="N162" s="0" t="str">
        <f aca="true">IF(AND(H162="",K162=""),"",TRIM(IF(AND(H162&lt;&gt;"",NOT(AND(LEN(H162)=10,MID(H162,5,1)="-",MID(H162,8,1)="-"))),"Fecha con formato invalido (usa AAAA-MM-DD). ","")&amp;IF(AND(H162&lt;&gt;"",COUNTIF($H$2:$H$367,H162)&gt;1),"Fecha repetida en otro dia. ","")&amp;IF(AND(H162&lt;&gt;"",H161&lt;&gt;"",H162&lt;=H161),"La fecha no es posterior a la del dia anterior. ","")&amp;IF(AND(H162&lt;&gt;"",ISNUMBER(A162),ISNUMBER(D161),ISNUMBER(C161),ABS(A162-IF(G161&gt;=$P$2,MIN(D161,C161),D161))&gt;0.005),"Bank roll inicial no sigue la regla del dia anterior (alguien sobrescribio la formula). ","")&amp;IF(AND(H162&lt;&gt;"",ISNUMBER(B162),ISNUMBER(A162),ABS(B162-A162/8)&gt;0.00001),"Stake distinto de Bank roll/8. ","")&amp;IF(AND(H162&lt;&gt;"",ISNUMBER(E162),ABS(E162)&gt;0.005),"Residuo distinto de 0. ","")&amp;IF(AND(K162&lt;&gt;"",OR(NOT(ISNUMBER(K162)),N(K162)&lt;0)),"Saldo L2 no numerico o negativo. ","")&amp;IF(AND(H162&lt;&gt;"",H162&lt;TEXT(TODAY(),"yyyy-mm-dd"),G162&gt;=$P$2,K162="",OR(N(J162)&gt;0,N(M161)&gt;0)),"Falta cerrar el Saldo L2 de este dia. ","")&amp;IF(AND(H162&lt;&gt;"",SUMPRODUCT((Registros!$C$2:$C$3000=H162)*ISTEXT(Registros!$AP$2:$AP$3000))&gt;0),"Hay P/L guardado como texto en Registros (no suma). ","")))</f>
        <v/>
      </c>
    </row>
    <row r="163" customFormat="false" ht="15" hidden="false" customHeight="true" outlineLevel="0" collapsed="false">
      <c r="A163" s="13" t="n">
        <f aca="false">IF(D162="","",IF(G162&gt;=$P$2,MIN(D162,C162),D162))</f>
        <v>8</v>
      </c>
      <c r="B163" s="13" t="n">
        <f aca="false">IF(A163="","",A163/8)</f>
        <v>1</v>
      </c>
      <c r="C163" s="13" t="n">
        <f aca="false">IF(OR(A163="",B163=""),"",A163+B163)</f>
        <v>9</v>
      </c>
      <c r="D163" s="13" t="n">
        <f aca="false">IF(A163="","",A163+SUMIFS(Registros!$AP:$AP,Registros!$C:$C,H163))</f>
        <v>8</v>
      </c>
      <c r="E163" s="13" t="n">
        <f aca="false">IF(A163="","",ROUND(A163-8*B163,2))</f>
        <v>0</v>
      </c>
      <c r="F163" s="13" t="n">
        <f aca="false">IF(OR(D163="",C163=""),"",D163-C163)</f>
        <v>-1</v>
      </c>
      <c r="G163" s="20" t="n">
        <f aca="false">IF(G162="","",G162+1)</f>
        <v>162</v>
      </c>
      <c r="H163" s="15"/>
      <c r="I163" s="14"/>
      <c r="J163" s="16" t="str">
        <f aca="false">IF(OR(H163="",D163="",C163="",G163&lt;$P$2),"",MAX(0,ROUND(D163-C163,2)))</f>
        <v/>
      </c>
      <c r="K163" s="17"/>
      <c r="L163" s="16" t="str">
        <f aca="false">IF(NOT(ISNUMBER(K163)),"",ROUND(K163-N(M162)-N(J163),2))</f>
        <v/>
      </c>
      <c r="M163" s="16" t="n">
        <f aca="false">IF(ISNUMBER(K163),K163,N(M162))</f>
        <v>0</v>
      </c>
      <c r="N163" s="0" t="str">
        <f aca="true">IF(AND(H163="",K163=""),"",TRIM(IF(AND(H163&lt;&gt;"",NOT(AND(LEN(H163)=10,MID(H163,5,1)="-",MID(H163,8,1)="-"))),"Fecha con formato invalido (usa AAAA-MM-DD). ","")&amp;IF(AND(H163&lt;&gt;"",COUNTIF($H$2:$H$367,H163)&gt;1),"Fecha repetida en otro dia. ","")&amp;IF(AND(H163&lt;&gt;"",H162&lt;&gt;"",H163&lt;=H162),"La fecha no es posterior a la del dia anterior. ","")&amp;IF(AND(H163&lt;&gt;"",ISNUMBER(A163),ISNUMBER(D162),ISNUMBER(C162),ABS(A163-IF(G162&gt;=$P$2,MIN(D162,C162),D162))&gt;0.005),"Bank roll inicial no sigue la regla del dia anterior (alguien sobrescribio la formula). ","")&amp;IF(AND(H163&lt;&gt;"",ISNUMBER(B163),ISNUMBER(A163),ABS(B163-A163/8)&gt;0.00001),"Stake distinto de Bank roll/8. ","")&amp;IF(AND(H163&lt;&gt;"",ISNUMBER(E163),ABS(E163)&gt;0.005),"Residuo distinto de 0. ","")&amp;IF(AND(K163&lt;&gt;"",OR(NOT(ISNUMBER(K163)),N(K163)&lt;0)),"Saldo L2 no numerico o negativo. ","")&amp;IF(AND(H163&lt;&gt;"",H163&lt;TEXT(TODAY(),"yyyy-mm-dd"),G163&gt;=$P$2,K163="",OR(N(J163)&gt;0,N(M162)&gt;0)),"Falta cerrar el Saldo L2 de este dia. ","")&amp;IF(AND(H163&lt;&gt;"",SUMPRODUCT((Registros!$C$2:$C$3000=H163)*ISTEXT(Registros!$AP$2:$AP$3000))&gt;0),"Hay P/L guardado como texto en Registros (no suma). ","")))</f>
        <v/>
      </c>
    </row>
    <row r="164" customFormat="false" ht="15" hidden="false" customHeight="true" outlineLevel="0" collapsed="false">
      <c r="A164" s="13" t="n">
        <f aca="false">IF(D163="","",IF(G163&gt;=$P$2,MIN(D163,C163),D163))</f>
        <v>8</v>
      </c>
      <c r="B164" s="13" t="n">
        <f aca="false">IF(A164="","",A164/8)</f>
        <v>1</v>
      </c>
      <c r="C164" s="13" t="n">
        <f aca="false">IF(OR(A164="",B164=""),"",A164+B164)</f>
        <v>9</v>
      </c>
      <c r="D164" s="13" t="n">
        <f aca="false">IF(A164="","",A164+SUMIFS(Registros!$AP:$AP,Registros!$C:$C,H164))</f>
        <v>8</v>
      </c>
      <c r="E164" s="13" t="n">
        <f aca="false">IF(A164="","",ROUND(A164-8*B164,2))</f>
        <v>0</v>
      </c>
      <c r="F164" s="13" t="n">
        <f aca="false">IF(OR(D164="",C164=""),"",D164-C164)</f>
        <v>-1</v>
      </c>
      <c r="G164" s="20" t="n">
        <f aca="false">IF(G163="","",G163+1)</f>
        <v>163</v>
      </c>
      <c r="H164" s="15"/>
      <c r="I164" s="14"/>
      <c r="J164" s="16" t="str">
        <f aca="false">IF(OR(H164="",D164="",C164="",G164&lt;$P$2),"",MAX(0,ROUND(D164-C164,2)))</f>
        <v/>
      </c>
      <c r="K164" s="17"/>
      <c r="L164" s="16" t="str">
        <f aca="false">IF(NOT(ISNUMBER(K164)),"",ROUND(K164-N(M163)-N(J164),2))</f>
        <v/>
      </c>
      <c r="M164" s="16" t="n">
        <f aca="false">IF(ISNUMBER(K164),K164,N(M163))</f>
        <v>0</v>
      </c>
      <c r="N164" s="0" t="str">
        <f aca="true">IF(AND(H164="",K164=""),"",TRIM(IF(AND(H164&lt;&gt;"",NOT(AND(LEN(H164)=10,MID(H164,5,1)="-",MID(H164,8,1)="-"))),"Fecha con formato invalido (usa AAAA-MM-DD). ","")&amp;IF(AND(H164&lt;&gt;"",COUNTIF($H$2:$H$367,H164)&gt;1),"Fecha repetida en otro dia. ","")&amp;IF(AND(H164&lt;&gt;"",H163&lt;&gt;"",H164&lt;=H163),"La fecha no es posterior a la del dia anterior. ","")&amp;IF(AND(H164&lt;&gt;"",ISNUMBER(A164),ISNUMBER(D163),ISNUMBER(C163),ABS(A164-IF(G163&gt;=$P$2,MIN(D163,C163),D163))&gt;0.005),"Bank roll inicial no sigue la regla del dia anterior (alguien sobrescribio la formula). ","")&amp;IF(AND(H164&lt;&gt;"",ISNUMBER(B164),ISNUMBER(A164),ABS(B164-A164/8)&gt;0.00001),"Stake distinto de Bank roll/8. ","")&amp;IF(AND(H164&lt;&gt;"",ISNUMBER(E164),ABS(E164)&gt;0.005),"Residuo distinto de 0. ","")&amp;IF(AND(K164&lt;&gt;"",OR(NOT(ISNUMBER(K164)),N(K164)&lt;0)),"Saldo L2 no numerico o negativo. ","")&amp;IF(AND(H164&lt;&gt;"",H164&lt;TEXT(TODAY(),"yyyy-mm-dd"),G164&gt;=$P$2,K164="",OR(N(J164)&gt;0,N(M163)&gt;0)),"Falta cerrar el Saldo L2 de este dia. ","")&amp;IF(AND(H164&lt;&gt;"",SUMPRODUCT((Registros!$C$2:$C$3000=H164)*ISTEXT(Registros!$AP$2:$AP$3000))&gt;0),"Hay P/L guardado como texto en Registros (no suma). ","")))</f>
        <v/>
      </c>
    </row>
    <row r="165" customFormat="false" ht="15" hidden="false" customHeight="true" outlineLevel="0" collapsed="false">
      <c r="A165" s="13" t="n">
        <f aca="false">IF(D164="","",IF(G164&gt;=$P$2,MIN(D164,C164),D164))</f>
        <v>8</v>
      </c>
      <c r="B165" s="13" t="n">
        <f aca="false">IF(A165="","",A165/8)</f>
        <v>1</v>
      </c>
      <c r="C165" s="13" t="n">
        <f aca="false">IF(OR(A165="",B165=""),"",A165+B165)</f>
        <v>9</v>
      </c>
      <c r="D165" s="13" t="n">
        <f aca="false">IF(A165="","",A165+SUMIFS(Registros!$AP:$AP,Registros!$C:$C,H165))</f>
        <v>8</v>
      </c>
      <c r="E165" s="13" t="n">
        <f aca="false">IF(A165="","",ROUND(A165-8*B165,2))</f>
        <v>0</v>
      </c>
      <c r="F165" s="13" t="n">
        <f aca="false">IF(OR(D165="",C165=""),"",D165-C165)</f>
        <v>-1</v>
      </c>
      <c r="G165" s="20" t="n">
        <f aca="false">IF(G164="","",G164+1)</f>
        <v>164</v>
      </c>
      <c r="H165" s="15"/>
      <c r="I165" s="14"/>
      <c r="J165" s="16" t="str">
        <f aca="false">IF(OR(H165="",D165="",C165="",G165&lt;$P$2),"",MAX(0,ROUND(D165-C165,2)))</f>
        <v/>
      </c>
      <c r="K165" s="17"/>
      <c r="L165" s="16" t="str">
        <f aca="false">IF(NOT(ISNUMBER(K165)),"",ROUND(K165-N(M164)-N(J165),2))</f>
        <v/>
      </c>
      <c r="M165" s="16" t="n">
        <f aca="false">IF(ISNUMBER(K165),K165,N(M164))</f>
        <v>0</v>
      </c>
      <c r="N165" s="0" t="str">
        <f aca="true">IF(AND(H165="",K165=""),"",TRIM(IF(AND(H165&lt;&gt;"",NOT(AND(LEN(H165)=10,MID(H165,5,1)="-",MID(H165,8,1)="-"))),"Fecha con formato invalido (usa AAAA-MM-DD). ","")&amp;IF(AND(H165&lt;&gt;"",COUNTIF($H$2:$H$367,H165)&gt;1),"Fecha repetida en otro dia. ","")&amp;IF(AND(H165&lt;&gt;"",H164&lt;&gt;"",H165&lt;=H164),"La fecha no es posterior a la del dia anterior. ","")&amp;IF(AND(H165&lt;&gt;"",ISNUMBER(A165),ISNUMBER(D164),ISNUMBER(C164),ABS(A165-IF(G164&gt;=$P$2,MIN(D164,C164),D164))&gt;0.005),"Bank roll inicial no sigue la regla del dia anterior (alguien sobrescribio la formula). ","")&amp;IF(AND(H165&lt;&gt;"",ISNUMBER(B165),ISNUMBER(A165),ABS(B165-A165/8)&gt;0.00001),"Stake distinto de Bank roll/8. ","")&amp;IF(AND(H165&lt;&gt;"",ISNUMBER(E165),ABS(E165)&gt;0.005),"Residuo distinto de 0. ","")&amp;IF(AND(K165&lt;&gt;"",OR(NOT(ISNUMBER(K165)),N(K165)&lt;0)),"Saldo L2 no numerico o negativo. ","")&amp;IF(AND(H165&lt;&gt;"",H165&lt;TEXT(TODAY(),"yyyy-mm-dd"),G165&gt;=$P$2,K165="",OR(N(J165)&gt;0,N(M164)&gt;0)),"Falta cerrar el Saldo L2 de este dia. ","")&amp;IF(AND(H165&lt;&gt;"",SUMPRODUCT((Registros!$C$2:$C$3000=H165)*ISTEXT(Registros!$AP$2:$AP$3000))&gt;0),"Hay P/L guardado como texto en Registros (no suma). ","")))</f>
        <v/>
      </c>
    </row>
    <row r="166" customFormat="false" ht="15" hidden="false" customHeight="true" outlineLevel="0" collapsed="false">
      <c r="A166" s="13" t="n">
        <f aca="false">IF(D165="","",IF(G165&gt;=$P$2,MIN(D165,C165),D165))</f>
        <v>8</v>
      </c>
      <c r="B166" s="13" t="n">
        <f aca="false">IF(A166="","",A166/8)</f>
        <v>1</v>
      </c>
      <c r="C166" s="13" t="n">
        <f aca="false">IF(OR(A166="",B166=""),"",A166+B166)</f>
        <v>9</v>
      </c>
      <c r="D166" s="13" t="n">
        <f aca="false">IF(A166="","",A166+SUMIFS(Registros!$AP:$AP,Registros!$C:$C,H166))</f>
        <v>8</v>
      </c>
      <c r="E166" s="13" t="n">
        <f aca="false">IF(A166="","",ROUND(A166-8*B166,2))</f>
        <v>0</v>
      </c>
      <c r="F166" s="13" t="n">
        <f aca="false">IF(OR(D166="",C166=""),"",D166-C166)</f>
        <v>-1</v>
      </c>
      <c r="G166" s="20" t="n">
        <f aca="false">IF(G165="","",G165+1)</f>
        <v>165</v>
      </c>
      <c r="H166" s="15"/>
      <c r="I166" s="14"/>
      <c r="J166" s="16" t="str">
        <f aca="false">IF(OR(H166="",D166="",C166="",G166&lt;$P$2),"",MAX(0,ROUND(D166-C166,2)))</f>
        <v/>
      </c>
      <c r="K166" s="17"/>
      <c r="L166" s="16" t="str">
        <f aca="false">IF(NOT(ISNUMBER(K166)),"",ROUND(K166-N(M165)-N(J166),2))</f>
        <v/>
      </c>
      <c r="M166" s="16" t="n">
        <f aca="false">IF(ISNUMBER(K166),K166,N(M165))</f>
        <v>0</v>
      </c>
      <c r="N166" s="0" t="str">
        <f aca="true">IF(AND(H166="",K166=""),"",TRIM(IF(AND(H166&lt;&gt;"",NOT(AND(LEN(H166)=10,MID(H166,5,1)="-",MID(H166,8,1)="-"))),"Fecha con formato invalido (usa AAAA-MM-DD). ","")&amp;IF(AND(H166&lt;&gt;"",COUNTIF($H$2:$H$367,H166)&gt;1),"Fecha repetida en otro dia. ","")&amp;IF(AND(H166&lt;&gt;"",H165&lt;&gt;"",H166&lt;=H165),"La fecha no es posterior a la del dia anterior. ","")&amp;IF(AND(H166&lt;&gt;"",ISNUMBER(A166),ISNUMBER(D165),ISNUMBER(C165),ABS(A166-IF(G165&gt;=$P$2,MIN(D165,C165),D165))&gt;0.005),"Bank roll inicial no sigue la regla del dia anterior (alguien sobrescribio la formula). ","")&amp;IF(AND(H166&lt;&gt;"",ISNUMBER(B166),ISNUMBER(A166),ABS(B166-A166/8)&gt;0.00001),"Stake distinto de Bank roll/8. ","")&amp;IF(AND(H166&lt;&gt;"",ISNUMBER(E166),ABS(E166)&gt;0.005),"Residuo distinto de 0. ","")&amp;IF(AND(K166&lt;&gt;"",OR(NOT(ISNUMBER(K166)),N(K166)&lt;0)),"Saldo L2 no numerico o negativo. ","")&amp;IF(AND(H166&lt;&gt;"",H166&lt;TEXT(TODAY(),"yyyy-mm-dd"),G166&gt;=$P$2,K166="",OR(N(J166)&gt;0,N(M165)&gt;0)),"Falta cerrar el Saldo L2 de este dia. ","")&amp;IF(AND(H166&lt;&gt;"",SUMPRODUCT((Registros!$C$2:$C$3000=H166)*ISTEXT(Registros!$AP$2:$AP$3000))&gt;0),"Hay P/L guardado como texto en Registros (no suma). ","")))</f>
        <v/>
      </c>
    </row>
    <row r="167" customFormat="false" ht="15" hidden="false" customHeight="true" outlineLevel="0" collapsed="false">
      <c r="A167" s="13" t="n">
        <f aca="false">IF(D166="","",IF(G166&gt;=$P$2,MIN(D166,C166),D166))</f>
        <v>8</v>
      </c>
      <c r="B167" s="13" t="n">
        <f aca="false">IF(A167="","",A167/8)</f>
        <v>1</v>
      </c>
      <c r="C167" s="13" t="n">
        <f aca="false">IF(OR(A167="",B167=""),"",A167+B167)</f>
        <v>9</v>
      </c>
      <c r="D167" s="13" t="n">
        <f aca="false">IF(A167="","",A167+SUMIFS(Registros!$AP:$AP,Registros!$C:$C,H167))</f>
        <v>8</v>
      </c>
      <c r="E167" s="13" t="n">
        <f aca="false">IF(A167="","",ROUND(A167-8*B167,2))</f>
        <v>0</v>
      </c>
      <c r="F167" s="13" t="n">
        <f aca="false">IF(OR(D167="",C167=""),"",D167-C167)</f>
        <v>-1</v>
      </c>
      <c r="G167" s="20" t="n">
        <f aca="false">IF(G166="","",G166+1)</f>
        <v>166</v>
      </c>
      <c r="H167" s="15"/>
      <c r="I167" s="14"/>
      <c r="J167" s="16" t="str">
        <f aca="false">IF(OR(H167="",D167="",C167="",G167&lt;$P$2),"",MAX(0,ROUND(D167-C167,2)))</f>
        <v/>
      </c>
      <c r="K167" s="17"/>
      <c r="L167" s="16" t="str">
        <f aca="false">IF(NOT(ISNUMBER(K167)),"",ROUND(K167-N(M166)-N(J167),2))</f>
        <v/>
      </c>
      <c r="M167" s="16" t="n">
        <f aca="false">IF(ISNUMBER(K167),K167,N(M166))</f>
        <v>0</v>
      </c>
      <c r="N167" s="0" t="str">
        <f aca="true">IF(AND(H167="",K167=""),"",TRIM(IF(AND(H167&lt;&gt;"",NOT(AND(LEN(H167)=10,MID(H167,5,1)="-",MID(H167,8,1)="-"))),"Fecha con formato invalido (usa AAAA-MM-DD). ","")&amp;IF(AND(H167&lt;&gt;"",COUNTIF($H$2:$H$367,H167)&gt;1),"Fecha repetida en otro dia. ","")&amp;IF(AND(H167&lt;&gt;"",H166&lt;&gt;"",H167&lt;=H166),"La fecha no es posterior a la del dia anterior. ","")&amp;IF(AND(H167&lt;&gt;"",ISNUMBER(A167),ISNUMBER(D166),ISNUMBER(C166),ABS(A167-IF(G166&gt;=$P$2,MIN(D166,C166),D166))&gt;0.005),"Bank roll inicial no sigue la regla del dia anterior (alguien sobrescribio la formula). ","")&amp;IF(AND(H167&lt;&gt;"",ISNUMBER(B167),ISNUMBER(A167),ABS(B167-A167/8)&gt;0.00001),"Stake distinto de Bank roll/8. ","")&amp;IF(AND(H167&lt;&gt;"",ISNUMBER(E167),ABS(E167)&gt;0.005),"Residuo distinto de 0. ","")&amp;IF(AND(K167&lt;&gt;"",OR(NOT(ISNUMBER(K167)),N(K167)&lt;0)),"Saldo L2 no numerico o negativo. ","")&amp;IF(AND(H167&lt;&gt;"",H167&lt;TEXT(TODAY(),"yyyy-mm-dd"),G167&gt;=$P$2,K167="",OR(N(J167)&gt;0,N(M166)&gt;0)),"Falta cerrar el Saldo L2 de este dia. ","")&amp;IF(AND(H167&lt;&gt;"",SUMPRODUCT((Registros!$C$2:$C$3000=H167)*ISTEXT(Registros!$AP$2:$AP$3000))&gt;0),"Hay P/L guardado como texto en Registros (no suma). ","")))</f>
        <v/>
      </c>
    </row>
    <row r="168" customFormat="false" ht="15" hidden="false" customHeight="true" outlineLevel="0" collapsed="false">
      <c r="A168" s="13" t="n">
        <f aca="false">IF(D167="","",IF(G167&gt;=$P$2,MIN(D167,C167),D167))</f>
        <v>8</v>
      </c>
      <c r="B168" s="13" t="n">
        <f aca="false">IF(A168="","",A168/8)</f>
        <v>1</v>
      </c>
      <c r="C168" s="13" t="n">
        <f aca="false">IF(OR(A168="",B168=""),"",A168+B168)</f>
        <v>9</v>
      </c>
      <c r="D168" s="13" t="n">
        <f aca="false">IF(A168="","",A168+SUMIFS(Registros!$AP:$AP,Registros!$C:$C,H168))</f>
        <v>8</v>
      </c>
      <c r="E168" s="13" t="n">
        <f aca="false">IF(A168="","",ROUND(A168-8*B168,2))</f>
        <v>0</v>
      </c>
      <c r="F168" s="13" t="n">
        <f aca="false">IF(OR(D168="",C168=""),"",D168-C168)</f>
        <v>-1</v>
      </c>
      <c r="G168" s="20" t="n">
        <f aca="false">IF(G167="","",G167+1)</f>
        <v>167</v>
      </c>
      <c r="H168" s="15"/>
      <c r="I168" s="14"/>
      <c r="J168" s="16" t="str">
        <f aca="false">IF(OR(H168="",D168="",C168="",G168&lt;$P$2),"",MAX(0,ROUND(D168-C168,2)))</f>
        <v/>
      </c>
      <c r="K168" s="17"/>
      <c r="L168" s="16" t="str">
        <f aca="false">IF(NOT(ISNUMBER(K168)),"",ROUND(K168-N(M167)-N(J168),2))</f>
        <v/>
      </c>
      <c r="M168" s="16" t="n">
        <f aca="false">IF(ISNUMBER(K168),K168,N(M167))</f>
        <v>0</v>
      </c>
      <c r="N168" s="0" t="str">
        <f aca="true">IF(AND(H168="",K168=""),"",TRIM(IF(AND(H168&lt;&gt;"",NOT(AND(LEN(H168)=10,MID(H168,5,1)="-",MID(H168,8,1)="-"))),"Fecha con formato invalido (usa AAAA-MM-DD). ","")&amp;IF(AND(H168&lt;&gt;"",COUNTIF($H$2:$H$367,H168)&gt;1),"Fecha repetida en otro dia. ","")&amp;IF(AND(H168&lt;&gt;"",H167&lt;&gt;"",H168&lt;=H167),"La fecha no es posterior a la del dia anterior. ","")&amp;IF(AND(H168&lt;&gt;"",ISNUMBER(A168),ISNUMBER(D167),ISNUMBER(C167),ABS(A168-IF(G167&gt;=$P$2,MIN(D167,C167),D167))&gt;0.005),"Bank roll inicial no sigue la regla del dia anterior (alguien sobrescribio la formula). ","")&amp;IF(AND(H168&lt;&gt;"",ISNUMBER(B168),ISNUMBER(A168),ABS(B168-A168/8)&gt;0.00001),"Stake distinto de Bank roll/8. ","")&amp;IF(AND(H168&lt;&gt;"",ISNUMBER(E168),ABS(E168)&gt;0.005),"Residuo distinto de 0. ","")&amp;IF(AND(K168&lt;&gt;"",OR(NOT(ISNUMBER(K168)),N(K168)&lt;0)),"Saldo L2 no numerico o negativo. ","")&amp;IF(AND(H168&lt;&gt;"",H168&lt;TEXT(TODAY(),"yyyy-mm-dd"),G168&gt;=$P$2,K168="",OR(N(J168)&gt;0,N(M167)&gt;0)),"Falta cerrar el Saldo L2 de este dia. ","")&amp;IF(AND(H168&lt;&gt;"",SUMPRODUCT((Registros!$C$2:$C$3000=H168)*ISTEXT(Registros!$AP$2:$AP$3000))&gt;0),"Hay P/L guardado como texto en Registros (no suma). ","")))</f>
        <v/>
      </c>
    </row>
    <row r="169" customFormat="false" ht="15" hidden="false" customHeight="true" outlineLevel="0" collapsed="false">
      <c r="A169" s="13" t="n">
        <f aca="false">IF(D168="","",IF(G168&gt;=$P$2,MIN(D168,C168),D168))</f>
        <v>8</v>
      </c>
      <c r="B169" s="13" t="n">
        <f aca="false">IF(A169="","",A169/8)</f>
        <v>1</v>
      </c>
      <c r="C169" s="13" t="n">
        <f aca="false">IF(OR(A169="",B169=""),"",A169+B169)</f>
        <v>9</v>
      </c>
      <c r="D169" s="13" t="n">
        <f aca="false">IF(A169="","",A169+SUMIFS(Registros!$AP:$AP,Registros!$C:$C,H169))</f>
        <v>8</v>
      </c>
      <c r="E169" s="13" t="n">
        <f aca="false">IF(A169="","",ROUND(A169-8*B169,2))</f>
        <v>0</v>
      </c>
      <c r="F169" s="13" t="n">
        <f aca="false">IF(OR(D169="",C169=""),"",D169-C169)</f>
        <v>-1</v>
      </c>
      <c r="G169" s="20" t="n">
        <f aca="false">IF(G168="","",G168+1)</f>
        <v>168</v>
      </c>
      <c r="H169" s="15"/>
      <c r="I169" s="14"/>
      <c r="J169" s="16" t="str">
        <f aca="false">IF(OR(H169="",D169="",C169="",G169&lt;$P$2),"",MAX(0,ROUND(D169-C169,2)))</f>
        <v/>
      </c>
      <c r="K169" s="17"/>
      <c r="L169" s="16" t="str">
        <f aca="false">IF(NOT(ISNUMBER(K169)),"",ROUND(K169-N(M168)-N(J169),2))</f>
        <v/>
      </c>
      <c r="M169" s="16" t="n">
        <f aca="false">IF(ISNUMBER(K169),K169,N(M168))</f>
        <v>0</v>
      </c>
      <c r="N169" s="0" t="str">
        <f aca="true">IF(AND(H169="",K169=""),"",TRIM(IF(AND(H169&lt;&gt;"",NOT(AND(LEN(H169)=10,MID(H169,5,1)="-",MID(H169,8,1)="-"))),"Fecha con formato invalido (usa AAAA-MM-DD). ","")&amp;IF(AND(H169&lt;&gt;"",COUNTIF($H$2:$H$367,H169)&gt;1),"Fecha repetida en otro dia. ","")&amp;IF(AND(H169&lt;&gt;"",H168&lt;&gt;"",H169&lt;=H168),"La fecha no es posterior a la del dia anterior. ","")&amp;IF(AND(H169&lt;&gt;"",ISNUMBER(A169),ISNUMBER(D168),ISNUMBER(C168),ABS(A169-IF(G168&gt;=$P$2,MIN(D168,C168),D168))&gt;0.005),"Bank roll inicial no sigue la regla del dia anterior (alguien sobrescribio la formula). ","")&amp;IF(AND(H169&lt;&gt;"",ISNUMBER(B169),ISNUMBER(A169),ABS(B169-A169/8)&gt;0.00001),"Stake distinto de Bank roll/8. ","")&amp;IF(AND(H169&lt;&gt;"",ISNUMBER(E169),ABS(E169)&gt;0.005),"Residuo distinto de 0. ","")&amp;IF(AND(K169&lt;&gt;"",OR(NOT(ISNUMBER(K169)),N(K169)&lt;0)),"Saldo L2 no numerico o negativo. ","")&amp;IF(AND(H169&lt;&gt;"",H169&lt;TEXT(TODAY(),"yyyy-mm-dd"),G169&gt;=$P$2,K169="",OR(N(J169)&gt;0,N(M168)&gt;0)),"Falta cerrar el Saldo L2 de este dia. ","")&amp;IF(AND(H169&lt;&gt;"",SUMPRODUCT((Registros!$C$2:$C$3000=H169)*ISTEXT(Registros!$AP$2:$AP$3000))&gt;0),"Hay P/L guardado como texto en Registros (no suma). ","")))</f>
        <v/>
      </c>
    </row>
    <row r="170" customFormat="false" ht="15" hidden="false" customHeight="true" outlineLevel="0" collapsed="false">
      <c r="A170" s="13" t="n">
        <f aca="false">IF(D169="","",IF(G169&gt;=$P$2,MIN(D169,C169),D169))</f>
        <v>8</v>
      </c>
      <c r="B170" s="13" t="n">
        <f aca="false">IF(A170="","",A170/8)</f>
        <v>1</v>
      </c>
      <c r="C170" s="13" t="n">
        <f aca="false">IF(OR(A170="",B170=""),"",A170+B170)</f>
        <v>9</v>
      </c>
      <c r="D170" s="13" t="n">
        <f aca="false">IF(A170="","",A170+SUMIFS(Registros!$AP:$AP,Registros!$C:$C,H170))</f>
        <v>8</v>
      </c>
      <c r="E170" s="13" t="n">
        <f aca="false">IF(A170="","",ROUND(A170-8*B170,2))</f>
        <v>0</v>
      </c>
      <c r="F170" s="13" t="n">
        <f aca="false">IF(OR(D170="",C170=""),"",D170-C170)</f>
        <v>-1</v>
      </c>
      <c r="G170" s="20" t="n">
        <f aca="false">IF(G169="","",G169+1)</f>
        <v>169</v>
      </c>
      <c r="H170" s="15"/>
      <c r="I170" s="14"/>
      <c r="J170" s="16" t="str">
        <f aca="false">IF(OR(H170="",D170="",C170="",G170&lt;$P$2),"",MAX(0,ROUND(D170-C170,2)))</f>
        <v/>
      </c>
      <c r="K170" s="17"/>
      <c r="L170" s="16" t="str">
        <f aca="false">IF(NOT(ISNUMBER(K170)),"",ROUND(K170-N(M169)-N(J170),2))</f>
        <v/>
      </c>
      <c r="M170" s="16" t="n">
        <f aca="false">IF(ISNUMBER(K170),K170,N(M169))</f>
        <v>0</v>
      </c>
      <c r="N170" s="0" t="str">
        <f aca="true">IF(AND(H170="",K170=""),"",TRIM(IF(AND(H170&lt;&gt;"",NOT(AND(LEN(H170)=10,MID(H170,5,1)="-",MID(H170,8,1)="-"))),"Fecha con formato invalido (usa AAAA-MM-DD). ","")&amp;IF(AND(H170&lt;&gt;"",COUNTIF($H$2:$H$367,H170)&gt;1),"Fecha repetida en otro dia. ","")&amp;IF(AND(H170&lt;&gt;"",H169&lt;&gt;"",H170&lt;=H169),"La fecha no es posterior a la del dia anterior. ","")&amp;IF(AND(H170&lt;&gt;"",ISNUMBER(A170),ISNUMBER(D169),ISNUMBER(C169),ABS(A170-IF(G169&gt;=$P$2,MIN(D169,C169),D169))&gt;0.005),"Bank roll inicial no sigue la regla del dia anterior (alguien sobrescribio la formula). ","")&amp;IF(AND(H170&lt;&gt;"",ISNUMBER(B170),ISNUMBER(A170),ABS(B170-A170/8)&gt;0.00001),"Stake distinto de Bank roll/8. ","")&amp;IF(AND(H170&lt;&gt;"",ISNUMBER(E170),ABS(E170)&gt;0.005),"Residuo distinto de 0. ","")&amp;IF(AND(K170&lt;&gt;"",OR(NOT(ISNUMBER(K170)),N(K170)&lt;0)),"Saldo L2 no numerico o negativo. ","")&amp;IF(AND(H170&lt;&gt;"",H170&lt;TEXT(TODAY(),"yyyy-mm-dd"),G170&gt;=$P$2,K170="",OR(N(J170)&gt;0,N(M169)&gt;0)),"Falta cerrar el Saldo L2 de este dia. ","")&amp;IF(AND(H170&lt;&gt;"",SUMPRODUCT((Registros!$C$2:$C$3000=H170)*ISTEXT(Registros!$AP$2:$AP$3000))&gt;0),"Hay P/L guardado como texto en Registros (no suma). ","")))</f>
        <v/>
      </c>
    </row>
    <row r="171" customFormat="false" ht="15" hidden="false" customHeight="true" outlineLevel="0" collapsed="false">
      <c r="A171" s="13" t="n">
        <f aca="false">IF(D170="","",IF(G170&gt;=$P$2,MIN(D170,C170),D170))</f>
        <v>8</v>
      </c>
      <c r="B171" s="13" t="n">
        <f aca="false">IF(A171="","",A171/8)</f>
        <v>1</v>
      </c>
      <c r="C171" s="13" t="n">
        <f aca="false">IF(OR(A171="",B171=""),"",A171+B171)</f>
        <v>9</v>
      </c>
      <c r="D171" s="13" t="n">
        <f aca="false">IF(A171="","",A171+SUMIFS(Registros!$AP:$AP,Registros!$C:$C,H171))</f>
        <v>8</v>
      </c>
      <c r="E171" s="13" t="n">
        <f aca="false">IF(A171="","",ROUND(A171-8*B171,2))</f>
        <v>0</v>
      </c>
      <c r="F171" s="13" t="n">
        <f aca="false">IF(OR(D171="",C171=""),"",D171-C171)</f>
        <v>-1</v>
      </c>
      <c r="G171" s="20" t="n">
        <f aca="false">IF(G170="","",G170+1)</f>
        <v>170</v>
      </c>
      <c r="H171" s="15"/>
      <c r="I171" s="14"/>
      <c r="J171" s="16" t="str">
        <f aca="false">IF(OR(H171="",D171="",C171="",G171&lt;$P$2),"",MAX(0,ROUND(D171-C171,2)))</f>
        <v/>
      </c>
      <c r="K171" s="17"/>
      <c r="L171" s="16" t="str">
        <f aca="false">IF(NOT(ISNUMBER(K171)),"",ROUND(K171-N(M170)-N(J171),2))</f>
        <v/>
      </c>
      <c r="M171" s="16" t="n">
        <f aca="false">IF(ISNUMBER(K171),K171,N(M170))</f>
        <v>0</v>
      </c>
      <c r="N171" s="0" t="str">
        <f aca="true">IF(AND(H171="",K171=""),"",TRIM(IF(AND(H171&lt;&gt;"",NOT(AND(LEN(H171)=10,MID(H171,5,1)="-",MID(H171,8,1)="-"))),"Fecha con formato invalido (usa AAAA-MM-DD). ","")&amp;IF(AND(H171&lt;&gt;"",COUNTIF($H$2:$H$367,H171)&gt;1),"Fecha repetida en otro dia. ","")&amp;IF(AND(H171&lt;&gt;"",H170&lt;&gt;"",H171&lt;=H170),"La fecha no es posterior a la del dia anterior. ","")&amp;IF(AND(H171&lt;&gt;"",ISNUMBER(A171),ISNUMBER(D170),ISNUMBER(C170),ABS(A171-IF(G170&gt;=$P$2,MIN(D170,C170),D170))&gt;0.005),"Bank roll inicial no sigue la regla del dia anterior (alguien sobrescribio la formula). ","")&amp;IF(AND(H171&lt;&gt;"",ISNUMBER(B171),ISNUMBER(A171),ABS(B171-A171/8)&gt;0.00001),"Stake distinto de Bank roll/8. ","")&amp;IF(AND(H171&lt;&gt;"",ISNUMBER(E171),ABS(E171)&gt;0.005),"Residuo distinto de 0. ","")&amp;IF(AND(K171&lt;&gt;"",OR(NOT(ISNUMBER(K171)),N(K171)&lt;0)),"Saldo L2 no numerico o negativo. ","")&amp;IF(AND(H171&lt;&gt;"",H171&lt;TEXT(TODAY(),"yyyy-mm-dd"),G171&gt;=$P$2,K171="",OR(N(J171)&gt;0,N(M170)&gt;0)),"Falta cerrar el Saldo L2 de este dia. ","")&amp;IF(AND(H171&lt;&gt;"",SUMPRODUCT((Registros!$C$2:$C$3000=H171)*ISTEXT(Registros!$AP$2:$AP$3000))&gt;0),"Hay P/L guardado como texto en Registros (no suma). ","")))</f>
        <v/>
      </c>
    </row>
    <row r="172" customFormat="false" ht="15" hidden="false" customHeight="true" outlineLevel="0" collapsed="false">
      <c r="A172" s="13" t="n">
        <f aca="false">IF(D171="","",IF(G171&gt;=$P$2,MIN(D171,C171),D171))</f>
        <v>8</v>
      </c>
      <c r="B172" s="13" t="n">
        <f aca="false">IF(A172="","",A172/8)</f>
        <v>1</v>
      </c>
      <c r="C172" s="13" t="n">
        <f aca="false">IF(OR(A172="",B172=""),"",A172+B172)</f>
        <v>9</v>
      </c>
      <c r="D172" s="13" t="n">
        <f aca="false">IF(A172="","",A172+SUMIFS(Registros!$AP:$AP,Registros!$C:$C,H172))</f>
        <v>8</v>
      </c>
      <c r="E172" s="13" t="n">
        <f aca="false">IF(A172="","",ROUND(A172-8*B172,2))</f>
        <v>0</v>
      </c>
      <c r="F172" s="13" t="n">
        <f aca="false">IF(OR(D172="",C172=""),"",D172-C172)</f>
        <v>-1</v>
      </c>
      <c r="G172" s="20" t="n">
        <f aca="false">IF(G171="","",G171+1)</f>
        <v>171</v>
      </c>
      <c r="H172" s="15"/>
      <c r="I172" s="14"/>
      <c r="J172" s="16" t="str">
        <f aca="false">IF(OR(H172="",D172="",C172="",G172&lt;$P$2),"",MAX(0,ROUND(D172-C172,2)))</f>
        <v/>
      </c>
      <c r="K172" s="17"/>
      <c r="L172" s="16" t="str">
        <f aca="false">IF(NOT(ISNUMBER(K172)),"",ROUND(K172-N(M171)-N(J172),2))</f>
        <v/>
      </c>
      <c r="M172" s="16" t="n">
        <f aca="false">IF(ISNUMBER(K172),K172,N(M171))</f>
        <v>0</v>
      </c>
      <c r="N172" s="0" t="str">
        <f aca="true">IF(AND(H172="",K172=""),"",TRIM(IF(AND(H172&lt;&gt;"",NOT(AND(LEN(H172)=10,MID(H172,5,1)="-",MID(H172,8,1)="-"))),"Fecha con formato invalido (usa AAAA-MM-DD). ","")&amp;IF(AND(H172&lt;&gt;"",COUNTIF($H$2:$H$367,H172)&gt;1),"Fecha repetida en otro dia. ","")&amp;IF(AND(H172&lt;&gt;"",H171&lt;&gt;"",H172&lt;=H171),"La fecha no es posterior a la del dia anterior. ","")&amp;IF(AND(H172&lt;&gt;"",ISNUMBER(A172),ISNUMBER(D171),ISNUMBER(C171),ABS(A172-IF(G171&gt;=$P$2,MIN(D171,C171),D171))&gt;0.005),"Bank roll inicial no sigue la regla del dia anterior (alguien sobrescribio la formula). ","")&amp;IF(AND(H172&lt;&gt;"",ISNUMBER(B172),ISNUMBER(A172),ABS(B172-A172/8)&gt;0.00001),"Stake distinto de Bank roll/8. ","")&amp;IF(AND(H172&lt;&gt;"",ISNUMBER(E172),ABS(E172)&gt;0.005),"Residuo distinto de 0. ","")&amp;IF(AND(K172&lt;&gt;"",OR(NOT(ISNUMBER(K172)),N(K172)&lt;0)),"Saldo L2 no numerico o negativo. ","")&amp;IF(AND(H172&lt;&gt;"",H172&lt;TEXT(TODAY(),"yyyy-mm-dd"),G172&gt;=$P$2,K172="",OR(N(J172)&gt;0,N(M171)&gt;0)),"Falta cerrar el Saldo L2 de este dia. ","")&amp;IF(AND(H172&lt;&gt;"",SUMPRODUCT((Registros!$C$2:$C$3000=H172)*ISTEXT(Registros!$AP$2:$AP$3000))&gt;0),"Hay P/L guardado como texto en Registros (no suma). ","")))</f>
        <v/>
      </c>
    </row>
    <row r="173" customFormat="false" ht="15" hidden="false" customHeight="true" outlineLevel="0" collapsed="false">
      <c r="A173" s="13" t="n">
        <f aca="false">IF(D172="","",IF(G172&gt;=$P$2,MIN(D172,C172),D172))</f>
        <v>8</v>
      </c>
      <c r="B173" s="13" t="n">
        <f aca="false">IF(A173="","",A173/8)</f>
        <v>1</v>
      </c>
      <c r="C173" s="13" t="n">
        <f aca="false">IF(OR(A173="",B173=""),"",A173+B173)</f>
        <v>9</v>
      </c>
      <c r="D173" s="13" t="n">
        <f aca="false">IF(A173="","",A173+SUMIFS(Registros!$AP:$AP,Registros!$C:$C,H173))</f>
        <v>8</v>
      </c>
      <c r="E173" s="13" t="n">
        <f aca="false">IF(A173="","",ROUND(A173-8*B173,2))</f>
        <v>0</v>
      </c>
      <c r="F173" s="13" t="n">
        <f aca="false">IF(OR(D173="",C173=""),"",D173-C173)</f>
        <v>-1</v>
      </c>
      <c r="G173" s="20" t="n">
        <f aca="false">IF(G172="","",G172+1)</f>
        <v>172</v>
      </c>
      <c r="H173" s="15"/>
      <c r="I173" s="14"/>
      <c r="J173" s="16" t="str">
        <f aca="false">IF(OR(H173="",D173="",C173="",G173&lt;$P$2),"",MAX(0,ROUND(D173-C173,2)))</f>
        <v/>
      </c>
      <c r="K173" s="17"/>
      <c r="L173" s="16" t="str">
        <f aca="false">IF(NOT(ISNUMBER(K173)),"",ROUND(K173-N(M172)-N(J173),2))</f>
        <v/>
      </c>
      <c r="M173" s="16" t="n">
        <f aca="false">IF(ISNUMBER(K173),K173,N(M172))</f>
        <v>0</v>
      </c>
      <c r="N173" s="0" t="str">
        <f aca="true">IF(AND(H173="",K173=""),"",TRIM(IF(AND(H173&lt;&gt;"",NOT(AND(LEN(H173)=10,MID(H173,5,1)="-",MID(H173,8,1)="-"))),"Fecha con formato invalido (usa AAAA-MM-DD). ","")&amp;IF(AND(H173&lt;&gt;"",COUNTIF($H$2:$H$367,H173)&gt;1),"Fecha repetida en otro dia. ","")&amp;IF(AND(H173&lt;&gt;"",H172&lt;&gt;"",H173&lt;=H172),"La fecha no es posterior a la del dia anterior. ","")&amp;IF(AND(H173&lt;&gt;"",ISNUMBER(A173),ISNUMBER(D172),ISNUMBER(C172),ABS(A173-IF(G172&gt;=$P$2,MIN(D172,C172),D172))&gt;0.005),"Bank roll inicial no sigue la regla del dia anterior (alguien sobrescribio la formula). ","")&amp;IF(AND(H173&lt;&gt;"",ISNUMBER(B173),ISNUMBER(A173),ABS(B173-A173/8)&gt;0.00001),"Stake distinto de Bank roll/8. ","")&amp;IF(AND(H173&lt;&gt;"",ISNUMBER(E173),ABS(E173)&gt;0.005),"Residuo distinto de 0. ","")&amp;IF(AND(K173&lt;&gt;"",OR(NOT(ISNUMBER(K173)),N(K173)&lt;0)),"Saldo L2 no numerico o negativo. ","")&amp;IF(AND(H173&lt;&gt;"",H173&lt;TEXT(TODAY(),"yyyy-mm-dd"),G173&gt;=$P$2,K173="",OR(N(J173)&gt;0,N(M172)&gt;0)),"Falta cerrar el Saldo L2 de este dia. ","")&amp;IF(AND(H173&lt;&gt;"",SUMPRODUCT((Registros!$C$2:$C$3000=H173)*ISTEXT(Registros!$AP$2:$AP$3000))&gt;0),"Hay P/L guardado como texto en Registros (no suma). ","")))</f>
        <v/>
      </c>
    </row>
    <row r="174" customFormat="false" ht="15" hidden="false" customHeight="true" outlineLevel="0" collapsed="false">
      <c r="A174" s="13" t="n">
        <f aca="false">IF(D173="","",IF(G173&gt;=$P$2,MIN(D173,C173),D173))</f>
        <v>8</v>
      </c>
      <c r="B174" s="13" t="n">
        <f aca="false">IF(A174="","",A174/8)</f>
        <v>1</v>
      </c>
      <c r="C174" s="13" t="n">
        <f aca="false">IF(OR(A174="",B174=""),"",A174+B174)</f>
        <v>9</v>
      </c>
      <c r="D174" s="13" t="n">
        <f aca="false">IF(A174="","",A174+SUMIFS(Registros!$AP:$AP,Registros!$C:$C,H174))</f>
        <v>8</v>
      </c>
      <c r="E174" s="13" t="n">
        <f aca="false">IF(A174="","",ROUND(A174-8*B174,2))</f>
        <v>0</v>
      </c>
      <c r="F174" s="13" t="n">
        <f aca="false">IF(OR(D174="",C174=""),"",D174-C174)</f>
        <v>-1</v>
      </c>
      <c r="G174" s="20" t="n">
        <f aca="false">IF(G173="","",G173+1)</f>
        <v>173</v>
      </c>
      <c r="H174" s="15"/>
      <c r="I174" s="14"/>
      <c r="J174" s="16" t="str">
        <f aca="false">IF(OR(H174="",D174="",C174="",G174&lt;$P$2),"",MAX(0,ROUND(D174-C174,2)))</f>
        <v/>
      </c>
      <c r="K174" s="17"/>
      <c r="L174" s="16" t="str">
        <f aca="false">IF(NOT(ISNUMBER(K174)),"",ROUND(K174-N(M173)-N(J174),2))</f>
        <v/>
      </c>
      <c r="M174" s="16" t="n">
        <f aca="false">IF(ISNUMBER(K174),K174,N(M173))</f>
        <v>0</v>
      </c>
      <c r="N174" s="0" t="str">
        <f aca="true">IF(AND(H174="",K174=""),"",TRIM(IF(AND(H174&lt;&gt;"",NOT(AND(LEN(H174)=10,MID(H174,5,1)="-",MID(H174,8,1)="-"))),"Fecha con formato invalido (usa AAAA-MM-DD). ","")&amp;IF(AND(H174&lt;&gt;"",COUNTIF($H$2:$H$367,H174)&gt;1),"Fecha repetida en otro dia. ","")&amp;IF(AND(H174&lt;&gt;"",H173&lt;&gt;"",H174&lt;=H173),"La fecha no es posterior a la del dia anterior. ","")&amp;IF(AND(H174&lt;&gt;"",ISNUMBER(A174),ISNUMBER(D173),ISNUMBER(C173),ABS(A174-IF(G173&gt;=$P$2,MIN(D173,C173),D173))&gt;0.005),"Bank roll inicial no sigue la regla del dia anterior (alguien sobrescribio la formula). ","")&amp;IF(AND(H174&lt;&gt;"",ISNUMBER(B174),ISNUMBER(A174),ABS(B174-A174/8)&gt;0.00001),"Stake distinto de Bank roll/8. ","")&amp;IF(AND(H174&lt;&gt;"",ISNUMBER(E174),ABS(E174)&gt;0.005),"Residuo distinto de 0. ","")&amp;IF(AND(K174&lt;&gt;"",OR(NOT(ISNUMBER(K174)),N(K174)&lt;0)),"Saldo L2 no numerico o negativo. ","")&amp;IF(AND(H174&lt;&gt;"",H174&lt;TEXT(TODAY(),"yyyy-mm-dd"),G174&gt;=$P$2,K174="",OR(N(J174)&gt;0,N(M173)&gt;0)),"Falta cerrar el Saldo L2 de este dia. ","")&amp;IF(AND(H174&lt;&gt;"",SUMPRODUCT((Registros!$C$2:$C$3000=H174)*ISTEXT(Registros!$AP$2:$AP$3000))&gt;0),"Hay P/L guardado como texto en Registros (no suma). ","")))</f>
        <v/>
      </c>
    </row>
    <row r="175" customFormat="false" ht="15" hidden="false" customHeight="true" outlineLevel="0" collapsed="false">
      <c r="A175" s="13" t="n">
        <f aca="false">IF(D174="","",IF(G174&gt;=$P$2,MIN(D174,C174),D174))</f>
        <v>8</v>
      </c>
      <c r="B175" s="13" t="n">
        <f aca="false">IF(A175="","",A175/8)</f>
        <v>1</v>
      </c>
      <c r="C175" s="13" t="n">
        <f aca="false">IF(OR(A175="",B175=""),"",A175+B175)</f>
        <v>9</v>
      </c>
      <c r="D175" s="13" t="n">
        <f aca="false">IF(A175="","",A175+SUMIFS(Registros!$AP:$AP,Registros!$C:$C,H175))</f>
        <v>8</v>
      </c>
      <c r="E175" s="13" t="n">
        <f aca="false">IF(A175="","",ROUND(A175-8*B175,2))</f>
        <v>0</v>
      </c>
      <c r="F175" s="13" t="n">
        <f aca="false">IF(OR(D175="",C175=""),"",D175-C175)</f>
        <v>-1</v>
      </c>
      <c r="G175" s="20" t="n">
        <f aca="false">IF(G174="","",G174+1)</f>
        <v>174</v>
      </c>
      <c r="H175" s="15"/>
      <c r="I175" s="14"/>
      <c r="J175" s="16" t="str">
        <f aca="false">IF(OR(H175="",D175="",C175="",G175&lt;$P$2),"",MAX(0,ROUND(D175-C175,2)))</f>
        <v/>
      </c>
      <c r="K175" s="17"/>
      <c r="L175" s="16" t="str">
        <f aca="false">IF(NOT(ISNUMBER(K175)),"",ROUND(K175-N(M174)-N(J175),2))</f>
        <v/>
      </c>
      <c r="M175" s="16" t="n">
        <f aca="false">IF(ISNUMBER(K175),K175,N(M174))</f>
        <v>0</v>
      </c>
      <c r="N175" s="0" t="str">
        <f aca="true">IF(AND(H175="",K175=""),"",TRIM(IF(AND(H175&lt;&gt;"",NOT(AND(LEN(H175)=10,MID(H175,5,1)="-",MID(H175,8,1)="-"))),"Fecha con formato invalido (usa AAAA-MM-DD). ","")&amp;IF(AND(H175&lt;&gt;"",COUNTIF($H$2:$H$367,H175)&gt;1),"Fecha repetida en otro dia. ","")&amp;IF(AND(H175&lt;&gt;"",H174&lt;&gt;"",H175&lt;=H174),"La fecha no es posterior a la del dia anterior. ","")&amp;IF(AND(H175&lt;&gt;"",ISNUMBER(A175),ISNUMBER(D174),ISNUMBER(C174),ABS(A175-IF(G174&gt;=$P$2,MIN(D174,C174),D174))&gt;0.005),"Bank roll inicial no sigue la regla del dia anterior (alguien sobrescribio la formula). ","")&amp;IF(AND(H175&lt;&gt;"",ISNUMBER(B175),ISNUMBER(A175),ABS(B175-A175/8)&gt;0.00001),"Stake distinto de Bank roll/8. ","")&amp;IF(AND(H175&lt;&gt;"",ISNUMBER(E175),ABS(E175)&gt;0.005),"Residuo distinto de 0. ","")&amp;IF(AND(K175&lt;&gt;"",OR(NOT(ISNUMBER(K175)),N(K175)&lt;0)),"Saldo L2 no numerico o negativo. ","")&amp;IF(AND(H175&lt;&gt;"",H175&lt;TEXT(TODAY(),"yyyy-mm-dd"),G175&gt;=$P$2,K175="",OR(N(J175)&gt;0,N(M174)&gt;0)),"Falta cerrar el Saldo L2 de este dia. ","")&amp;IF(AND(H175&lt;&gt;"",SUMPRODUCT((Registros!$C$2:$C$3000=H175)*ISTEXT(Registros!$AP$2:$AP$3000))&gt;0),"Hay P/L guardado como texto en Registros (no suma). ","")))</f>
        <v/>
      </c>
    </row>
    <row r="176" customFormat="false" ht="15" hidden="false" customHeight="true" outlineLevel="0" collapsed="false">
      <c r="A176" s="13" t="n">
        <f aca="false">IF(D175="","",IF(G175&gt;=$P$2,MIN(D175,C175),D175))</f>
        <v>8</v>
      </c>
      <c r="B176" s="13" t="n">
        <f aca="false">IF(A176="","",A176/8)</f>
        <v>1</v>
      </c>
      <c r="C176" s="13" t="n">
        <f aca="false">IF(OR(A176="",B176=""),"",A176+B176)</f>
        <v>9</v>
      </c>
      <c r="D176" s="13" t="n">
        <f aca="false">IF(A176="","",A176+SUMIFS(Registros!$AP:$AP,Registros!$C:$C,H176))</f>
        <v>8</v>
      </c>
      <c r="E176" s="13" t="n">
        <f aca="false">IF(A176="","",ROUND(A176-8*B176,2))</f>
        <v>0</v>
      </c>
      <c r="F176" s="13" t="n">
        <f aca="false">IF(OR(D176="",C176=""),"",D176-C176)</f>
        <v>-1</v>
      </c>
      <c r="G176" s="20" t="n">
        <f aca="false">IF(G175="","",G175+1)</f>
        <v>175</v>
      </c>
      <c r="H176" s="15"/>
      <c r="I176" s="14"/>
      <c r="J176" s="16" t="str">
        <f aca="false">IF(OR(H176="",D176="",C176="",G176&lt;$P$2),"",MAX(0,ROUND(D176-C176,2)))</f>
        <v/>
      </c>
      <c r="K176" s="17"/>
      <c r="L176" s="16" t="str">
        <f aca="false">IF(NOT(ISNUMBER(K176)),"",ROUND(K176-N(M175)-N(J176),2))</f>
        <v/>
      </c>
      <c r="M176" s="16" t="n">
        <f aca="false">IF(ISNUMBER(K176),K176,N(M175))</f>
        <v>0</v>
      </c>
      <c r="N176" s="0" t="str">
        <f aca="true">IF(AND(H176="",K176=""),"",TRIM(IF(AND(H176&lt;&gt;"",NOT(AND(LEN(H176)=10,MID(H176,5,1)="-",MID(H176,8,1)="-"))),"Fecha con formato invalido (usa AAAA-MM-DD). ","")&amp;IF(AND(H176&lt;&gt;"",COUNTIF($H$2:$H$367,H176)&gt;1),"Fecha repetida en otro dia. ","")&amp;IF(AND(H176&lt;&gt;"",H175&lt;&gt;"",H176&lt;=H175),"La fecha no es posterior a la del dia anterior. ","")&amp;IF(AND(H176&lt;&gt;"",ISNUMBER(A176),ISNUMBER(D175),ISNUMBER(C175),ABS(A176-IF(G175&gt;=$P$2,MIN(D175,C175),D175))&gt;0.005),"Bank roll inicial no sigue la regla del dia anterior (alguien sobrescribio la formula). ","")&amp;IF(AND(H176&lt;&gt;"",ISNUMBER(B176),ISNUMBER(A176),ABS(B176-A176/8)&gt;0.00001),"Stake distinto de Bank roll/8. ","")&amp;IF(AND(H176&lt;&gt;"",ISNUMBER(E176),ABS(E176)&gt;0.005),"Residuo distinto de 0. ","")&amp;IF(AND(K176&lt;&gt;"",OR(NOT(ISNUMBER(K176)),N(K176)&lt;0)),"Saldo L2 no numerico o negativo. ","")&amp;IF(AND(H176&lt;&gt;"",H176&lt;TEXT(TODAY(),"yyyy-mm-dd"),G176&gt;=$P$2,K176="",OR(N(J176)&gt;0,N(M175)&gt;0)),"Falta cerrar el Saldo L2 de este dia. ","")&amp;IF(AND(H176&lt;&gt;"",SUMPRODUCT((Registros!$C$2:$C$3000=H176)*ISTEXT(Registros!$AP$2:$AP$3000))&gt;0),"Hay P/L guardado como texto en Registros (no suma). ","")))</f>
        <v/>
      </c>
    </row>
    <row r="177" customFormat="false" ht="15" hidden="false" customHeight="true" outlineLevel="0" collapsed="false">
      <c r="A177" s="13" t="n">
        <f aca="false">IF(D176="","",IF(G176&gt;=$P$2,MIN(D176,C176),D176))</f>
        <v>8</v>
      </c>
      <c r="B177" s="13" t="n">
        <f aca="false">IF(A177="","",A177/8)</f>
        <v>1</v>
      </c>
      <c r="C177" s="13" t="n">
        <f aca="false">IF(OR(A177="",B177=""),"",A177+B177)</f>
        <v>9</v>
      </c>
      <c r="D177" s="13" t="n">
        <f aca="false">IF(A177="","",A177+SUMIFS(Registros!$AP:$AP,Registros!$C:$C,H177))</f>
        <v>8</v>
      </c>
      <c r="E177" s="13" t="n">
        <f aca="false">IF(A177="","",ROUND(A177-8*B177,2))</f>
        <v>0</v>
      </c>
      <c r="F177" s="13" t="n">
        <f aca="false">IF(OR(D177="",C177=""),"",D177-C177)</f>
        <v>-1</v>
      </c>
      <c r="G177" s="20" t="n">
        <f aca="false">IF(G176="","",G176+1)</f>
        <v>176</v>
      </c>
      <c r="H177" s="15"/>
      <c r="I177" s="14"/>
      <c r="J177" s="16" t="str">
        <f aca="false">IF(OR(H177="",D177="",C177="",G177&lt;$P$2),"",MAX(0,ROUND(D177-C177,2)))</f>
        <v/>
      </c>
      <c r="K177" s="17"/>
      <c r="L177" s="16" t="str">
        <f aca="false">IF(NOT(ISNUMBER(K177)),"",ROUND(K177-N(M176)-N(J177),2))</f>
        <v/>
      </c>
      <c r="M177" s="16" t="n">
        <f aca="false">IF(ISNUMBER(K177),K177,N(M176))</f>
        <v>0</v>
      </c>
      <c r="N177" s="0" t="str">
        <f aca="true">IF(AND(H177="",K177=""),"",TRIM(IF(AND(H177&lt;&gt;"",NOT(AND(LEN(H177)=10,MID(H177,5,1)="-",MID(H177,8,1)="-"))),"Fecha con formato invalido (usa AAAA-MM-DD). ","")&amp;IF(AND(H177&lt;&gt;"",COUNTIF($H$2:$H$367,H177)&gt;1),"Fecha repetida en otro dia. ","")&amp;IF(AND(H177&lt;&gt;"",H176&lt;&gt;"",H177&lt;=H176),"La fecha no es posterior a la del dia anterior. ","")&amp;IF(AND(H177&lt;&gt;"",ISNUMBER(A177),ISNUMBER(D176),ISNUMBER(C176),ABS(A177-IF(G176&gt;=$P$2,MIN(D176,C176),D176))&gt;0.005),"Bank roll inicial no sigue la regla del dia anterior (alguien sobrescribio la formula). ","")&amp;IF(AND(H177&lt;&gt;"",ISNUMBER(B177),ISNUMBER(A177),ABS(B177-A177/8)&gt;0.00001),"Stake distinto de Bank roll/8. ","")&amp;IF(AND(H177&lt;&gt;"",ISNUMBER(E177),ABS(E177)&gt;0.005),"Residuo distinto de 0. ","")&amp;IF(AND(K177&lt;&gt;"",OR(NOT(ISNUMBER(K177)),N(K177)&lt;0)),"Saldo L2 no numerico o negativo. ","")&amp;IF(AND(H177&lt;&gt;"",H177&lt;TEXT(TODAY(),"yyyy-mm-dd"),G177&gt;=$P$2,K177="",OR(N(J177)&gt;0,N(M176)&gt;0)),"Falta cerrar el Saldo L2 de este dia. ","")&amp;IF(AND(H177&lt;&gt;"",SUMPRODUCT((Registros!$C$2:$C$3000=H177)*ISTEXT(Registros!$AP$2:$AP$3000))&gt;0),"Hay P/L guardado como texto en Registros (no suma). ","")))</f>
        <v/>
      </c>
    </row>
    <row r="178" customFormat="false" ht="15" hidden="false" customHeight="true" outlineLevel="0" collapsed="false">
      <c r="A178" s="13" t="n">
        <f aca="false">IF(D177="","",IF(G177&gt;=$P$2,MIN(D177,C177),D177))</f>
        <v>8</v>
      </c>
      <c r="B178" s="13" t="n">
        <f aca="false">IF(A178="","",A178/8)</f>
        <v>1</v>
      </c>
      <c r="C178" s="13" t="n">
        <f aca="false">IF(OR(A178="",B178=""),"",A178+B178)</f>
        <v>9</v>
      </c>
      <c r="D178" s="13" t="n">
        <f aca="false">IF(A178="","",A178+SUMIFS(Registros!$AP:$AP,Registros!$C:$C,H178))</f>
        <v>8</v>
      </c>
      <c r="E178" s="13" t="n">
        <f aca="false">IF(A178="","",ROUND(A178-8*B178,2))</f>
        <v>0</v>
      </c>
      <c r="F178" s="13" t="n">
        <f aca="false">IF(OR(D178="",C178=""),"",D178-C178)</f>
        <v>-1</v>
      </c>
      <c r="G178" s="20" t="n">
        <f aca="false">IF(G177="","",G177+1)</f>
        <v>177</v>
      </c>
      <c r="H178" s="15"/>
      <c r="I178" s="14"/>
      <c r="J178" s="16" t="str">
        <f aca="false">IF(OR(H178="",D178="",C178="",G178&lt;$P$2),"",MAX(0,ROUND(D178-C178,2)))</f>
        <v/>
      </c>
      <c r="K178" s="17"/>
      <c r="L178" s="16" t="str">
        <f aca="false">IF(NOT(ISNUMBER(K178)),"",ROUND(K178-N(M177)-N(J178),2))</f>
        <v/>
      </c>
      <c r="M178" s="16" t="n">
        <f aca="false">IF(ISNUMBER(K178),K178,N(M177))</f>
        <v>0</v>
      </c>
      <c r="N178" s="0" t="str">
        <f aca="true">IF(AND(H178="",K178=""),"",TRIM(IF(AND(H178&lt;&gt;"",NOT(AND(LEN(H178)=10,MID(H178,5,1)="-",MID(H178,8,1)="-"))),"Fecha con formato invalido (usa AAAA-MM-DD). ","")&amp;IF(AND(H178&lt;&gt;"",COUNTIF($H$2:$H$367,H178)&gt;1),"Fecha repetida en otro dia. ","")&amp;IF(AND(H178&lt;&gt;"",H177&lt;&gt;"",H178&lt;=H177),"La fecha no es posterior a la del dia anterior. ","")&amp;IF(AND(H178&lt;&gt;"",ISNUMBER(A178),ISNUMBER(D177),ISNUMBER(C177),ABS(A178-IF(G177&gt;=$P$2,MIN(D177,C177),D177))&gt;0.005),"Bank roll inicial no sigue la regla del dia anterior (alguien sobrescribio la formula). ","")&amp;IF(AND(H178&lt;&gt;"",ISNUMBER(B178),ISNUMBER(A178),ABS(B178-A178/8)&gt;0.00001),"Stake distinto de Bank roll/8. ","")&amp;IF(AND(H178&lt;&gt;"",ISNUMBER(E178),ABS(E178)&gt;0.005),"Residuo distinto de 0. ","")&amp;IF(AND(K178&lt;&gt;"",OR(NOT(ISNUMBER(K178)),N(K178)&lt;0)),"Saldo L2 no numerico o negativo. ","")&amp;IF(AND(H178&lt;&gt;"",H178&lt;TEXT(TODAY(),"yyyy-mm-dd"),G178&gt;=$P$2,K178="",OR(N(J178)&gt;0,N(M177)&gt;0)),"Falta cerrar el Saldo L2 de este dia. ","")&amp;IF(AND(H178&lt;&gt;"",SUMPRODUCT((Registros!$C$2:$C$3000=H178)*ISTEXT(Registros!$AP$2:$AP$3000))&gt;0),"Hay P/L guardado como texto en Registros (no suma). ","")))</f>
        <v/>
      </c>
    </row>
    <row r="179" customFormat="false" ht="15" hidden="false" customHeight="true" outlineLevel="0" collapsed="false">
      <c r="A179" s="13" t="n">
        <f aca="false">IF(D178="","",IF(G178&gt;=$P$2,MIN(D178,C178),D178))</f>
        <v>8</v>
      </c>
      <c r="B179" s="13" t="n">
        <f aca="false">IF(A179="","",A179/8)</f>
        <v>1</v>
      </c>
      <c r="C179" s="13" t="n">
        <f aca="false">IF(OR(A179="",B179=""),"",A179+B179)</f>
        <v>9</v>
      </c>
      <c r="D179" s="13" t="n">
        <f aca="false">IF(A179="","",A179+SUMIFS(Registros!$AP:$AP,Registros!$C:$C,H179))</f>
        <v>8</v>
      </c>
      <c r="E179" s="13" t="n">
        <f aca="false">IF(A179="","",ROUND(A179-8*B179,2))</f>
        <v>0</v>
      </c>
      <c r="F179" s="13" t="n">
        <f aca="false">IF(OR(D179="",C179=""),"",D179-C179)</f>
        <v>-1</v>
      </c>
      <c r="G179" s="20" t="n">
        <f aca="false">IF(G178="","",G178+1)</f>
        <v>178</v>
      </c>
      <c r="H179" s="15"/>
      <c r="I179" s="14"/>
      <c r="J179" s="16" t="str">
        <f aca="false">IF(OR(H179="",D179="",C179="",G179&lt;$P$2),"",MAX(0,ROUND(D179-C179,2)))</f>
        <v/>
      </c>
      <c r="K179" s="17"/>
      <c r="L179" s="16" t="str">
        <f aca="false">IF(NOT(ISNUMBER(K179)),"",ROUND(K179-N(M178)-N(J179),2))</f>
        <v/>
      </c>
      <c r="M179" s="16" t="n">
        <f aca="false">IF(ISNUMBER(K179),K179,N(M178))</f>
        <v>0</v>
      </c>
      <c r="N179" s="0" t="str">
        <f aca="true">IF(AND(H179="",K179=""),"",TRIM(IF(AND(H179&lt;&gt;"",NOT(AND(LEN(H179)=10,MID(H179,5,1)="-",MID(H179,8,1)="-"))),"Fecha con formato invalido (usa AAAA-MM-DD). ","")&amp;IF(AND(H179&lt;&gt;"",COUNTIF($H$2:$H$367,H179)&gt;1),"Fecha repetida en otro dia. ","")&amp;IF(AND(H179&lt;&gt;"",H178&lt;&gt;"",H179&lt;=H178),"La fecha no es posterior a la del dia anterior. ","")&amp;IF(AND(H179&lt;&gt;"",ISNUMBER(A179),ISNUMBER(D178),ISNUMBER(C178),ABS(A179-IF(G178&gt;=$P$2,MIN(D178,C178),D178))&gt;0.005),"Bank roll inicial no sigue la regla del dia anterior (alguien sobrescribio la formula). ","")&amp;IF(AND(H179&lt;&gt;"",ISNUMBER(B179),ISNUMBER(A179),ABS(B179-A179/8)&gt;0.00001),"Stake distinto de Bank roll/8. ","")&amp;IF(AND(H179&lt;&gt;"",ISNUMBER(E179),ABS(E179)&gt;0.005),"Residuo distinto de 0. ","")&amp;IF(AND(K179&lt;&gt;"",OR(NOT(ISNUMBER(K179)),N(K179)&lt;0)),"Saldo L2 no numerico o negativo. ","")&amp;IF(AND(H179&lt;&gt;"",H179&lt;TEXT(TODAY(),"yyyy-mm-dd"),G179&gt;=$P$2,K179="",OR(N(J179)&gt;0,N(M178)&gt;0)),"Falta cerrar el Saldo L2 de este dia. ","")&amp;IF(AND(H179&lt;&gt;"",SUMPRODUCT((Registros!$C$2:$C$3000=H179)*ISTEXT(Registros!$AP$2:$AP$3000))&gt;0),"Hay P/L guardado como texto en Registros (no suma). ","")))</f>
        <v/>
      </c>
    </row>
    <row r="180" customFormat="false" ht="15" hidden="false" customHeight="true" outlineLevel="0" collapsed="false">
      <c r="A180" s="13" t="n">
        <f aca="false">IF(D179="","",IF(G179&gt;=$P$2,MIN(D179,C179),D179))</f>
        <v>8</v>
      </c>
      <c r="B180" s="13" t="n">
        <f aca="false">IF(A180="","",A180/8)</f>
        <v>1</v>
      </c>
      <c r="C180" s="13" t="n">
        <f aca="false">IF(OR(A180="",B180=""),"",A180+B180)</f>
        <v>9</v>
      </c>
      <c r="D180" s="13" t="n">
        <f aca="false">IF(A180="","",A180+SUMIFS(Registros!$AP:$AP,Registros!$C:$C,H180))</f>
        <v>8</v>
      </c>
      <c r="E180" s="13" t="n">
        <f aca="false">IF(A180="","",ROUND(A180-8*B180,2))</f>
        <v>0</v>
      </c>
      <c r="F180" s="13" t="n">
        <f aca="false">IF(OR(D180="",C180=""),"",D180-C180)</f>
        <v>-1</v>
      </c>
      <c r="G180" s="20" t="n">
        <f aca="false">IF(G179="","",G179+1)</f>
        <v>179</v>
      </c>
      <c r="H180" s="15"/>
      <c r="I180" s="14"/>
      <c r="J180" s="16" t="str">
        <f aca="false">IF(OR(H180="",D180="",C180="",G180&lt;$P$2),"",MAX(0,ROUND(D180-C180,2)))</f>
        <v/>
      </c>
      <c r="K180" s="17"/>
      <c r="L180" s="16" t="str">
        <f aca="false">IF(NOT(ISNUMBER(K180)),"",ROUND(K180-N(M179)-N(J180),2))</f>
        <v/>
      </c>
      <c r="M180" s="16" t="n">
        <f aca="false">IF(ISNUMBER(K180),K180,N(M179))</f>
        <v>0</v>
      </c>
      <c r="N180" s="0" t="str">
        <f aca="true">IF(AND(H180="",K180=""),"",TRIM(IF(AND(H180&lt;&gt;"",NOT(AND(LEN(H180)=10,MID(H180,5,1)="-",MID(H180,8,1)="-"))),"Fecha con formato invalido (usa AAAA-MM-DD). ","")&amp;IF(AND(H180&lt;&gt;"",COUNTIF($H$2:$H$367,H180)&gt;1),"Fecha repetida en otro dia. ","")&amp;IF(AND(H180&lt;&gt;"",H179&lt;&gt;"",H180&lt;=H179),"La fecha no es posterior a la del dia anterior. ","")&amp;IF(AND(H180&lt;&gt;"",ISNUMBER(A180),ISNUMBER(D179),ISNUMBER(C179),ABS(A180-IF(G179&gt;=$P$2,MIN(D179,C179),D179))&gt;0.005),"Bank roll inicial no sigue la regla del dia anterior (alguien sobrescribio la formula). ","")&amp;IF(AND(H180&lt;&gt;"",ISNUMBER(B180),ISNUMBER(A180),ABS(B180-A180/8)&gt;0.00001),"Stake distinto de Bank roll/8. ","")&amp;IF(AND(H180&lt;&gt;"",ISNUMBER(E180),ABS(E180)&gt;0.005),"Residuo distinto de 0. ","")&amp;IF(AND(K180&lt;&gt;"",OR(NOT(ISNUMBER(K180)),N(K180)&lt;0)),"Saldo L2 no numerico o negativo. ","")&amp;IF(AND(H180&lt;&gt;"",H180&lt;TEXT(TODAY(),"yyyy-mm-dd"),G180&gt;=$P$2,K180="",OR(N(J180)&gt;0,N(M179)&gt;0)),"Falta cerrar el Saldo L2 de este dia. ","")&amp;IF(AND(H180&lt;&gt;"",SUMPRODUCT((Registros!$C$2:$C$3000=H180)*ISTEXT(Registros!$AP$2:$AP$3000))&gt;0),"Hay P/L guardado como texto en Registros (no suma). ","")))</f>
        <v/>
      </c>
    </row>
    <row r="181" customFormat="false" ht="15" hidden="false" customHeight="true" outlineLevel="0" collapsed="false">
      <c r="A181" s="13" t="n">
        <f aca="false">IF(D180="","",IF(G180&gt;=$P$2,MIN(D180,C180),D180))</f>
        <v>8</v>
      </c>
      <c r="B181" s="13" t="n">
        <f aca="false">IF(A181="","",A181/8)</f>
        <v>1</v>
      </c>
      <c r="C181" s="13" t="n">
        <f aca="false">IF(OR(A181="",B181=""),"",A181+B181)</f>
        <v>9</v>
      </c>
      <c r="D181" s="13" t="n">
        <f aca="false">IF(A181="","",A181+SUMIFS(Registros!$AP:$AP,Registros!$C:$C,H181))</f>
        <v>8</v>
      </c>
      <c r="E181" s="13" t="n">
        <f aca="false">IF(A181="","",ROUND(A181-8*B181,2))</f>
        <v>0</v>
      </c>
      <c r="F181" s="13" t="n">
        <f aca="false">IF(OR(D181="",C181=""),"",D181-C181)</f>
        <v>-1</v>
      </c>
      <c r="G181" s="20" t="n">
        <f aca="false">IF(G180="","",G180+1)</f>
        <v>180</v>
      </c>
      <c r="H181" s="15"/>
      <c r="I181" s="14"/>
      <c r="J181" s="16" t="str">
        <f aca="false">IF(OR(H181="",D181="",C181="",G181&lt;$P$2),"",MAX(0,ROUND(D181-C181,2)))</f>
        <v/>
      </c>
      <c r="K181" s="17"/>
      <c r="L181" s="16" t="str">
        <f aca="false">IF(NOT(ISNUMBER(K181)),"",ROUND(K181-N(M180)-N(J181),2))</f>
        <v/>
      </c>
      <c r="M181" s="16" t="n">
        <f aca="false">IF(ISNUMBER(K181),K181,N(M180))</f>
        <v>0</v>
      </c>
      <c r="N181" s="0" t="str">
        <f aca="true">IF(AND(H181="",K181=""),"",TRIM(IF(AND(H181&lt;&gt;"",NOT(AND(LEN(H181)=10,MID(H181,5,1)="-",MID(H181,8,1)="-"))),"Fecha con formato invalido (usa AAAA-MM-DD). ","")&amp;IF(AND(H181&lt;&gt;"",COUNTIF($H$2:$H$367,H181)&gt;1),"Fecha repetida en otro dia. ","")&amp;IF(AND(H181&lt;&gt;"",H180&lt;&gt;"",H181&lt;=H180),"La fecha no es posterior a la del dia anterior. ","")&amp;IF(AND(H181&lt;&gt;"",ISNUMBER(A181),ISNUMBER(D180),ISNUMBER(C180),ABS(A181-IF(G180&gt;=$P$2,MIN(D180,C180),D180))&gt;0.005),"Bank roll inicial no sigue la regla del dia anterior (alguien sobrescribio la formula). ","")&amp;IF(AND(H181&lt;&gt;"",ISNUMBER(B181),ISNUMBER(A181),ABS(B181-A181/8)&gt;0.00001),"Stake distinto de Bank roll/8. ","")&amp;IF(AND(H181&lt;&gt;"",ISNUMBER(E181),ABS(E181)&gt;0.005),"Residuo distinto de 0. ","")&amp;IF(AND(K181&lt;&gt;"",OR(NOT(ISNUMBER(K181)),N(K181)&lt;0)),"Saldo L2 no numerico o negativo. ","")&amp;IF(AND(H181&lt;&gt;"",H181&lt;TEXT(TODAY(),"yyyy-mm-dd"),G181&gt;=$P$2,K181="",OR(N(J181)&gt;0,N(M180)&gt;0)),"Falta cerrar el Saldo L2 de este dia. ","")&amp;IF(AND(H181&lt;&gt;"",SUMPRODUCT((Registros!$C$2:$C$3000=H181)*ISTEXT(Registros!$AP$2:$AP$3000))&gt;0),"Hay P/L guardado como texto en Registros (no suma). ","")))</f>
        <v/>
      </c>
    </row>
    <row r="182" customFormat="false" ht="15" hidden="false" customHeight="true" outlineLevel="0" collapsed="false">
      <c r="A182" s="13" t="n">
        <f aca="false">IF(D181="","",IF(G181&gt;=$P$2,MIN(D181,C181),D181))</f>
        <v>8</v>
      </c>
      <c r="B182" s="13" t="n">
        <f aca="false">IF(A182="","",A182/8)</f>
        <v>1</v>
      </c>
      <c r="C182" s="13" t="n">
        <f aca="false">IF(OR(A182="",B182=""),"",A182+B182)</f>
        <v>9</v>
      </c>
      <c r="D182" s="13" t="n">
        <f aca="false">IF(A182="","",A182+SUMIFS(Registros!$AP:$AP,Registros!$C:$C,H182))</f>
        <v>8</v>
      </c>
      <c r="E182" s="13" t="n">
        <f aca="false">IF(A182="","",ROUND(A182-8*B182,2))</f>
        <v>0</v>
      </c>
      <c r="F182" s="13" t="n">
        <f aca="false">IF(OR(D182="",C182=""),"",D182-C182)</f>
        <v>-1</v>
      </c>
      <c r="G182" s="20" t="n">
        <f aca="false">IF(G181="","",G181+1)</f>
        <v>181</v>
      </c>
      <c r="H182" s="15"/>
      <c r="I182" s="14"/>
      <c r="J182" s="16" t="str">
        <f aca="false">IF(OR(H182="",D182="",C182="",G182&lt;$P$2),"",MAX(0,ROUND(D182-C182,2)))</f>
        <v/>
      </c>
      <c r="K182" s="17"/>
      <c r="L182" s="16" t="str">
        <f aca="false">IF(NOT(ISNUMBER(K182)),"",ROUND(K182-N(M181)-N(J182),2))</f>
        <v/>
      </c>
      <c r="M182" s="16" t="n">
        <f aca="false">IF(ISNUMBER(K182),K182,N(M181))</f>
        <v>0</v>
      </c>
      <c r="N182" s="0" t="str">
        <f aca="true">IF(AND(H182="",K182=""),"",TRIM(IF(AND(H182&lt;&gt;"",NOT(AND(LEN(H182)=10,MID(H182,5,1)="-",MID(H182,8,1)="-"))),"Fecha con formato invalido (usa AAAA-MM-DD). ","")&amp;IF(AND(H182&lt;&gt;"",COUNTIF($H$2:$H$367,H182)&gt;1),"Fecha repetida en otro dia. ","")&amp;IF(AND(H182&lt;&gt;"",H181&lt;&gt;"",H182&lt;=H181),"La fecha no es posterior a la del dia anterior. ","")&amp;IF(AND(H182&lt;&gt;"",ISNUMBER(A182),ISNUMBER(D181),ISNUMBER(C181),ABS(A182-IF(G181&gt;=$P$2,MIN(D181,C181),D181))&gt;0.005),"Bank roll inicial no sigue la regla del dia anterior (alguien sobrescribio la formula). ","")&amp;IF(AND(H182&lt;&gt;"",ISNUMBER(B182),ISNUMBER(A182),ABS(B182-A182/8)&gt;0.00001),"Stake distinto de Bank roll/8. ","")&amp;IF(AND(H182&lt;&gt;"",ISNUMBER(E182),ABS(E182)&gt;0.005),"Residuo distinto de 0. ","")&amp;IF(AND(K182&lt;&gt;"",OR(NOT(ISNUMBER(K182)),N(K182)&lt;0)),"Saldo L2 no numerico o negativo. ","")&amp;IF(AND(H182&lt;&gt;"",H182&lt;TEXT(TODAY(),"yyyy-mm-dd"),G182&gt;=$P$2,K182="",OR(N(J182)&gt;0,N(M181)&gt;0)),"Falta cerrar el Saldo L2 de este dia. ","")&amp;IF(AND(H182&lt;&gt;"",SUMPRODUCT((Registros!$C$2:$C$3000=H182)*ISTEXT(Registros!$AP$2:$AP$3000))&gt;0),"Hay P/L guardado como texto en Registros (no suma). ","")))</f>
        <v/>
      </c>
    </row>
    <row r="183" customFormat="false" ht="15" hidden="false" customHeight="true" outlineLevel="0" collapsed="false">
      <c r="A183" s="13" t="n">
        <f aca="false">IF(D182="","",IF(G182&gt;=$P$2,MIN(D182,C182),D182))</f>
        <v>8</v>
      </c>
      <c r="B183" s="13" t="n">
        <f aca="false">IF(A183="","",A183/8)</f>
        <v>1</v>
      </c>
      <c r="C183" s="13" t="n">
        <f aca="false">IF(OR(A183="",B183=""),"",A183+B183)</f>
        <v>9</v>
      </c>
      <c r="D183" s="13" t="n">
        <f aca="false">IF(A183="","",A183+SUMIFS(Registros!$AP:$AP,Registros!$C:$C,H183))</f>
        <v>8</v>
      </c>
      <c r="E183" s="13" t="n">
        <f aca="false">IF(A183="","",ROUND(A183-8*B183,2))</f>
        <v>0</v>
      </c>
      <c r="F183" s="13" t="n">
        <f aca="false">IF(OR(D183="",C183=""),"",D183-C183)</f>
        <v>-1</v>
      </c>
      <c r="G183" s="20" t="n">
        <f aca="false">IF(G182="","",G182+1)</f>
        <v>182</v>
      </c>
      <c r="H183" s="15"/>
      <c r="I183" s="14"/>
      <c r="J183" s="16" t="str">
        <f aca="false">IF(OR(H183="",D183="",C183="",G183&lt;$P$2),"",MAX(0,ROUND(D183-C183,2)))</f>
        <v/>
      </c>
      <c r="K183" s="17"/>
      <c r="L183" s="16" t="str">
        <f aca="false">IF(NOT(ISNUMBER(K183)),"",ROUND(K183-N(M182)-N(J183),2))</f>
        <v/>
      </c>
      <c r="M183" s="16" t="n">
        <f aca="false">IF(ISNUMBER(K183),K183,N(M182))</f>
        <v>0</v>
      </c>
      <c r="N183" s="0" t="str">
        <f aca="true">IF(AND(H183="",K183=""),"",TRIM(IF(AND(H183&lt;&gt;"",NOT(AND(LEN(H183)=10,MID(H183,5,1)="-",MID(H183,8,1)="-"))),"Fecha con formato invalido (usa AAAA-MM-DD). ","")&amp;IF(AND(H183&lt;&gt;"",COUNTIF($H$2:$H$367,H183)&gt;1),"Fecha repetida en otro dia. ","")&amp;IF(AND(H183&lt;&gt;"",H182&lt;&gt;"",H183&lt;=H182),"La fecha no es posterior a la del dia anterior. ","")&amp;IF(AND(H183&lt;&gt;"",ISNUMBER(A183),ISNUMBER(D182),ISNUMBER(C182),ABS(A183-IF(G182&gt;=$P$2,MIN(D182,C182),D182))&gt;0.005),"Bank roll inicial no sigue la regla del dia anterior (alguien sobrescribio la formula). ","")&amp;IF(AND(H183&lt;&gt;"",ISNUMBER(B183),ISNUMBER(A183),ABS(B183-A183/8)&gt;0.00001),"Stake distinto de Bank roll/8. ","")&amp;IF(AND(H183&lt;&gt;"",ISNUMBER(E183),ABS(E183)&gt;0.005),"Residuo distinto de 0. ","")&amp;IF(AND(K183&lt;&gt;"",OR(NOT(ISNUMBER(K183)),N(K183)&lt;0)),"Saldo L2 no numerico o negativo. ","")&amp;IF(AND(H183&lt;&gt;"",H183&lt;TEXT(TODAY(),"yyyy-mm-dd"),G183&gt;=$P$2,K183="",OR(N(J183)&gt;0,N(M182)&gt;0)),"Falta cerrar el Saldo L2 de este dia. ","")&amp;IF(AND(H183&lt;&gt;"",SUMPRODUCT((Registros!$C$2:$C$3000=H183)*ISTEXT(Registros!$AP$2:$AP$3000))&gt;0),"Hay P/L guardado como texto en Registros (no suma). ","")))</f>
        <v/>
      </c>
    </row>
    <row r="184" customFormat="false" ht="15" hidden="false" customHeight="true" outlineLevel="0" collapsed="false">
      <c r="A184" s="13" t="n">
        <f aca="false">IF(D183="","",IF(G183&gt;=$P$2,MIN(D183,C183),D183))</f>
        <v>8</v>
      </c>
      <c r="B184" s="13" t="n">
        <f aca="false">IF(A184="","",A184/8)</f>
        <v>1</v>
      </c>
      <c r="C184" s="13" t="n">
        <f aca="false">IF(OR(A184="",B184=""),"",A184+B184)</f>
        <v>9</v>
      </c>
      <c r="D184" s="13" t="n">
        <f aca="false">IF(A184="","",A184+SUMIFS(Registros!$AP:$AP,Registros!$C:$C,H184))</f>
        <v>8</v>
      </c>
      <c r="E184" s="13" t="n">
        <f aca="false">IF(A184="","",ROUND(A184-8*B184,2))</f>
        <v>0</v>
      </c>
      <c r="F184" s="13" t="n">
        <f aca="false">IF(OR(D184="",C184=""),"",D184-C184)</f>
        <v>-1</v>
      </c>
      <c r="G184" s="20" t="n">
        <f aca="false">IF(G183="","",G183+1)</f>
        <v>183</v>
      </c>
      <c r="H184" s="15"/>
      <c r="I184" s="14"/>
      <c r="J184" s="16" t="str">
        <f aca="false">IF(OR(H184="",D184="",C184="",G184&lt;$P$2),"",MAX(0,ROUND(D184-C184,2)))</f>
        <v/>
      </c>
      <c r="K184" s="17"/>
      <c r="L184" s="16" t="str">
        <f aca="false">IF(NOT(ISNUMBER(K184)),"",ROUND(K184-N(M183)-N(J184),2))</f>
        <v/>
      </c>
      <c r="M184" s="16" t="n">
        <f aca="false">IF(ISNUMBER(K184),K184,N(M183))</f>
        <v>0</v>
      </c>
      <c r="N184" s="0" t="str">
        <f aca="true">IF(AND(H184="",K184=""),"",TRIM(IF(AND(H184&lt;&gt;"",NOT(AND(LEN(H184)=10,MID(H184,5,1)="-",MID(H184,8,1)="-"))),"Fecha con formato invalido (usa AAAA-MM-DD). ","")&amp;IF(AND(H184&lt;&gt;"",COUNTIF($H$2:$H$367,H184)&gt;1),"Fecha repetida en otro dia. ","")&amp;IF(AND(H184&lt;&gt;"",H183&lt;&gt;"",H184&lt;=H183),"La fecha no es posterior a la del dia anterior. ","")&amp;IF(AND(H184&lt;&gt;"",ISNUMBER(A184),ISNUMBER(D183),ISNUMBER(C183),ABS(A184-IF(G183&gt;=$P$2,MIN(D183,C183),D183))&gt;0.005),"Bank roll inicial no sigue la regla del dia anterior (alguien sobrescribio la formula). ","")&amp;IF(AND(H184&lt;&gt;"",ISNUMBER(B184),ISNUMBER(A184),ABS(B184-A184/8)&gt;0.00001),"Stake distinto de Bank roll/8. ","")&amp;IF(AND(H184&lt;&gt;"",ISNUMBER(E184),ABS(E184)&gt;0.005),"Residuo distinto de 0. ","")&amp;IF(AND(K184&lt;&gt;"",OR(NOT(ISNUMBER(K184)),N(K184)&lt;0)),"Saldo L2 no numerico o negativo. ","")&amp;IF(AND(H184&lt;&gt;"",H184&lt;TEXT(TODAY(),"yyyy-mm-dd"),G184&gt;=$P$2,K184="",OR(N(J184)&gt;0,N(M183)&gt;0)),"Falta cerrar el Saldo L2 de este dia. ","")&amp;IF(AND(H184&lt;&gt;"",SUMPRODUCT((Registros!$C$2:$C$3000=H184)*ISTEXT(Registros!$AP$2:$AP$3000))&gt;0),"Hay P/L guardado como texto en Registros (no suma). ","")))</f>
        <v/>
      </c>
    </row>
    <row r="185" customFormat="false" ht="15" hidden="false" customHeight="true" outlineLevel="0" collapsed="false">
      <c r="A185" s="13" t="n">
        <f aca="false">IF(D184="","",IF(G184&gt;=$P$2,MIN(D184,C184),D184))</f>
        <v>8</v>
      </c>
      <c r="B185" s="13" t="n">
        <f aca="false">IF(A185="","",A185/8)</f>
        <v>1</v>
      </c>
      <c r="C185" s="13" t="n">
        <f aca="false">IF(OR(A185="",B185=""),"",A185+B185)</f>
        <v>9</v>
      </c>
      <c r="D185" s="13" t="n">
        <f aca="false">IF(A185="","",A185+SUMIFS(Registros!$AP:$AP,Registros!$C:$C,H185))</f>
        <v>8</v>
      </c>
      <c r="E185" s="13" t="n">
        <f aca="false">IF(A185="","",ROUND(A185-8*B185,2))</f>
        <v>0</v>
      </c>
      <c r="F185" s="13" t="n">
        <f aca="false">IF(OR(D185="",C185=""),"",D185-C185)</f>
        <v>-1</v>
      </c>
      <c r="G185" s="20" t="n">
        <f aca="false">IF(G184="","",G184+1)</f>
        <v>184</v>
      </c>
      <c r="H185" s="15"/>
      <c r="I185" s="14"/>
      <c r="J185" s="16" t="str">
        <f aca="false">IF(OR(H185="",D185="",C185="",G185&lt;$P$2),"",MAX(0,ROUND(D185-C185,2)))</f>
        <v/>
      </c>
      <c r="K185" s="17"/>
      <c r="L185" s="16" t="str">
        <f aca="false">IF(NOT(ISNUMBER(K185)),"",ROUND(K185-N(M184)-N(J185),2))</f>
        <v/>
      </c>
      <c r="M185" s="16" t="n">
        <f aca="false">IF(ISNUMBER(K185),K185,N(M184))</f>
        <v>0</v>
      </c>
      <c r="N185" s="0" t="str">
        <f aca="true">IF(AND(H185="",K185=""),"",TRIM(IF(AND(H185&lt;&gt;"",NOT(AND(LEN(H185)=10,MID(H185,5,1)="-",MID(H185,8,1)="-"))),"Fecha con formato invalido (usa AAAA-MM-DD). ","")&amp;IF(AND(H185&lt;&gt;"",COUNTIF($H$2:$H$367,H185)&gt;1),"Fecha repetida en otro dia. ","")&amp;IF(AND(H185&lt;&gt;"",H184&lt;&gt;"",H185&lt;=H184),"La fecha no es posterior a la del dia anterior. ","")&amp;IF(AND(H185&lt;&gt;"",ISNUMBER(A185),ISNUMBER(D184),ISNUMBER(C184),ABS(A185-IF(G184&gt;=$P$2,MIN(D184,C184),D184))&gt;0.005),"Bank roll inicial no sigue la regla del dia anterior (alguien sobrescribio la formula). ","")&amp;IF(AND(H185&lt;&gt;"",ISNUMBER(B185),ISNUMBER(A185),ABS(B185-A185/8)&gt;0.00001),"Stake distinto de Bank roll/8. ","")&amp;IF(AND(H185&lt;&gt;"",ISNUMBER(E185),ABS(E185)&gt;0.005),"Residuo distinto de 0. ","")&amp;IF(AND(K185&lt;&gt;"",OR(NOT(ISNUMBER(K185)),N(K185)&lt;0)),"Saldo L2 no numerico o negativo. ","")&amp;IF(AND(H185&lt;&gt;"",H185&lt;TEXT(TODAY(),"yyyy-mm-dd"),G185&gt;=$P$2,K185="",OR(N(J185)&gt;0,N(M184)&gt;0)),"Falta cerrar el Saldo L2 de este dia. ","")&amp;IF(AND(H185&lt;&gt;"",SUMPRODUCT((Registros!$C$2:$C$3000=H185)*ISTEXT(Registros!$AP$2:$AP$3000))&gt;0),"Hay P/L guardado como texto en Registros (no suma). ","")))</f>
        <v/>
      </c>
    </row>
    <row r="186" customFormat="false" ht="15" hidden="false" customHeight="true" outlineLevel="0" collapsed="false">
      <c r="A186" s="13" t="n">
        <f aca="false">IF(D185="","",IF(G185&gt;=$P$2,MIN(D185,C185),D185))</f>
        <v>8</v>
      </c>
      <c r="B186" s="13" t="n">
        <f aca="false">IF(A186="","",A186/8)</f>
        <v>1</v>
      </c>
      <c r="C186" s="13" t="n">
        <f aca="false">IF(OR(A186="",B186=""),"",A186+B186)</f>
        <v>9</v>
      </c>
      <c r="D186" s="13" t="n">
        <f aca="false">IF(A186="","",A186+SUMIFS(Registros!$AP:$AP,Registros!$C:$C,H186))</f>
        <v>8</v>
      </c>
      <c r="E186" s="13" t="n">
        <f aca="false">IF(A186="","",ROUND(A186-8*B186,2))</f>
        <v>0</v>
      </c>
      <c r="F186" s="13" t="n">
        <f aca="false">IF(OR(D186="",C186=""),"",D186-C186)</f>
        <v>-1</v>
      </c>
      <c r="G186" s="20" t="n">
        <f aca="false">IF(G185="","",G185+1)</f>
        <v>185</v>
      </c>
      <c r="H186" s="15"/>
      <c r="I186" s="14"/>
      <c r="J186" s="16" t="str">
        <f aca="false">IF(OR(H186="",D186="",C186="",G186&lt;$P$2),"",MAX(0,ROUND(D186-C186,2)))</f>
        <v/>
      </c>
      <c r="K186" s="17"/>
      <c r="L186" s="16" t="str">
        <f aca="false">IF(NOT(ISNUMBER(K186)),"",ROUND(K186-N(M185)-N(J186),2))</f>
        <v/>
      </c>
      <c r="M186" s="16" t="n">
        <f aca="false">IF(ISNUMBER(K186),K186,N(M185))</f>
        <v>0</v>
      </c>
      <c r="N186" s="0" t="str">
        <f aca="true">IF(AND(H186="",K186=""),"",TRIM(IF(AND(H186&lt;&gt;"",NOT(AND(LEN(H186)=10,MID(H186,5,1)="-",MID(H186,8,1)="-"))),"Fecha con formato invalido (usa AAAA-MM-DD). ","")&amp;IF(AND(H186&lt;&gt;"",COUNTIF($H$2:$H$367,H186)&gt;1),"Fecha repetida en otro dia. ","")&amp;IF(AND(H186&lt;&gt;"",H185&lt;&gt;"",H186&lt;=H185),"La fecha no es posterior a la del dia anterior. ","")&amp;IF(AND(H186&lt;&gt;"",ISNUMBER(A186),ISNUMBER(D185),ISNUMBER(C185),ABS(A186-IF(G185&gt;=$P$2,MIN(D185,C185),D185))&gt;0.005),"Bank roll inicial no sigue la regla del dia anterior (alguien sobrescribio la formula). ","")&amp;IF(AND(H186&lt;&gt;"",ISNUMBER(B186),ISNUMBER(A186),ABS(B186-A186/8)&gt;0.00001),"Stake distinto de Bank roll/8. ","")&amp;IF(AND(H186&lt;&gt;"",ISNUMBER(E186),ABS(E186)&gt;0.005),"Residuo distinto de 0. ","")&amp;IF(AND(K186&lt;&gt;"",OR(NOT(ISNUMBER(K186)),N(K186)&lt;0)),"Saldo L2 no numerico o negativo. ","")&amp;IF(AND(H186&lt;&gt;"",H186&lt;TEXT(TODAY(),"yyyy-mm-dd"),G186&gt;=$P$2,K186="",OR(N(J186)&gt;0,N(M185)&gt;0)),"Falta cerrar el Saldo L2 de este dia. ","")&amp;IF(AND(H186&lt;&gt;"",SUMPRODUCT((Registros!$C$2:$C$3000=H186)*ISTEXT(Registros!$AP$2:$AP$3000))&gt;0),"Hay P/L guardado como texto en Registros (no suma). ","")))</f>
        <v/>
      </c>
    </row>
    <row r="187" customFormat="false" ht="15" hidden="false" customHeight="true" outlineLevel="0" collapsed="false">
      <c r="A187" s="13" t="n">
        <f aca="false">IF(D186="","",IF(G186&gt;=$P$2,MIN(D186,C186),D186))</f>
        <v>8</v>
      </c>
      <c r="B187" s="13" t="n">
        <f aca="false">IF(A187="","",A187/8)</f>
        <v>1</v>
      </c>
      <c r="C187" s="13" t="n">
        <f aca="false">IF(OR(A187="",B187=""),"",A187+B187)</f>
        <v>9</v>
      </c>
      <c r="D187" s="13" t="n">
        <f aca="false">IF(A187="","",A187+SUMIFS(Registros!$AP:$AP,Registros!$C:$C,H187))</f>
        <v>8</v>
      </c>
      <c r="E187" s="13" t="n">
        <f aca="false">IF(A187="","",ROUND(A187-8*B187,2))</f>
        <v>0</v>
      </c>
      <c r="F187" s="13" t="n">
        <f aca="false">IF(OR(D187="",C187=""),"",D187-C187)</f>
        <v>-1</v>
      </c>
      <c r="G187" s="20" t="n">
        <f aca="false">IF(G186="","",G186+1)</f>
        <v>186</v>
      </c>
      <c r="H187" s="15"/>
      <c r="I187" s="14"/>
      <c r="J187" s="16" t="str">
        <f aca="false">IF(OR(H187="",D187="",C187="",G187&lt;$P$2),"",MAX(0,ROUND(D187-C187,2)))</f>
        <v/>
      </c>
      <c r="K187" s="17"/>
      <c r="L187" s="16" t="str">
        <f aca="false">IF(NOT(ISNUMBER(K187)),"",ROUND(K187-N(M186)-N(J187),2))</f>
        <v/>
      </c>
      <c r="M187" s="16" t="n">
        <f aca="false">IF(ISNUMBER(K187),K187,N(M186))</f>
        <v>0</v>
      </c>
      <c r="N187" s="0" t="str">
        <f aca="true">IF(AND(H187="",K187=""),"",TRIM(IF(AND(H187&lt;&gt;"",NOT(AND(LEN(H187)=10,MID(H187,5,1)="-",MID(H187,8,1)="-"))),"Fecha con formato invalido (usa AAAA-MM-DD). ","")&amp;IF(AND(H187&lt;&gt;"",COUNTIF($H$2:$H$367,H187)&gt;1),"Fecha repetida en otro dia. ","")&amp;IF(AND(H187&lt;&gt;"",H186&lt;&gt;"",H187&lt;=H186),"La fecha no es posterior a la del dia anterior. ","")&amp;IF(AND(H187&lt;&gt;"",ISNUMBER(A187),ISNUMBER(D186),ISNUMBER(C186),ABS(A187-IF(G186&gt;=$P$2,MIN(D186,C186),D186))&gt;0.005),"Bank roll inicial no sigue la regla del dia anterior (alguien sobrescribio la formula). ","")&amp;IF(AND(H187&lt;&gt;"",ISNUMBER(B187),ISNUMBER(A187),ABS(B187-A187/8)&gt;0.00001),"Stake distinto de Bank roll/8. ","")&amp;IF(AND(H187&lt;&gt;"",ISNUMBER(E187),ABS(E187)&gt;0.005),"Residuo distinto de 0. ","")&amp;IF(AND(K187&lt;&gt;"",OR(NOT(ISNUMBER(K187)),N(K187)&lt;0)),"Saldo L2 no numerico o negativo. ","")&amp;IF(AND(H187&lt;&gt;"",H187&lt;TEXT(TODAY(),"yyyy-mm-dd"),G187&gt;=$P$2,K187="",OR(N(J187)&gt;0,N(M186)&gt;0)),"Falta cerrar el Saldo L2 de este dia. ","")&amp;IF(AND(H187&lt;&gt;"",SUMPRODUCT((Registros!$C$2:$C$3000=H187)*ISTEXT(Registros!$AP$2:$AP$3000))&gt;0),"Hay P/L guardado como texto en Registros (no suma). ","")))</f>
        <v/>
      </c>
    </row>
    <row r="188" customFormat="false" ht="15" hidden="false" customHeight="true" outlineLevel="0" collapsed="false">
      <c r="A188" s="13" t="n">
        <f aca="false">IF(D187="","",IF(G187&gt;=$P$2,MIN(D187,C187),D187))</f>
        <v>8</v>
      </c>
      <c r="B188" s="13" t="n">
        <f aca="false">IF(A188="","",A188/8)</f>
        <v>1</v>
      </c>
      <c r="C188" s="13" t="n">
        <f aca="false">IF(OR(A188="",B188=""),"",A188+B188)</f>
        <v>9</v>
      </c>
      <c r="D188" s="13" t="n">
        <f aca="false">IF(A188="","",A188+SUMIFS(Registros!$AP:$AP,Registros!$C:$C,H188))</f>
        <v>8</v>
      </c>
      <c r="E188" s="13" t="n">
        <f aca="false">IF(A188="","",ROUND(A188-8*B188,2))</f>
        <v>0</v>
      </c>
      <c r="F188" s="13" t="n">
        <f aca="false">IF(OR(D188="",C188=""),"",D188-C188)</f>
        <v>-1</v>
      </c>
      <c r="G188" s="20" t="n">
        <f aca="false">IF(G187="","",G187+1)</f>
        <v>187</v>
      </c>
      <c r="H188" s="15"/>
      <c r="I188" s="14"/>
      <c r="J188" s="16" t="str">
        <f aca="false">IF(OR(H188="",D188="",C188="",G188&lt;$P$2),"",MAX(0,ROUND(D188-C188,2)))</f>
        <v/>
      </c>
      <c r="K188" s="17"/>
      <c r="L188" s="16" t="str">
        <f aca="false">IF(NOT(ISNUMBER(K188)),"",ROUND(K188-N(M187)-N(J188),2))</f>
        <v/>
      </c>
      <c r="M188" s="16" t="n">
        <f aca="false">IF(ISNUMBER(K188),K188,N(M187))</f>
        <v>0</v>
      </c>
      <c r="N188" s="0" t="str">
        <f aca="true">IF(AND(H188="",K188=""),"",TRIM(IF(AND(H188&lt;&gt;"",NOT(AND(LEN(H188)=10,MID(H188,5,1)="-",MID(H188,8,1)="-"))),"Fecha con formato invalido (usa AAAA-MM-DD). ","")&amp;IF(AND(H188&lt;&gt;"",COUNTIF($H$2:$H$367,H188)&gt;1),"Fecha repetida en otro dia. ","")&amp;IF(AND(H188&lt;&gt;"",H187&lt;&gt;"",H188&lt;=H187),"La fecha no es posterior a la del dia anterior. ","")&amp;IF(AND(H188&lt;&gt;"",ISNUMBER(A188),ISNUMBER(D187),ISNUMBER(C187),ABS(A188-IF(G187&gt;=$P$2,MIN(D187,C187),D187))&gt;0.005),"Bank roll inicial no sigue la regla del dia anterior (alguien sobrescribio la formula). ","")&amp;IF(AND(H188&lt;&gt;"",ISNUMBER(B188),ISNUMBER(A188),ABS(B188-A188/8)&gt;0.00001),"Stake distinto de Bank roll/8. ","")&amp;IF(AND(H188&lt;&gt;"",ISNUMBER(E188),ABS(E188)&gt;0.005),"Residuo distinto de 0. ","")&amp;IF(AND(K188&lt;&gt;"",OR(NOT(ISNUMBER(K188)),N(K188)&lt;0)),"Saldo L2 no numerico o negativo. ","")&amp;IF(AND(H188&lt;&gt;"",H188&lt;TEXT(TODAY(),"yyyy-mm-dd"),G188&gt;=$P$2,K188="",OR(N(J188)&gt;0,N(M187)&gt;0)),"Falta cerrar el Saldo L2 de este dia. ","")&amp;IF(AND(H188&lt;&gt;"",SUMPRODUCT((Registros!$C$2:$C$3000=H188)*ISTEXT(Registros!$AP$2:$AP$3000))&gt;0),"Hay P/L guardado como texto en Registros (no suma). ","")))</f>
        <v/>
      </c>
    </row>
    <row r="189" customFormat="false" ht="15" hidden="false" customHeight="true" outlineLevel="0" collapsed="false">
      <c r="A189" s="13" t="n">
        <f aca="false">IF(D188="","",IF(G188&gt;=$P$2,MIN(D188,C188),D188))</f>
        <v>8</v>
      </c>
      <c r="B189" s="13" t="n">
        <f aca="false">IF(A189="","",A189/8)</f>
        <v>1</v>
      </c>
      <c r="C189" s="13" t="n">
        <f aca="false">IF(OR(A189="",B189=""),"",A189+B189)</f>
        <v>9</v>
      </c>
      <c r="D189" s="13" t="n">
        <f aca="false">IF(A189="","",A189+SUMIFS(Registros!$AP:$AP,Registros!$C:$C,H189))</f>
        <v>8</v>
      </c>
      <c r="E189" s="13" t="n">
        <f aca="false">IF(A189="","",ROUND(A189-8*B189,2))</f>
        <v>0</v>
      </c>
      <c r="F189" s="13" t="n">
        <f aca="false">IF(OR(D189="",C189=""),"",D189-C189)</f>
        <v>-1</v>
      </c>
      <c r="G189" s="20" t="n">
        <f aca="false">IF(G188="","",G188+1)</f>
        <v>188</v>
      </c>
      <c r="H189" s="15"/>
      <c r="I189" s="14"/>
      <c r="J189" s="16" t="str">
        <f aca="false">IF(OR(H189="",D189="",C189="",G189&lt;$P$2),"",MAX(0,ROUND(D189-C189,2)))</f>
        <v/>
      </c>
      <c r="K189" s="17"/>
      <c r="L189" s="16" t="str">
        <f aca="false">IF(NOT(ISNUMBER(K189)),"",ROUND(K189-N(M188)-N(J189),2))</f>
        <v/>
      </c>
      <c r="M189" s="16" t="n">
        <f aca="false">IF(ISNUMBER(K189),K189,N(M188))</f>
        <v>0</v>
      </c>
      <c r="N189" s="0" t="str">
        <f aca="true">IF(AND(H189="",K189=""),"",TRIM(IF(AND(H189&lt;&gt;"",NOT(AND(LEN(H189)=10,MID(H189,5,1)="-",MID(H189,8,1)="-"))),"Fecha con formato invalido (usa AAAA-MM-DD). ","")&amp;IF(AND(H189&lt;&gt;"",COUNTIF($H$2:$H$367,H189)&gt;1),"Fecha repetida en otro dia. ","")&amp;IF(AND(H189&lt;&gt;"",H188&lt;&gt;"",H189&lt;=H188),"La fecha no es posterior a la del dia anterior. ","")&amp;IF(AND(H189&lt;&gt;"",ISNUMBER(A189),ISNUMBER(D188),ISNUMBER(C188),ABS(A189-IF(G188&gt;=$P$2,MIN(D188,C188),D188))&gt;0.005),"Bank roll inicial no sigue la regla del dia anterior (alguien sobrescribio la formula). ","")&amp;IF(AND(H189&lt;&gt;"",ISNUMBER(B189),ISNUMBER(A189),ABS(B189-A189/8)&gt;0.00001),"Stake distinto de Bank roll/8. ","")&amp;IF(AND(H189&lt;&gt;"",ISNUMBER(E189),ABS(E189)&gt;0.005),"Residuo distinto de 0. ","")&amp;IF(AND(K189&lt;&gt;"",OR(NOT(ISNUMBER(K189)),N(K189)&lt;0)),"Saldo L2 no numerico o negativo. ","")&amp;IF(AND(H189&lt;&gt;"",H189&lt;TEXT(TODAY(),"yyyy-mm-dd"),G189&gt;=$P$2,K189="",OR(N(J189)&gt;0,N(M188)&gt;0)),"Falta cerrar el Saldo L2 de este dia. ","")&amp;IF(AND(H189&lt;&gt;"",SUMPRODUCT((Registros!$C$2:$C$3000=H189)*ISTEXT(Registros!$AP$2:$AP$3000))&gt;0),"Hay P/L guardado como texto en Registros (no suma). ","")))</f>
        <v/>
      </c>
    </row>
    <row r="190" customFormat="false" ht="15" hidden="false" customHeight="true" outlineLevel="0" collapsed="false">
      <c r="A190" s="13" t="n">
        <f aca="false">IF(D189="","",IF(G189&gt;=$P$2,MIN(D189,C189),D189))</f>
        <v>8</v>
      </c>
      <c r="B190" s="13" t="n">
        <f aca="false">IF(A190="","",A190/8)</f>
        <v>1</v>
      </c>
      <c r="C190" s="13" t="n">
        <f aca="false">IF(OR(A190="",B190=""),"",A190+B190)</f>
        <v>9</v>
      </c>
      <c r="D190" s="13" t="n">
        <f aca="false">IF(A190="","",A190+SUMIFS(Registros!$AP:$AP,Registros!$C:$C,H190))</f>
        <v>8</v>
      </c>
      <c r="E190" s="13" t="n">
        <f aca="false">IF(A190="","",ROUND(A190-8*B190,2))</f>
        <v>0</v>
      </c>
      <c r="F190" s="13" t="n">
        <f aca="false">IF(OR(D190="",C190=""),"",D190-C190)</f>
        <v>-1</v>
      </c>
      <c r="G190" s="20" t="n">
        <f aca="false">IF(G189="","",G189+1)</f>
        <v>189</v>
      </c>
      <c r="H190" s="15"/>
      <c r="I190" s="14"/>
      <c r="J190" s="16" t="str">
        <f aca="false">IF(OR(H190="",D190="",C190="",G190&lt;$P$2),"",MAX(0,ROUND(D190-C190,2)))</f>
        <v/>
      </c>
      <c r="K190" s="17"/>
      <c r="L190" s="16" t="str">
        <f aca="false">IF(NOT(ISNUMBER(K190)),"",ROUND(K190-N(M189)-N(J190),2))</f>
        <v/>
      </c>
      <c r="M190" s="16" t="n">
        <f aca="false">IF(ISNUMBER(K190),K190,N(M189))</f>
        <v>0</v>
      </c>
      <c r="N190" s="0" t="str">
        <f aca="true">IF(AND(H190="",K190=""),"",TRIM(IF(AND(H190&lt;&gt;"",NOT(AND(LEN(H190)=10,MID(H190,5,1)="-",MID(H190,8,1)="-"))),"Fecha con formato invalido (usa AAAA-MM-DD). ","")&amp;IF(AND(H190&lt;&gt;"",COUNTIF($H$2:$H$367,H190)&gt;1),"Fecha repetida en otro dia. ","")&amp;IF(AND(H190&lt;&gt;"",H189&lt;&gt;"",H190&lt;=H189),"La fecha no es posterior a la del dia anterior. ","")&amp;IF(AND(H190&lt;&gt;"",ISNUMBER(A190),ISNUMBER(D189),ISNUMBER(C189),ABS(A190-IF(G189&gt;=$P$2,MIN(D189,C189),D189))&gt;0.005),"Bank roll inicial no sigue la regla del dia anterior (alguien sobrescribio la formula). ","")&amp;IF(AND(H190&lt;&gt;"",ISNUMBER(B190),ISNUMBER(A190),ABS(B190-A190/8)&gt;0.00001),"Stake distinto de Bank roll/8. ","")&amp;IF(AND(H190&lt;&gt;"",ISNUMBER(E190),ABS(E190)&gt;0.005),"Residuo distinto de 0. ","")&amp;IF(AND(K190&lt;&gt;"",OR(NOT(ISNUMBER(K190)),N(K190)&lt;0)),"Saldo L2 no numerico o negativo. ","")&amp;IF(AND(H190&lt;&gt;"",H190&lt;TEXT(TODAY(),"yyyy-mm-dd"),G190&gt;=$P$2,K190="",OR(N(J190)&gt;0,N(M189)&gt;0)),"Falta cerrar el Saldo L2 de este dia. ","")&amp;IF(AND(H190&lt;&gt;"",SUMPRODUCT((Registros!$C$2:$C$3000=H190)*ISTEXT(Registros!$AP$2:$AP$3000))&gt;0),"Hay P/L guardado como texto en Registros (no suma). ","")))</f>
        <v/>
      </c>
    </row>
    <row r="191" customFormat="false" ht="15" hidden="false" customHeight="true" outlineLevel="0" collapsed="false">
      <c r="A191" s="13" t="n">
        <f aca="false">IF(D190="","",IF(G190&gt;=$P$2,MIN(D190,C190),D190))</f>
        <v>8</v>
      </c>
      <c r="B191" s="13" t="n">
        <f aca="false">IF(A191="","",A191/8)</f>
        <v>1</v>
      </c>
      <c r="C191" s="13" t="n">
        <f aca="false">IF(OR(A191="",B191=""),"",A191+B191)</f>
        <v>9</v>
      </c>
      <c r="D191" s="13" t="n">
        <f aca="false">IF(A191="","",A191+SUMIFS(Registros!$AP:$AP,Registros!$C:$C,H191))</f>
        <v>8</v>
      </c>
      <c r="E191" s="13" t="n">
        <f aca="false">IF(A191="","",ROUND(A191-8*B191,2))</f>
        <v>0</v>
      </c>
      <c r="F191" s="13" t="n">
        <f aca="false">IF(OR(D191="",C191=""),"",D191-C191)</f>
        <v>-1</v>
      </c>
      <c r="G191" s="20" t="n">
        <f aca="false">IF(G190="","",G190+1)</f>
        <v>190</v>
      </c>
      <c r="H191" s="15"/>
      <c r="I191" s="14"/>
      <c r="J191" s="16" t="str">
        <f aca="false">IF(OR(H191="",D191="",C191="",G191&lt;$P$2),"",MAX(0,ROUND(D191-C191,2)))</f>
        <v/>
      </c>
      <c r="K191" s="17"/>
      <c r="L191" s="16" t="str">
        <f aca="false">IF(NOT(ISNUMBER(K191)),"",ROUND(K191-N(M190)-N(J191),2))</f>
        <v/>
      </c>
      <c r="M191" s="16" t="n">
        <f aca="false">IF(ISNUMBER(K191),K191,N(M190))</f>
        <v>0</v>
      </c>
      <c r="N191" s="0" t="str">
        <f aca="true">IF(AND(H191="",K191=""),"",TRIM(IF(AND(H191&lt;&gt;"",NOT(AND(LEN(H191)=10,MID(H191,5,1)="-",MID(H191,8,1)="-"))),"Fecha con formato invalido (usa AAAA-MM-DD). ","")&amp;IF(AND(H191&lt;&gt;"",COUNTIF($H$2:$H$367,H191)&gt;1),"Fecha repetida en otro dia. ","")&amp;IF(AND(H191&lt;&gt;"",H190&lt;&gt;"",H191&lt;=H190),"La fecha no es posterior a la del dia anterior. ","")&amp;IF(AND(H191&lt;&gt;"",ISNUMBER(A191),ISNUMBER(D190),ISNUMBER(C190),ABS(A191-IF(G190&gt;=$P$2,MIN(D190,C190),D190))&gt;0.005),"Bank roll inicial no sigue la regla del dia anterior (alguien sobrescribio la formula). ","")&amp;IF(AND(H191&lt;&gt;"",ISNUMBER(B191),ISNUMBER(A191),ABS(B191-A191/8)&gt;0.00001),"Stake distinto de Bank roll/8. ","")&amp;IF(AND(H191&lt;&gt;"",ISNUMBER(E191),ABS(E191)&gt;0.005),"Residuo distinto de 0. ","")&amp;IF(AND(K191&lt;&gt;"",OR(NOT(ISNUMBER(K191)),N(K191)&lt;0)),"Saldo L2 no numerico o negativo. ","")&amp;IF(AND(H191&lt;&gt;"",H191&lt;TEXT(TODAY(),"yyyy-mm-dd"),G191&gt;=$P$2,K191="",OR(N(J191)&gt;0,N(M190)&gt;0)),"Falta cerrar el Saldo L2 de este dia. ","")&amp;IF(AND(H191&lt;&gt;"",SUMPRODUCT((Registros!$C$2:$C$3000=H191)*ISTEXT(Registros!$AP$2:$AP$3000))&gt;0),"Hay P/L guardado como texto en Registros (no suma). ","")))</f>
        <v/>
      </c>
    </row>
    <row r="192" customFormat="false" ht="15" hidden="false" customHeight="true" outlineLevel="0" collapsed="false">
      <c r="A192" s="13" t="n">
        <f aca="false">IF(D191="","",IF(G191&gt;=$P$2,MIN(D191,C191),D191))</f>
        <v>8</v>
      </c>
      <c r="B192" s="13" t="n">
        <f aca="false">IF(A192="","",A192/8)</f>
        <v>1</v>
      </c>
      <c r="C192" s="13" t="n">
        <f aca="false">IF(OR(A192="",B192=""),"",A192+B192)</f>
        <v>9</v>
      </c>
      <c r="D192" s="13" t="n">
        <f aca="false">IF(A192="","",A192+SUMIFS(Registros!$AP:$AP,Registros!$C:$C,H192))</f>
        <v>8</v>
      </c>
      <c r="E192" s="13" t="n">
        <f aca="false">IF(A192="","",ROUND(A192-8*B192,2))</f>
        <v>0</v>
      </c>
      <c r="F192" s="13" t="n">
        <f aca="false">IF(OR(D192="",C192=""),"",D192-C192)</f>
        <v>-1</v>
      </c>
      <c r="G192" s="20" t="n">
        <f aca="false">IF(G191="","",G191+1)</f>
        <v>191</v>
      </c>
      <c r="H192" s="15"/>
      <c r="I192" s="14"/>
      <c r="J192" s="16" t="str">
        <f aca="false">IF(OR(H192="",D192="",C192="",G192&lt;$P$2),"",MAX(0,ROUND(D192-C192,2)))</f>
        <v/>
      </c>
      <c r="K192" s="17"/>
      <c r="L192" s="16" t="str">
        <f aca="false">IF(NOT(ISNUMBER(K192)),"",ROUND(K192-N(M191)-N(J192),2))</f>
        <v/>
      </c>
      <c r="M192" s="16" t="n">
        <f aca="false">IF(ISNUMBER(K192),K192,N(M191))</f>
        <v>0</v>
      </c>
      <c r="N192" s="0" t="str">
        <f aca="true">IF(AND(H192="",K192=""),"",TRIM(IF(AND(H192&lt;&gt;"",NOT(AND(LEN(H192)=10,MID(H192,5,1)="-",MID(H192,8,1)="-"))),"Fecha con formato invalido (usa AAAA-MM-DD). ","")&amp;IF(AND(H192&lt;&gt;"",COUNTIF($H$2:$H$367,H192)&gt;1),"Fecha repetida en otro dia. ","")&amp;IF(AND(H192&lt;&gt;"",H191&lt;&gt;"",H192&lt;=H191),"La fecha no es posterior a la del dia anterior. ","")&amp;IF(AND(H192&lt;&gt;"",ISNUMBER(A192),ISNUMBER(D191),ISNUMBER(C191),ABS(A192-IF(G191&gt;=$P$2,MIN(D191,C191),D191))&gt;0.005),"Bank roll inicial no sigue la regla del dia anterior (alguien sobrescribio la formula). ","")&amp;IF(AND(H192&lt;&gt;"",ISNUMBER(B192),ISNUMBER(A192),ABS(B192-A192/8)&gt;0.00001),"Stake distinto de Bank roll/8. ","")&amp;IF(AND(H192&lt;&gt;"",ISNUMBER(E192),ABS(E192)&gt;0.005),"Residuo distinto de 0. ","")&amp;IF(AND(K192&lt;&gt;"",OR(NOT(ISNUMBER(K192)),N(K192)&lt;0)),"Saldo L2 no numerico o negativo. ","")&amp;IF(AND(H192&lt;&gt;"",H192&lt;TEXT(TODAY(),"yyyy-mm-dd"),G192&gt;=$P$2,K192="",OR(N(J192)&gt;0,N(M191)&gt;0)),"Falta cerrar el Saldo L2 de este dia. ","")&amp;IF(AND(H192&lt;&gt;"",SUMPRODUCT((Registros!$C$2:$C$3000=H192)*ISTEXT(Registros!$AP$2:$AP$3000))&gt;0),"Hay P/L guardado como texto en Registros (no suma). ","")))</f>
        <v/>
      </c>
    </row>
    <row r="193" customFormat="false" ht="15" hidden="false" customHeight="true" outlineLevel="0" collapsed="false">
      <c r="A193" s="13" t="n">
        <f aca="false">IF(D192="","",IF(G192&gt;=$P$2,MIN(D192,C192),D192))</f>
        <v>8</v>
      </c>
      <c r="B193" s="13" t="n">
        <f aca="false">IF(A193="","",A193/8)</f>
        <v>1</v>
      </c>
      <c r="C193" s="13" t="n">
        <f aca="false">IF(OR(A193="",B193=""),"",A193+B193)</f>
        <v>9</v>
      </c>
      <c r="D193" s="13" t="n">
        <f aca="false">IF(A193="","",A193+SUMIFS(Registros!$AP:$AP,Registros!$C:$C,H193))</f>
        <v>8</v>
      </c>
      <c r="E193" s="13" t="n">
        <f aca="false">IF(A193="","",ROUND(A193-8*B193,2))</f>
        <v>0</v>
      </c>
      <c r="F193" s="13" t="n">
        <f aca="false">IF(OR(D193="",C193=""),"",D193-C193)</f>
        <v>-1</v>
      </c>
      <c r="G193" s="20" t="n">
        <f aca="false">IF(G192="","",G192+1)</f>
        <v>192</v>
      </c>
      <c r="H193" s="15"/>
      <c r="I193" s="14"/>
      <c r="J193" s="16" t="str">
        <f aca="false">IF(OR(H193="",D193="",C193="",G193&lt;$P$2),"",MAX(0,ROUND(D193-C193,2)))</f>
        <v/>
      </c>
      <c r="K193" s="17"/>
      <c r="L193" s="16" t="str">
        <f aca="false">IF(NOT(ISNUMBER(K193)),"",ROUND(K193-N(M192)-N(J193),2))</f>
        <v/>
      </c>
      <c r="M193" s="16" t="n">
        <f aca="false">IF(ISNUMBER(K193),K193,N(M192))</f>
        <v>0</v>
      </c>
      <c r="N193" s="0" t="str">
        <f aca="true">IF(AND(H193="",K193=""),"",TRIM(IF(AND(H193&lt;&gt;"",NOT(AND(LEN(H193)=10,MID(H193,5,1)="-",MID(H193,8,1)="-"))),"Fecha con formato invalido (usa AAAA-MM-DD). ","")&amp;IF(AND(H193&lt;&gt;"",COUNTIF($H$2:$H$367,H193)&gt;1),"Fecha repetida en otro dia. ","")&amp;IF(AND(H193&lt;&gt;"",H192&lt;&gt;"",H193&lt;=H192),"La fecha no es posterior a la del dia anterior. ","")&amp;IF(AND(H193&lt;&gt;"",ISNUMBER(A193),ISNUMBER(D192),ISNUMBER(C192),ABS(A193-IF(G192&gt;=$P$2,MIN(D192,C192),D192))&gt;0.005),"Bank roll inicial no sigue la regla del dia anterior (alguien sobrescribio la formula). ","")&amp;IF(AND(H193&lt;&gt;"",ISNUMBER(B193),ISNUMBER(A193),ABS(B193-A193/8)&gt;0.00001),"Stake distinto de Bank roll/8. ","")&amp;IF(AND(H193&lt;&gt;"",ISNUMBER(E193),ABS(E193)&gt;0.005),"Residuo distinto de 0. ","")&amp;IF(AND(K193&lt;&gt;"",OR(NOT(ISNUMBER(K193)),N(K193)&lt;0)),"Saldo L2 no numerico o negativo. ","")&amp;IF(AND(H193&lt;&gt;"",H193&lt;TEXT(TODAY(),"yyyy-mm-dd"),G193&gt;=$P$2,K193="",OR(N(J193)&gt;0,N(M192)&gt;0)),"Falta cerrar el Saldo L2 de este dia. ","")&amp;IF(AND(H193&lt;&gt;"",SUMPRODUCT((Registros!$C$2:$C$3000=H193)*ISTEXT(Registros!$AP$2:$AP$3000))&gt;0),"Hay P/L guardado como texto en Registros (no suma). ","")))</f>
        <v/>
      </c>
    </row>
    <row r="194" customFormat="false" ht="15" hidden="false" customHeight="true" outlineLevel="0" collapsed="false">
      <c r="A194" s="13" t="n">
        <f aca="false">IF(D193="","",IF(G193&gt;=$P$2,MIN(D193,C193),D193))</f>
        <v>8</v>
      </c>
      <c r="B194" s="13" t="n">
        <f aca="false">IF(A194="","",A194/8)</f>
        <v>1</v>
      </c>
      <c r="C194" s="13" t="n">
        <f aca="false">IF(OR(A194="",B194=""),"",A194+B194)</f>
        <v>9</v>
      </c>
      <c r="D194" s="13" t="n">
        <f aca="false">IF(A194="","",A194+SUMIFS(Registros!$AP:$AP,Registros!$C:$C,H194))</f>
        <v>8</v>
      </c>
      <c r="E194" s="13" t="n">
        <f aca="false">IF(A194="","",ROUND(A194-8*B194,2))</f>
        <v>0</v>
      </c>
      <c r="F194" s="13" t="n">
        <f aca="false">IF(OR(D194="",C194=""),"",D194-C194)</f>
        <v>-1</v>
      </c>
      <c r="G194" s="20" t="n">
        <f aca="false">IF(G193="","",G193+1)</f>
        <v>193</v>
      </c>
      <c r="H194" s="15"/>
      <c r="I194" s="14"/>
      <c r="J194" s="16" t="str">
        <f aca="false">IF(OR(H194="",D194="",C194="",G194&lt;$P$2),"",MAX(0,ROUND(D194-C194,2)))</f>
        <v/>
      </c>
      <c r="K194" s="17"/>
      <c r="L194" s="16" t="str">
        <f aca="false">IF(NOT(ISNUMBER(K194)),"",ROUND(K194-N(M193)-N(J194),2))</f>
        <v/>
      </c>
      <c r="M194" s="16" t="n">
        <f aca="false">IF(ISNUMBER(K194),K194,N(M193))</f>
        <v>0</v>
      </c>
      <c r="N194" s="0" t="str">
        <f aca="true">IF(AND(H194="",K194=""),"",TRIM(IF(AND(H194&lt;&gt;"",NOT(AND(LEN(H194)=10,MID(H194,5,1)="-",MID(H194,8,1)="-"))),"Fecha con formato invalido (usa AAAA-MM-DD). ","")&amp;IF(AND(H194&lt;&gt;"",COUNTIF($H$2:$H$367,H194)&gt;1),"Fecha repetida en otro dia. ","")&amp;IF(AND(H194&lt;&gt;"",H193&lt;&gt;"",H194&lt;=H193),"La fecha no es posterior a la del dia anterior. ","")&amp;IF(AND(H194&lt;&gt;"",ISNUMBER(A194),ISNUMBER(D193),ISNUMBER(C193),ABS(A194-IF(G193&gt;=$P$2,MIN(D193,C193),D193))&gt;0.005),"Bank roll inicial no sigue la regla del dia anterior (alguien sobrescribio la formula). ","")&amp;IF(AND(H194&lt;&gt;"",ISNUMBER(B194),ISNUMBER(A194),ABS(B194-A194/8)&gt;0.00001),"Stake distinto de Bank roll/8. ","")&amp;IF(AND(H194&lt;&gt;"",ISNUMBER(E194),ABS(E194)&gt;0.005),"Residuo distinto de 0. ","")&amp;IF(AND(K194&lt;&gt;"",OR(NOT(ISNUMBER(K194)),N(K194)&lt;0)),"Saldo L2 no numerico o negativo. ","")&amp;IF(AND(H194&lt;&gt;"",H194&lt;TEXT(TODAY(),"yyyy-mm-dd"),G194&gt;=$P$2,K194="",OR(N(J194)&gt;0,N(M193)&gt;0)),"Falta cerrar el Saldo L2 de este dia. ","")&amp;IF(AND(H194&lt;&gt;"",SUMPRODUCT((Registros!$C$2:$C$3000=H194)*ISTEXT(Registros!$AP$2:$AP$3000))&gt;0),"Hay P/L guardado como texto en Registros (no suma). ","")))</f>
        <v/>
      </c>
    </row>
    <row r="195" customFormat="false" ht="15" hidden="false" customHeight="true" outlineLevel="0" collapsed="false">
      <c r="A195" s="13" t="n">
        <f aca="false">IF(D194="","",IF(G194&gt;=$P$2,MIN(D194,C194),D194))</f>
        <v>8</v>
      </c>
      <c r="B195" s="13" t="n">
        <f aca="false">IF(A195="","",A195/8)</f>
        <v>1</v>
      </c>
      <c r="C195" s="13" t="n">
        <f aca="false">IF(OR(A195="",B195=""),"",A195+B195)</f>
        <v>9</v>
      </c>
      <c r="D195" s="13" t="n">
        <f aca="false">IF(A195="","",A195+SUMIFS(Registros!$AP:$AP,Registros!$C:$C,H195))</f>
        <v>8</v>
      </c>
      <c r="E195" s="13" t="n">
        <f aca="false">IF(A195="","",ROUND(A195-8*B195,2))</f>
        <v>0</v>
      </c>
      <c r="F195" s="13" t="n">
        <f aca="false">IF(OR(D195="",C195=""),"",D195-C195)</f>
        <v>-1</v>
      </c>
      <c r="G195" s="20" t="n">
        <f aca="false">IF(G194="","",G194+1)</f>
        <v>194</v>
      </c>
      <c r="H195" s="15"/>
      <c r="I195" s="14"/>
      <c r="J195" s="16" t="str">
        <f aca="false">IF(OR(H195="",D195="",C195="",G195&lt;$P$2),"",MAX(0,ROUND(D195-C195,2)))</f>
        <v/>
      </c>
      <c r="K195" s="17"/>
      <c r="L195" s="16" t="str">
        <f aca="false">IF(NOT(ISNUMBER(K195)),"",ROUND(K195-N(M194)-N(J195),2))</f>
        <v/>
      </c>
      <c r="M195" s="16" t="n">
        <f aca="false">IF(ISNUMBER(K195),K195,N(M194))</f>
        <v>0</v>
      </c>
      <c r="N195" s="0" t="str">
        <f aca="true">IF(AND(H195="",K195=""),"",TRIM(IF(AND(H195&lt;&gt;"",NOT(AND(LEN(H195)=10,MID(H195,5,1)="-",MID(H195,8,1)="-"))),"Fecha con formato invalido (usa AAAA-MM-DD). ","")&amp;IF(AND(H195&lt;&gt;"",COUNTIF($H$2:$H$367,H195)&gt;1),"Fecha repetida en otro dia. ","")&amp;IF(AND(H195&lt;&gt;"",H194&lt;&gt;"",H195&lt;=H194),"La fecha no es posterior a la del dia anterior. ","")&amp;IF(AND(H195&lt;&gt;"",ISNUMBER(A195),ISNUMBER(D194),ISNUMBER(C194),ABS(A195-IF(G194&gt;=$P$2,MIN(D194,C194),D194))&gt;0.005),"Bank roll inicial no sigue la regla del dia anterior (alguien sobrescribio la formula). ","")&amp;IF(AND(H195&lt;&gt;"",ISNUMBER(B195),ISNUMBER(A195),ABS(B195-A195/8)&gt;0.00001),"Stake distinto de Bank roll/8. ","")&amp;IF(AND(H195&lt;&gt;"",ISNUMBER(E195),ABS(E195)&gt;0.005),"Residuo distinto de 0. ","")&amp;IF(AND(K195&lt;&gt;"",OR(NOT(ISNUMBER(K195)),N(K195)&lt;0)),"Saldo L2 no numerico o negativo. ","")&amp;IF(AND(H195&lt;&gt;"",H195&lt;TEXT(TODAY(),"yyyy-mm-dd"),G195&gt;=$P$2,K195="",OR(N(J195)&gt;0,N(M194)&gt;0)),"Falta cerrar el Saldo L2 de este dia. ","")&amp;IF(AND(H195&lt;&gt;"",SUMPRODUCT((Registros!$C$2:$C$3000=H195)*ISTEXT(Registros!$AP$2:$AP$3000))&gt;0),"Hay P/L guardado como texto en Registros (no suma). ","")))</f>
        <v/>
      </c>
    </row>
    <row r="196" customFormat="false" ht="15" hidden="false" customHeight="true" outlineLevel="0" collapsed="false">
      <c r="A196" s="13" t="n">
        <f aca="false">IF(D195="","",IF(G195&gt;=$P$2,MIN(D195,C195),D195))</f>
        <v>8</v>
      </c>
      <c r="B196" s="13" t="n">
        <f aca="false">IF(A196="","",A196/8)</f>
        <v>1</v>
      </c>
      <c r="C196" s="13" t="n">
        <f aca="false">IF(OR(A196="",B196=""),"",A196+B196)</f>
        <v>9</v>
      </c>
      <c r="D196" s="13" t="n">
        <f aca="false">IF(A196="","",A196+SUMIFS(Registros!$AP:$AP,Registros!$C:$C,H196))</f>
        <v>8</v>
      </c>
      <c r="E196" s="13" t="n">
        <f aca="false">IF(A196="","",ROUND(A196-8*B196,2))</f>
        <v>0</v>
      </c>
      <c r="F196" s="13" t="n">
        <f aca="false">IF(OR(D196="",C196=""),"",D196-C196)</f>
        <v>-1</v>
      </c>
      <c r="G196" s="20" t="n">
        <f aca="false">IF(G195="","",G195+1)</f>
        <v>195</v>
      </c>
      <c r="H196" s="15"/>
      <c r="I196" s="14"/>
      <c r="J196" s="16" t="str">
        <f aca="false">IF(OR(H196="",D196="",C196="",G196&lt;$P$2),"",MAX(0,ROUND(D196-C196,2)))</f>
        <v/>
      </c>
      <c r="K196" s="17"/>
      <c r="L196" s="16" t="str">
        <f aca="false">IF(NOT(ISNUMBER(K196)),"",ROUND(K196-N(M195)-N(J196),2))</f>
        <v/>
      </c>
      <c r="M196" s="16" t="n">
        <f aca="false">IF(ISNUMBER(K196),K196,N(M195))</f>
        <v>0</v>
      </c>
      <c r="N196" s="0" t="str">
        <f aca="true">IF(AND(H196="",K196=""),"",TRIM(IF(AND(H196&lt;&gt;"",NOT(AND(LEN(H196)=10,MID(H196,5,1)="-",MID(H196,8,1)="-"))),"Fecha con formato invalido (usa AAAA-MM-DD). ","")&amp;IF(AND(H196&lt;&gt;"",COUNTIF($H$2:$H$367,H196)&gt;1),"Fecha repetida en otro dia. ","")&amp;IF(AND(H196&lt;&gt;"",H195&lt;&gt;"",H196&lt;=H195),"La fecha no es posterior a la del dia anterior. ","")&amp;IF(AND(H196&lt;&gt;"",ISNUMBER(A196),ISNUMBER(D195),ISNUMBER(C195),ABS(A196-IF(G195&gt;=$P$2,MIN(D195,C195),D195))&gt;0.005),"Bank roll inicial no sigue la regla del dia anterior (alguien sobrescribio la formula). ","")&amp;IF(AND(H196&lt;&gt;"",ISNUMBER(B196),ISNUMBER(A196),ABS(B196-A196/8)&gt;0.00001),"Stake distinto de Bank roll/8. ","")&amp;IF(AND(H196&lt;&gt;"",ISNUMBER(E196),ABS(E196)&gt;0.005),"Residuo distinto de 0. ","")&amp;IF(AND(K196&lt;&gt;"",OR(NOT(ISNUMBER(K196)),N(K196)&lt;0)),"Saldo L2 no numerico o negativo. ","")&amp;IF(AND(H196&lt;&gt;"",H196&lt;TEXT(TODAY(),"yyyy-mm-dd"),G196&gt;=$P$2,K196="",OR(N(J196)&gt;0,N(M195)&gt;0)),"Falta cerrar el Saldo L2 de este dia. ","")&amp;IF(AND(H196&lt;&gt;"",SUMPRODUCT((Registros!$C$2:$C$3000=H196)*ISTEXT(Registros!$AP$2:$AP$3000))&gt;0),"Hay P/L guardado como texto en Registros (no suma). ","")))</f>
        <v/>
      </c>
    </row>
    <row r="197" customFormat="false" ht="15" hidden="false" customHeight="true" outlineLevel="0" collapsed="false">
      <c r="A197" s="13" t="n">
        <f aca="false">IF(D196="","",IF(G196&gt;=$P$2,MIN(D196,C196),D196))</f>
        <v>8</v>
      </c>
      <c r="B197" s="13" t="n">
        <f aca="false">IF(A197="","",A197/8)</f>
        <v>1</v>
      </c>
      <c r="C197" s="13" t="n">
        <f aca="false">IF(OR(A197="",B197=""),"",A197+B197)</f>
        <v>9</v>
      </c>
      <c r="D197" s="13" t="n">
        <f aca="false">IF(A197="","",A197+SUMIFS(Registros!$AP:$AP,Registros!$C:$C,H197))</f>
        <v>8</v>
      </c>
      <c r="E197" s="13" t="n">
        <f aca="false">IF(A197="","",ROUND(A197-8*B197,2))</f>
        <v>0</v>
      </c>
      <c r="F197" s="13" t="n">
        <f aca="false">IF(OR(D197="",C197=""),"",D197-C197)</f>
        <v>-1</v>
      </c>
      <c r="G197" s="20" t="n">
        <f aca="false">IF(G196="","",G196+1)</f>
        <v>196</v>
      </c>
      <c r="H197" s="15"/>
      <c r="I197" s="14"/>
      <c r="J197" s="16" t="str">
        <f aca="false">IF(OR(H197="",D197="",C197="",G197&lt;$P$2),"",MAX(0,ROUND(D197-C197,2)))</f>
        <v/>
      </c>
      <c r="K197" s="17"/>
      <c r="L197" s="16" t="str">
        <f aca="false">IF(NOT(ISNUMBER(K197)),"",ROUND(K197-N(M196)-N(J197),2))</f>
        <v/>
      </c>
      <c r="M197" s="16" t="n">
        <f aca="false">IF(ISNUMBER(K197),K197,N(M196))</f>
        <v>0</v>
      </c>
      <c r="N197" s="0" t="str">
        <f aca="true">IF(AND(H197="",K197=""),"",TRIM(IF(AND(H197&lt;&gt;"",NOT(AND(LEN(H197)=10,MID(H197,5,1)="-",MID(H197,8,1)="-"))),"Fecha con formato invalido (usa AAAA-MM-DD). ","")&amp;IF(AND(H197&lt;&gt;"",COUNTIF($H$2:$H$367,H197)&gt;1),"Fecha repetida en otro dia. ","")&amp;IF(AND(H197&lt;&gt;"",H196&lt;&gt;"",H197&lt;=H196),"La fecha no es posterior a la del dia anterior. ","")&amp;IF(AND(H197&lt;&gt;"",ISNUMBER(A197),ISNUMBER(D196),ISNUMBER(C196),ABS(A197-IF(G196&gt;=$P$2,MIN(D196,C196),D196))&gt;0.005),"Bank roll inicial no sigue la regla del dia anterior (alguien sobrescribio la formula). ","")&amp;IF(AND(H197&lt;&gt;"",ISNUMBER(B197),ISNUMBER(A197),ABS(B197-A197/8)&gt;0.00001),"Stake distinto de Bank roll/8. ","")&amp;IF(AND(H197&lt;&gt;"",ISNUMBER(E197),ABS(E197)&gt;0.005),"Residuo distinto de 0. ","")&amp;IF(AND(K197&lt;&gt;"",OR(NOT(ISNUMBER(K197)),N(K197)&lt;0)),"Saldo L2 no numerico o negativo. ","")&amp;IF(AND(H197&lt;&gt;"",H197&lt;TEXT(TODAY(),"yyyy-mm-dd"),G197&gt;=$P$2,K197="",OR(N(J197)&gt;0,N(M196)&gt;0)),"Falta cerrar el Saldo L2 de este dia. ","")&amp;IF(AND(H197&lt;&gt;"",SUMPRODUCT((Registros!$C$2:$C$3000=H197)*ISTEXT(Registros!$AP$2:$AP$3000))&gt;0),"Hay P/L guardado como texto en Registros (no suma). ","")))</f>
        <v/>
      </c>
    </row>
    <row r="198" customFormat="false" ht="15" hidden="false" customHeight="true" outlineLevel="0" collapsed="false">
      <c r="A198" s="13" t="n">
        <f aca="false">IF(D197="","",IF(G197&gt;=$P$2,MIN(D197,C197),D197))</f>
        <v>8</v>
      </c>
      <c r="B198" s="13" t="n">
        <f aca="false">IF(A198="","",A198/8)</f>
        <v>1</v>
      </c>
      <c r="C198" s="13" t="n">
        <f aca="false">IF(OR(A198="",B198=""),"",A198+B198)</f>
        <v>9</v>
      </c>
      <c r="D198" s="13" t="n">
        <f aca="false">IF(A198="","",A198+SUMIFS(Registros!$AP:$AP,Registros!$C:$C,H198))</f>
        <v>8</v>
      </c>
      <c r="E198" s="13" t="n">
        <f aca="false">IF(A198="","",ROUND(A198-8*B198,2))</f>
        <v>0</v>
      </c>
      <c r="F198" s="13" t="n">
        <f aca="false">IF(OR(D198="",C198=""),"",D198-C198)</f>
        <v>-1</v>
      </c>
      <c r="G198" s="20" t="n">
        <f aca="false">IF(G197="","",G197+1)</f>
        <v>197</v>
      </c>
      <c r="H198" s="15"/>
      <c r="I198" s="14"/>
      <c r="J198" s="16" t="str">
        <f aca="false">IF(OR(H198="",D198="",C198="",G198&lt;$P$2),"",MAX(0,ROUND(D198-C198,2)))</f>
        <v/>
      </c>
      <c r="K198" s="17"/>
      <c r="L198" s="16" t="str">
        <f aca="false">IF(NOT(ISNUMBER(K198)),"",ROUND(K198-N(M197)-N(J198),2))</f>
        <v/>
      </c>
      <c r="M198" s="16" t="n">
        <f aca="false">IF(ISNUMBER(K198),K198,N(M197))</f>
        <v>0</v>
      </c>
      <c r="N198" s="0" t="str">
        <f aca="true">IF(AND(H198="",K198=""),"",TRIM(IF(AND(H198&lt;&gt;"",NOT(AND(LEN(H198)=10,MID(H198,5,1)="-",MID(H198,8,1)="-"))),"Fecha con formato invalido (usa AAAA-MM-DD). ","")&amp;IF(AND(H198&lt;&gt;"",COUNTIF($H$2:$H$367,H198)&gt;1),"Fecha repetida en otro dia. ","")&amp;IF(AND(H198&lt;&gt;"",H197&lt;&gt;"",H198&lt;=H197),"La fecha no es posterior a la del dia anterior. ","")&amp;IF(AND(H198&lt;&gt;"",ISNUMBER(A198),ISNUMBER(D197),ISNUMBER(C197),ABS(A198-IF(G197&gt;=$P$2,MIN(D197,C197),D197))&gt;0.005),"Bank roll inicial no sigue la regla del dia anterior (alguien sobrescribio la formula). ","")&amp;IF(AND(H198&lt;&gt;"",ISNUMBER(B198),ISNUMBER(A198),ABS(B198-A198/8)&gt;0.00001),"Stake distinto de Bank roll/8. ","")&amp;IF(AND(H198&lt;&gt;"",ISNUMBER(E198),ABS(E198)&gt;0.005),"Residuo distinto de 0. ","")&amp;IF(AND(K198&lt;&gt;"",OR(NOT(ISNUMBER(K198)),N(K198)&lt;0)),"Saldo L2 no numerico o negativo. ","")&amp;IF(AND(H198&lt;&gt;"",H198&lt;TEXT(TODAY(),"yyyy-mm-dd"),G198&gt;=$P$2,K198="",OR(N(J198)&gt;0,N(M197)&gt;0)),"Falta cerrar el Saldo L2 de este dia. ","")&amp;IF(AND(H198&lt;&gt;"",SUMPRODUCT((Registros!$C$2:$C$3000=H198)*ISTEXT(Registros!$AP$2:$AP$3000))&gt;0),"Hay P/L guardado como texto en Registros (no suma). ","")))</f>
        <v/>
      </c>
    </row>
    <row r="199" customFormat="false" ht="15" hidden="false" customHeight="true" outlineLevel="0" collapsed="false">
      <c r="A199" s="13" t="n">
        <f aca="false">IF(D198="","",IF(G198&gt;=$P$2,MIN(D198,C198),D198))</f>
        <v>8</v>
      </c>
      <c r="B199" s="13" t="n">
        <f aca="false">IF(A199="","",A199/8)</f>
        <v>1</v>
      </c>
      <c r="C199" s="13" t="n">
        <f aca="false">IF(OR(A199="",B199=""),"",A199+B199)</f>
        <v>9</v>
      </c>
      <c r="D199" s="13" t="n">
        <f aca="false">IF(A199="","",A199+SUMIFS(Registros!$AP:$AP,Registros!$C:$C,H199))</f>
        <v>8</v>
      </c>
      <c r="E199" s="13" t="n">
        <f aca="false">IF(A199="","",ROUND(A199-8*B199,2))</f>
        <v>0</v>
      </c>
      <c r="F199" s="13" t="n">
        <f aca="false">IF(OR(D199="",C199=""),"",D199-C199)</f>
        <v>-1</v>
      </c>
      <c r="G199" s="20" t="n">
        <f aca="false">IF(G198="","",G198+1)</f>
        <v>198</v>
      </c>
      <c r="H199" s="15"/>
      <c r="I199" s="14"/>
      <c r="J199" s="16" t="str">
        <f aca="false">IF(OR(H199="",D199="",C199="",G199&lt;$P$2),"",MAX(0,ROUND(D199-C199,2)))</f>
        <v/>
      </c>
      <c r="K199" s="17"/>
      <c r="L199" s="16" t="str">
        <f aca="false">IF(NOT(ISNUMBER(K199)),"",ROUND(K199-N(M198)-N(J199),2))</f>
        <v/>
      </c>
      <c r="M199" s="16" t="n">
        <f aca="false">IF(ISNUMBER(K199),K199,N(M198))</f>
        <v>0</v>
      </c>
      <c r="N199" s="0" t="str">
        <f aca="true">IF(AND(H199="",K199=""),"",TRIM(IF(AND(H199&lt;&gt;"",NOT(AND(LEN(H199)=10,MID(H199,5,1)="-",MID(H199,8,1)="-"))),"Fecha con formato invalido (usa AAAA-MM-DD). ","")&amp;IF(AND(H199&lt;&gt;"",COUNTIF($H$2:$H$367,H199)&gt;1),"Fecha repetida en otro dia. ","")&amp;IF(AND(H199&lt;&gt;"",H198&lt;&gt;"",H199&lt;=H198),"La fecha no es posterior a la del dia anterior. ","")&amp;IF(AND(H199&lt;&gt;"",ISNUMBER(A199),ISNUMBER(D198),ISNUMBER(C198),ABS(A199-IF(G198&gt;=$P$2,MIN(D198,C198),D198))&gt;0.005),"Bank roll inicial no sigue la regla del dia anterior (alguien sobrescribio la formula). ","")&amp;IF(AND(H199&lt;&gt;"",ISNUMBER(B199),ISNUMBER(A199),ABS(B199-A199/8)&gt;0.00001),"Stake distinto de Bank roll/8. ","")&amp;IF(AND(H199&lt;&gt;"",ISNUMBER(E199),ABS(E199)&gt;0.005),"Residuo distinto de 0. ","")&amp;IF(AND(K199&lt;&gt;"",OR(NOT(ISNUMBER(K199)),N(K199)&lt;0)),"Saldo L2 no numerico o negativo. ","")&amp;IF(AND(H199&lt;&gt;"",H199&lt;TEXT(TODAY(),"yyyy-mm-dd"),G199&gt;=$P$2,K199="",OR(N(J199)&gt;0,N(M198)&gt;0)),"Falta cerrar el Saldo L2 de este dia. ","")&amp;IF(AND(H199&lt;&gt;"",SUMPRODUCT((Registros!$C$2:$C$3000=H199)*ISTEXT(Registros!$AP$2:$AP$3000))&gt;0),"Hay P/L guardado como texto en Registros (no suma). ","")))</f>
        <v/>
      </c>
    </row>
    <row r="200" customFormat="false" ht="15" hidden="false" customHeight="true" outlineLevel="0" collapsed="false">
      <c r="A200" s="13" t="n">
        <f aca="false">IF(D199="","",IF(G199&gt;=$P$2,MIN(D199,C199),D199))</f>
        <v>8</v>
      </c>
      <c r="B200" s="13" t="n">
        <f aca="false">IF(A200="","",A200/8)</f>
        <v>1</v>
      </c>
      <c r="C200" s="13" t="n">
        <f aca="false">IF(OR(A200="",B200=""),"",A200+B200)</f>
        <v>9</v>
      </c>
      <c r="D200" s="13" t="n">
        <f aca="false">IF(A200="","",A200+SUMIFS(Registros!$AP:$AP,Registros!$C:$C,H200))</f>
        <v>8</v>
      </c>
      <c r="E200" s="13" t="n">
        <f aca="false">IF(A200="","",ROUND(A200-8*B200,2))</f>
        <v>0</v>
      </c>
      <c r="F200" s="13" t="n">
        <f aca="false">IF(OR(D200="",C200=""),"",D200-C200)</f>
        <v>-1</v>
      </c>
      <c r="G200" s="20" t="n">
        <f aca="false">IF(G199="","",G199+1)</f>
        <v>199</v>
      </c>
      <c r="H200" s="15"/>
      <c r="I200" s="14"/>
      <c r="J200" s="16" t="str">
        <f aca="false">IF(OR(H200="",D200="",C200="",G200&lt;$P$2),"",MAX(0,ROUND(D200-C200,2)))</f>
        <v/>
      </c>
      <c r="K200" s="17"/>
      <c r="L200" s="16" t="str">
        <f aca="false">IF(NOT(ISNUMBER(K200)),"",ROUND(K200-N(M199)-N(J200),2))</f>
        <v/>
      </c>
      <c r="M200" s="16" t="n">
        <f aca="false">IF(ISNUMBER(K200),K200,N(M199))</f>
        <v>0</v>
      </c>
      <c r="N200" s="0" t="str">
        <f aca="true">IF(AND(H200="",K200=""),"",TRIM(IF(AND(H200&lt;&gt;"",NOT(AND(LEN(H200)=10,MID(H200,5,1)="-",MID(H200,8,1)="-"))),"Fecha con formato invalido (usa AAAA-MM-DD). ","")&amp;IF(AND(H200&lt;&gt;"",COUNTIF($H$2:$H$367,H200)&gt;1),"Fecha repetida en otro dia. ","")&amp;IF(AND(H200&lt;&gt;"",H199&lt;&gt;"",H200&lt;=H199),"La fecha no es posterior a la del dia anterior. ","")&amp;IF(AND(H200&lt;&gt;"",ISNUMBER(A200),ISNUMBER(D199),ISNUMBER(C199),ABS(A200-IF(G199&gt;=$P$2,MIN(D199,C199),D199))&gt;0.005),"Bank roll inicial no sigue la regla del dia anterior (alguien sobrescribio la formula). ","")&amp;IF(AND(H200&lt;&gt;"",ISNUMBER(B200),ISNUMBER(A200),ABS(B200-A200/8)&gt;0.00001),"Stake distinto de Bank roll/8. ","")&amp;IF(AND(H200&lt;&gt;"",ISNUMBER(E200),ABS(E200)&gt;0.005),"Residuo distinto de 0. ","")&amp;IF(AND(K200&lt;&gt;"",OR(NOT(ISNUMBER(K200)),N(K200)&lt;0)),"Saldo L2 no numerico o negativo. ","")&amp;IF(AND(H200&lt;&gt;"",H200&lt;TEXT(TODAY(),"yyyy-mm-dd"),G200&gt;=$P$2,K200="",OR(N(J200)&gt;0,N(M199)&gt;0)),"Falta cerrar el Saldo L2 de este dia. ","")&amp;IF(AND(H200&lt;&gt;"",SUMPRODUCT((Registros!$C$2:$C$3000=H200)*ISTEXT(Registros!$AP$2:$AP$3000))&gt;0),"Hay P/L guardado como texto en Registros (no suma). ","")))</f>
        <v/>
      </c>
    </row>
    <row r="201" customFormat="false" ht="15" hidden="false" customHeight="true" outlineLevel="0" collapsed="false">
      <c r="A201" s="13" t="n">
        <f aca="false">IF(D200="","",IF(G200&gt;=$P$2,MIN(D200,C200),D200))</f>
        <v>8</v>
      </c>
      <c r="B201" s="13" t="n">
        <f aca="false">IF(A201="","",A201/8)</f>
        <v>1</v>
      </c>
      <c r="C201" s="13" t="n">
        <f aca="false">IF(OR(A201="",B201=""),"",A201+B201)</f>
        <v>9</v>
      </c>
      <c r="D201" s="13" t="n">
        <f aca="false">IF(A201="","",A201+SUMIFS(Registros!$AP:$AP,Registros!$C:$C,H201))</f>
        <v>8</v>
      </c>
      <c r="E201" s="13" t="n">
        <f aca="false">IF(A201="","",ROUND(A201-8*B201,2))</f>
        <v>0</v>
      </c>
      <c r="F201" s="13" t="n">
        <f aca="false">IF(OR(D201="",C201=""),"",D201-C201)</f>
        <v>-1</v>
      </c>
      <c r="G201" s="20" t="n">
        <f aca="false">IF(G200="","",G200+1)</f>
        <v>200</v>
      </c>
      <c r="H201" s="15"/>
      <c r="I201" s="14"/>
      <c r="J201" s="16" t="str">
        <f aca="false">IF(OR(H201="",D201="",C201="",G201&lt;$P$2),"",MAX(0,ROUND(D201-C201,2)))</f>
        <v/>
      </c>
      <c r="K201" s="17"/>
      <c r="L201" s="16" t="str">
        <f aca="false">IF(NOT(ISNUMBER(K201)),"",ROUND(K201-N(M200)-N(J201),2))</f>
        <v/>
      </c>
      <c r="M201" s="16" t="n">
        <f aca="false">IF(ISNUMBER(K201),K201,N(M200))</f>
        <v>0</v>
      </c>
      <c r="N201" s="0" t="str">
        <f aca="true">IF(AND(H201="",K201=""),"",TRIM(IF(AND(H201&lt;&gt;"",NOT(AND(LEN(H201)=10,MID(H201,5,1)="-",MID(H201,8,1)="-"))),"Fecha con formato invalido (usa AAAA-MM-DD). ","")&amp;IF(AND(H201&lt;&gt;"",COUNTIF($H$2:$H$367,H201)&gt;1),"Fecha repetida en otro dia. ","")&amp;IF(AND(H201&lt;&gt;"",H200&lt;&gt;"",H201&lt;=H200),"La fecha no es posterior a la del dia anterior. ","")&amp;IF(AND(H201&lt;&gt;"",ISNUMBER(A201),ISNUMBER(D200),ISNUMBER(C200),ABS(A201-IF(G200&gt;=$P$2,MIN(D200,C200),D200))&gt;0.005),"Bank roll inicial no sigue la regla del dia anterior (alguien sobrescribio la formula). ","")&amp;IF(AND(H201&lt;&gt;"",ISNUMBER(B201),ISNUMBER(A201),ABS(B201-A201/8)&gt;0.00001),"Stake distinto de Bank roll/8. ","")&amp;IF(AND(H201&lt;&gt;"",ISNUMBER(E201),ABS(E201)&gt;0.005),"Residuo distinto de 0. ","")&amp;IF(AND(K201&lt;&gt;"",OR(NOT(ISNUMBER(K201)),N(K201)&lt;0)),"Saldo L2 no numerico o negativo. ","")&amp;IF(AND(H201&lt;&gt;"",H201&lt;TEXT(TODAY(),"yyyy-mm-dd"),G201&gt;=$P$2,K201="",OR(N(J201)&gt;0,N(M200)&gt;0)),"Falta cerrar el Saldo L2 de este dia. ","")&amp;IF(AND(H201&lt;&gt;"",SUMPRODUCT((Registros!$C$2:$C$3000=H201)*ISTEXT(Registros!$AP$2:$AP$3000))&gt;0),"Hay P/L guardado como texto en Registros (no suma). ","")))</f>
        <v/>
      </c>
    </row>
    <row r="202" customFormat="false" ht="15" hidden="false" customHeight="true" outlineLevel="0" collapsed="false">
      <c r="A202" s="13" t="n">
        <f aca="false">IF(D201="","",IF(G201&gt;=$P$2,MIN(D201,C201),D201))</f>
        <v>8</v>
      </c>
      <c r="B202" s="13" t="n">
        <f aca="false">IF(A202="","",A202/8)</f>
        <v>1</v>
      </c>
      <c r="C202" s="13" t="n">
        <f aca="false">IF(OR(A202="",B202=""),"",A202+B202)</f>
        <v>9</v>
      </c>
      <c r="D202" s="13" t="n">
        <f aca="false">IF(A202="","",A202+SUMIFS(Registros!$AP:$AP,Registros!$C:$C,H202))</f>
        <v>8</v>
      </c>
      <c r="E202" s="13" t="n">
        <f aca="false">IF(A202="","",ROUND(A202-8*B202,2))</f>
        <v>0</v>
      </c>
      <c r="F202" s="13" t="n">
        <f aca="false">IF(OR(D202="",C202=""),"",D202-C202)</f>
        <v>-1</v>
      </c>
      <c r="G202" s="20" t="n">
        <f aca="false">IF(G201="","",G201+1)</f>
        <v>201</v>
      </c>
      <c r="H202" s="15"/>
      <c r="I202" s="14"/>
      <c r="J202" s="16" t="str">
        <f aca="false">IF(OR(H202="",D202="",C202="",G202&lt;$P$2),"",MAX(0,ROUND(D202-C202,2)))</f>
        <v/>
      </c>
      <c r="K202" s="17"/>
      <c r="L202" s="16" t="str">
        <f aca="false">IF(NOT(ISNUMBER(K202)),"",ROUND(K202-N(M201)-N(J202),2))</f>
        <v/>
      </c>
      <c r="M202" s="16" t="n">
        <f aca="false">IF(ISNUMBER(K202),K202,N(M201))</f>
        <v>0</v>
      </c>
      <c r="N202" s="0" t="str">
        <f aca="true">IF(AND(H202="",K202=""),"",TRIM(IF(AND(H202&lt;&gt;"",NOT(AND(LEN(H202)=10,MID(H202,5,1)="-",MID(H202,8,1)="-"))),"Fecha con formato invalido (usa AAAA-MM-DD). ","")&amp;IF(AND(H202&lt;&gt;"",COUNTIF($H$2:$H$367,H202)&gt;1),"Fecha repetida en otro dia. ","")&amp;IF(AND(H202&lt;&gt;"",H201&lt;&gt;"",H202&lt;=H201),"La fecha no es posterior a la del dia anterior. ","")&amp;IF(AND(H202&lt;&gt;"",ISNUMBER(A202),ISNUMBER(D201),ISNUMBER(C201),ABS(A202-IF(G201&gt;=$P$2,MIN(D201,C201),D201))&gt;0.005),"Bank roll inicial no sigue la regla del dia anterior (alguien sobrescribio la formula). ","")&amp;IF(AND(H202&lt;&gt;"",ISNUMBER(B202),ISNUMBER(A202),ABS(B202-A202/8)&gt;0.00001),"Stake distinto de Bank roll/8. ","")&amp;IF(AND(H202&lt;&gt;"",ISNUMBER(E202),ABS(E202)&gt;0.005),"Residuo distinto de 0. ","")&amp;IF(AND(K202&lt;&gt;"",OR(NOT(ISNUMBER(K202)),N(K202)&lt;0)),"Saldo L2 no numerico o negativo. ","")&amp;IF(AND(H202&lt;&gt;"",H202&lt;TEXT(TODAY(),"yyyy-mm-dd"),G202&gt;=$P$2,K202="",OR(N(J202)&gt;0,N(M201)&gt;0)),"Falta cerrar el Saldo L2 de este dia. ","")&amp;IF(AND(H202&lt;&gt;"",SUMPRODUCT((Registros!$C$2:$C$3000=H202)*ISTEXT(Registros!$AP$2:$AP$3000))&gt;0),"Hay P/L guardado como texto en Registros (no suma). ","")))</f>
        <v/>
      </c>
    </row>
    <row r="203" customFormat="false" ht="15" hidden="false" customHeight="true" outlineLevel="0" collapsed="false">
      <c r="A203" s="13" t="n">
        <f aca="false">IF(D202="","",IF(G202&gt;=$P$2,MIN(D202,C202),D202))</f>
        <v>8</v>
      </c>
      <c r="B203" s="13" t="n">
        <f aca="false">IF(A203="","",A203/8)</f>
        <v>1</v>
      </c>
      <c r="C203" s="13" t="n">
        <f aca="false">IF(OR(A203="",B203=""),"",A203+B203)</f>
        <v>9</v>
      </c>
      <c r="D203" s="13" t="n">
        <f aca="false">IF(A203="","",A203+SUMIFS(Registros!$AP:$AP,Registros!$C:$C,H203))</f>
        <v>8</v>
      </c>
      <c r="E203" s="13" t="n">
        <f aca="false">IF(A203="","",ROUND(A203-8*B203,2))</f>
        <v>0</v>
      </c>
      <c r="F203" s="13" t="n">
        <f aca="false">IF(OR(D203="",C203=""),"",D203-C203)</f>
        <v>-1</v>
      </c>
      <c r="G203" s="20" t="n">
        <f aca="false">IF(G202="","",G202+1)</f>
        <v>202</v>
      </c>
      <c r="H203" s="15"/>
      <c r="I203" s="14"/>
      <c r="J203" s="16" t="str">
        <f aca="false">IF(OR(H203="",D203="",C203="",G203&lt;$P$2),"",MAX(0,ROUND(D203-C203,2)))</f>
        <v/>
      </c>
      <c r="K203" s="17"/>
      <c r="L203" s="16" t="str">
        <f aca="false">IF(NOT(ISNUMBER(K203)),"",ROUND(K203-N(M202)-N(J203),2))</f>
        <v/>
      </c>
      <c r="M203" s="16" t="n">
        <f aca="false">IF(ISNUMBER(K203),K203,N(M202))</f>
        <v>0</v>
      </c>
      <c r="N203" s="0" t="str">
        <f aca="true">IF(AND(H203="",K203=""),"",TRIM(IF(AND(H203&lt;&gt;"",NOT(AND(LEN(H203)=10,MID(H203,5,1)="-",MID(H203,8,1)="-"))),"Fecha con formato invalido (usa AAAA-MM-DD). ","")&amp;IF(AND(H203&lt;&gt;"",COUNTIF($H$2:$H$367,H203)&gt;1),"Fecha repetida en otro dia. ","")&amp;IF(AND(H203&lt;&gt;"",H202&lt;&gt;"",H203&lt;=H202),"La fecha no es posterior a la del dia anterior. ","")&amp;IF(AND(H203&lt;&gt;"",ISNUMBER(A203),ISNUMBER(D202),ISNUMBER(C202),ABS(A203-IF(G202&gt;=$P$2,MIN(D202,C202),D202))&gt;0.005),"Bank roll inicial no sigue la regla del dia anterior (alguien sobrescribio la formula). ","")&amp;IF(AND(H203&lt;&gt;"",ISNUMBER(B203),ISNUMBER(A203),ABS(B203-A203/8)&gt;0.00001),"Stake distinto de Bank roll/8. ","")&amp;IF(AND(H203&lt;&gt;"",ISNUMBER(E203),ABS(E203)&gt;0.005),"Residuo distinto de 0. ","")&amp;IF(AND(K203&lt;&gt;"",OR(NOT(ISNUMBER(K203)),N(K203)&lt;0)),"Saldo L2 no numerico o negativo. ","")&amp;IF(AND(H203&lt;&gt;"",H203&lt;TEXT(TODAY(),"yyyy-mm-dd"),G203&gt;=$P$2,K203="",OR(N(J203)&gt;0,N(M202)&gt;0)),"Falta cerrar el Saldo L2 de este dia. ","")&amp;IF(AND(H203&lt;&gt;"",SUMPRODUCT((Registros!$C$2:$C$3000=H203)*ISTEXT(Registros!$AP$2:$AP$3000))&gt;0),"Hay P/L guardado como texto en Registros (no suma). ","")))</f>
        <v/>
      </c>
    </row>
    <row r="204" customFormat="false" ht="15" hidden="false" customHeight="true" outlineLevel="0" collapsed="false">
      <c r="A204" s="13" t="n">
        <f aca="false">IF(D203="","",IF(G203&gt;=$P$2,MIN(D203,C203),D203))</f>
        <v>8</v>
      </c>
      <c r="B204" s="13" t="n">
        <f aca="false">IF(A204="","",A204/8)</f>
        <v>1</v>
      </c>
      <c r="C204" s="13" t="n">
        <f aca="false">IF(OR(A204="",B204=""),"",A204+B204)</f>
        <v>9</v>
      </c>
      <c r="D204" s="13" t="n">
        <f aca="false">IF(A204="","",A204+SUMIFS(Registros!$AP:$AP,Registros!$C:$C,H204))</f>
        <v>8</v>
      </c>
      <c r="E204" s="13" t="n">
        <f aca="false">IF(A204="","",ROUND(A204-8*B204,2))</f>
        <v>0</v>
      </c>
      <c r="F204" s="13" t="n">
        <f aca="false">IF(OR(D204="",C204=""),"",D204-C204)</f>
        <v>-1</v>
      </c>
      <c r="G204" s="20" t="n">
        <f aca="false">IF(G203="","",G203+1)</f>
        <v>203</v>
      </c>
      <c r="H204" s="15"/>
      <c r="I204" s="14"/>
      <c r="J204" s="16" t="str">
        <f aca="false">IF(OR(H204="",D204="",C204="",G204&lt;$P$2),"",MAX(0,ROUND(D204-C204,2)))</f>
        <v/>
      </c>
      <c r="K204" s="17"/>
      <c r="L204" s="16" t="str">
        <f aca="false">IF(NOT(ISNUMBER(K204)),"",ROUND(K204-N(M203)-N(J204),2))</f>
        <v/>
      </c>
      <c r="M204" s="16" t="n">
        <f aca="false">IF(ISNUMBER(K204),K204,N(M203))</f>
        <v>0</v>
      </c>
      <c r="N204" s="0" t="str">
        <f aca="true">IF(AND(H204="",K204=""),"",TRIM(IF(AND(H204&lt;&gt;"",NOT(AND(LEN(H204)=10,MID(H204,5,1)="-",MID(H204,8,1)="-"))),"Fecha con formato invalido (usa AAAA-MM-DD). ","")&amp;IF(AND(H204&lt;&gt;"",COUNTIF($H$2:$H$367,H204)&gt;1),"Fecha repetida en otro dia. ","")&amp;IF(AND(H204&lt;&gt;"",H203&lt;&gt;"",H204&lt;=H203),"La fecha no es posterior a la del dia anterior. ","")&amp;IF(AND(H204&lt;&gt;"",ISNUMBER(A204),ISNUMBER(D203),ISNUMBER(C203),ABS(A204-IF(G203&gt;=$P$2,MIN(D203,C203),D203))&gt;0.005),"Bank roll inicial no sigue la regla del dia anterior (alguien sobrescribio la formula). ","")&amp;IF(AND(H204&lt;&gt;"",ISNUMBER(B204),ISNUMBER(A204),ABS(B204-A204/8)&gt;0.00001),"Stake distinto de Bank roll/8. ","")&amp;IF(AND(H204&lt;&gt;"",ISNUMBER(E204),ABS(E204)&gt;0.005),"Residuo distinto de 0. ","")&amp;IF(AND(K204&lt;&gt;"",OR(NOT(ISNUMBER(K204)),N(K204)&lt;0)),"Saldo L2 no numerico o negativo. ","")&amp;IF(AND(H204&lt;&gt;"",H204&lt;TEXT(TODAY(),"yyyy-mm-dd"),G204&gt;=$P$2,K204="",OR(N(J204)&gt;0,N(M203)&gt;0)),"Falta cerrar el Saldo L2 de este dia. ","")&amp;IF(AND(H204&lt;&gt;"",SUMPRODUCT((Registros!$C$2:$C$3000=H204)*ISTEXT(Registros!$AP$2:$AP$3000))&gt;0),"Hay P/L guardado como texto en Registros (no suma). ","")))</f>
        <v/>
      </c>
    </row>
    <row r="205" customFormat="false" ht="15" hidden="false" customHeight="true" outlineLevel="0" collapsed="false">
      <c r="A205" s="13" t="n">
        <f aca="false">IF(D204="","",IF(G204&gt;=$P$2,MIN(D204,C204),D204))</f>
        <v>8</v>
      </c>
      <c r="B205" s="13" t="n">
        <f aca="false">IF(A205="","",A205/8)</f>
        <v>1</v>
      </c>
      <c r="C205" s="13" t="n">
        <f aca="false">IF(OR(A205="",B205=""),"",A205+B205)</f>
        <v>9</v>
      </c>
      <c r="D205" s="13" t="n">
        <f aca="false">IF(A205="","",A205+SUMIFS(Registros!$AP:$AP,Registros!$C:$C,H205))</f>
        <v>8</v>
      </c>
      <c r="E205" s="13" t="n">
        <f aca="false">IF(A205="","",ROUND(A205-8*B205,2))</f>
        <v>0</v>
      </c>
      <c r="F205" s="13" t="n">
        <f aca="false">IF(OR(D205="",C205=""),"",D205-C205)</f>
        <v>-1</v>
      </c>
      <c r="G205" s="20" t="n">
        <f aca="false">IF(G204="","",G204+1)</f>
        <v>204</v>
      </c>
      <c r="H205" s="15"/>
      <c r="I205" s="14"/>
      <c r="J205" s="16" t="str">
        <f aca="false">IF(OR(H205="",D205="",C205="",G205&lt;$P$2),"",MAX(0,ROUND(D205-C205,2)))</f>
        <v/>
      </c>
      <c r="K205" s="17"/>
      <c r="L205" s="16" t="str">
        <f aca="false">IF(NOT(ISNUMBER(K205)),"",ROUND(K205-N(M204)-N(J205),2))</f>
        <v/>
      </c>
      <c r="M205" s="16" t="n">
        <f aca="false">IF(ISNUMBER(K205),K205,N(M204))</f>
        <v>0</v>
      </c>
      <c r="N205" s="0" t="str">
        <f aca="true">IF(AND(H205="",K205=""),"",TRIM(IF(AND(H205&lt;&gt;"",NOT(AND(LEN(H205)=10,MID(H205,5,1)="-",MID(H205,8,1)="-"))),"Fecha con formato invalido (usa AAAA-MM-DD). ","")&amp;IF(AND(H205&lt;&gt;"",COUNTIF($H$2:$H$367,H205)&gt;1),"Fecha repetida en otro dia. ","")&amp;IF(AND(H205&lt;&gt;"",H204&lt;&gt;"",H205&lt;=H204),"La fecha no es posterior a la del dia anterior. ","")&amp;IF(AND(H205&lt;&gt;"",ISNUMBER(A205),ISNUMBER(D204),ISNUMBER(C204),ABS(A205-IF(G204&gt;=$P$2,MIN(D204,C204),D204))&gt;0.005),"Bank roll inicial no sigue la regla del dia anterior (alguien sobrescribio la formula). ","")&amp;IF(AND(H205&lt;&gt;"",ISNUMBER(B205),ISNUMBER(A205),ABS(B205-A205/8)&gt;0.00001),"Stake distinto de Bank roll/8. ","")&amp;IF(AND(H205&lt;&gt;"",ISNUMBER(E205),ABS(E205)&gt;0.005),"Residuo distinto de 0. ","")&amp;IF(AND(K205&lt;&gt;"",OR(NOT(ISNUMBER(K205)),N(K205)&lt;0)),"Saldo L2 no numerico o negativo. ","")&amp;IF(AND(H205&lt;&gt;"",H205&lt;TEXT(TODAY(),"yyyy-mm-dd"),G205&gt;=$P$2,K205="",OR(N(J205)&gt;0,N(M204)&gt;0)),"Falta cerrar el Saldo L2 de este dia. ","")&amp;IF(AND(H205&lt;&gt;"",SUMPRODUCT((Registros!$C$2:$C$3000=H205)*ISTEXT(Registros!$AP$2:$AP$3000))&gt;0),"Hay P/L guardado como texto en Registros (no suma). ","")))</f>
        <v/>
      </c>
    </row>
    <row r="206" customFormat="false" ht="15" hidden="false" customHeight="true" outlineLevel="0" collapsed="false">
      <c r="A206" s="13" t="n">
        <f aca="false">IF(D205="","",IF(G205&gt;=$P$2,MIN(D205,C205),D205))</f>
        <v>8</v>
      </c>
      <c r="B206" s="13" t="n">
        <f aca="false">IF(A206="","",A206/8)</f>
        <v>1</v>
      </c>
      <c r="C206" s="13" t="n">
        <f aca="false">IF(OR(A206="",B206=""),"",A206+B206)</f>
        <v>9</v>
      </c>
      <c r="D206" s="13" t="n">
        <f aca="false">IF(A206="","",A206+SUMIFS(Registros!$AP:$AP,Registros!$C:$C,H206))</f>
        <v>8</v>
      </c>
      <c r="E206" s="13" t="n">
        <f aca="false">IF(A206="","",ROUND(A206-8*B206,2))</f>
        <v>0</v>
      </c>
      <c r="F206" s="13" t="n">
        <f aca="false">IF(OR(D206="",C206=""),"",D206-C206)</f>
        <v>-1</v>
      </c>
      <c r="G206" s="20" t="n">
        <f aca="false">IF(G205="","",G205+1)</f>
        <v>205</v>
      </c>
      <c r="H206" s="15"/>
      <c r="I206" s="14"/>
      <c r="J206" s="16" t="str">
        <f aca="false">IF(OR(H206="",D206="",C206="",G206&lt;$P$2),"",MAX(0,ROUND(D206-C206,2)))</f>
        <v/>
      </c>
      <c r="K206" s="17"/>
      <c r="L206" s="16" t="str">
        <f aca="false">IF(NOT(ISNUMBER(K206)),"",ROUND(K206-N(M205)-N(J206),2))</f>
        <v/>
      </c>
      <c r="M206" s="16" t="n">
        <f aca="false">IF(ISNUMBER(K206),K206,N(M205))</f>
        <v>0</v>
      </c>
      <c r="N206" s="0" t="str">
        <f aca="true">IF(AND(H206="",K206=""),"",TRIM(IF(AND(H206&lt;&gt;"",NOT(AND(LEN(H206)=10,MID(H206,5,1)="-",MID(H206,8,1)="-"))),"Fecha con formato invalido (usa AAAA-MM-DD). ","")&amp;IF(AND(H206&lt;&gt;"",COUNTIF($H$2:$H$367,H206)&gt;1),"Fecha repetida en otro dia. ","")&amp;IF(AND(H206&lt;&gt;"",H205&lt;&gt;"",H206&lt;=H205),"La fecha no es posterior a la del dia anterior. ","")&amp;IF(AND(H206&lt;&gt;"",ISNUMBER(A206),ISNUMBER(D205),ISNUMBER(C205),ABS(A206-IF(G205&gt;=$P$2,MIN(D205,C205),D205))&gt;0.005),"Bank roll inicial no sigue la regla del dia anterior (alguien sobrescribio la formula). ","")&amp;IF(AND(H206&lt;&gt;"",ISNUMBER(B206),ISNUMBER(A206),ABS(B206-A206/8)&gt;0.00001),"Stake distinto de Bank roll/8. ","")&amp;IF(AND(H206&lt;&gt;"",ISNUMBER(E206),ABS(E206)&gt;0.005),"Residuo distinto de 0. ","")&amp;IF(AND(K206&lt;&gt;"",OR(NOT(ISNUMBER(K206)),N(K206)&lt;0)),"Saldo L2 no numerico o negativo. ","")&amp;IF(AND(H206&lt;&gt;"",H206&lt;TEXT(TODAY(),"yyyy-mm-dd"),G206&gt;=$P$2,K206="",OR(N(J206)&gt;0,N(M205)&gt;0)),"Falta cerrar el Saldo L2 de este dia. ","")&amp;IF(AND(H206&lt;&gt;"",SUMPRODUCT((Registros!$C$2:$C$3000=H206)*ISTEXT(Registros!$AP$2:$AP$3000))&gt;0),"Hay P/L guardado como texto en Registros (no suma). ","")))</f>
        <v/>
      </c>
    </row>
    <row r="207" customFormat="false" ht="15" hidden="false" customHeight="true" outlineLevel="0" collapsed="false">
      <c r="A207" s="13" t="n">
        <f aca="false">IF(D206="","",IF(G206&gt;=$P$2,MIN(D206,C206),D206))</f>
        <v>8</v>
      </c>
      <c r="B207" s="13" t="n">
        <f aca="false">IF(A207="","",A207/8)</f>
        <v>1</v>
      </c>
      <c r="C207" s="13" t="n">
        <f aca="false">IF(OR(A207="",B207=""),"",A207+B207)</f>
        <v>9</v>
      </c>
      <c r="D207" s="13" t="n">
        <f aca="false">IF(A207="","",A207+SUMIFS(Registros!$AP:$AP,Registros!$C:$C,H207))</f>
        <v>8</v>
      </c>
      <c r="E207" s="13" t="n">
        <f aca="false">IF(A207="","",ROUND(A207-8*B207,2))</f>
        <v>0</v>
      </c>
      <c r="F207" s="13" t="n">
        <f aca="false">IF(OR(D207="",C207=""),"",D207-C207)</f>
        <v>-1</v>
      </c>
      <c r="G207" s="20" t="n">
        <f aca="false">IF(G206="","",G206+1)</f>
        <v>206</v>
      </c>
      <c r="H207" s="15"/>
      <c r="I207" s="14"/>
      <c r="J207" s="16" t="str">
        <f aca="false">IF(OR(H207="",D207="",C207="",G207&lt;$P$2),"",MAX(0,ROUND(D207-C207,2)))</f>
        <v/>
      </c>
      <c r="K207" s="17"/>
      <c r="L207" s="16" t="str">
        <f aca="false">IF(NOT(ISNUMBER(K207)),"",ROUND(K207-N(M206)-N(J207),2))</f>
        <v/>
      </c>
      <c r="M207" s="16" t="n">
        <f aca="false">IF(ISNUMBER(K207),K207,N(M206))</f>
        <v>0</v>
      </c>
      <c r="N207" s="0" t="str">
        <f aca="true">IF(AND(H207="",K207=""),"",TRIM(IF(AND(H207&lt;&gt;"",NOT(AND(LEN(H207)=10,MID(H207,5,1)="-",MID(H207,8,1)="-"))),"Fecha con formato invalido (usa AAAA-MM-DD). ","")&amp;IF(AND(H207&lt;&gt;"",COUNTIF($H$2:$H$367,H207)&gt;1),"Fecha repetida en otro dia. ","")&amp;IF(AND(H207&lt;&gt;"",H206&lt;&gt;"",H207&lt;=H206),"La fecha no es posterior a la del dia anterior. ","")&amp;IF(AND(H207&lt;&gt;"",ISNUMBER(A207),ISNUMBER(D206),ISNUMBER(C206),ABS(A207-IF(G206&gt;=$P$2,MIN(D206,C206),D206))&gt;0.005),"Bank roll inicial no sigue la regla del dia anterior (alguien sobrescribio la formula). ","")&amp;IF(AND(H207&lt;&gt;"",ISNUMBER(B207),ISNUMBER(A207),ABS(B207-A207/8)&gt;0.00001),"Stake distinto de Bank roll/8. ","")&amp;IF(AND(H207&lt;&gt;"",ISNUMBER(E207),ABS(E207)&gt;0.005),"Residuo distinto de 0. ","")&amp;IF(AND(K207&lt;&gt;"",OR(NOT(ISNUMBER(K207)),N(K207)&lt;0)),"Saldo L2 no numerico o negativo. ","")&amp;IF(AND(H207&lt;&gt;"",H207&lt;TEXT(TODAY(),"yyyy-mm-dd"),G207&gt;=$P$2,K207="",OR(N(J207)&gt;0,N(M206)&gt;0)),"Falta cerrar el Saldo L2 de este dia. ","")&amp;IF(AND(H207&lt;&gt;"",SUMPRODUCT((Registros!$C$2:$C$3000=H207)*ISTEXT(Registros!$AP$2:$AP$3000))&gt;0),"Hay P/L guardado como texto en Registros (no suma). ","")))</f>
        <v/>
      </c>
    </row>
    <row r="208" customFormat="false" ht="15" hidden="false" customHeight="true" outlineLevel="0" collapsed="false">
      <c r="A208" s="13" t="n">
        <f aca="false">IF(D207="","",IF(G207&gt;=$P$2,MIN(D207,C207),D207))</f>
        <v>8</v>
      </c>
      <c r="B208" s="13" t="n">
        <f aca="false">IF(A208="","",A208/8)</f>
        <v>1</v>
      </c>
      <c r="C208" s="13" t="n">
        <f aca="false">IF(OR(A208="",B208=""),"",A208+B208)</f>
        <v>9</v>
      </c>
      <c r="D208" s="13" t="n">
        <f aca="false">IF(A208="","",A208+SUMIFS(Registros!$AP:$AP,Registros!$C:$C,H208))</f>
        <v>8</v>
      </c>
      <c r="E208" s="13" t="n">
        <f aca="false">IF(A208="","",ROUND(A208-8*B208,2))</f>
        <v>0</v>
      </c>
      <c r="F208" s="13" t="n">
        <f aca="false">IF(OR(D208="",C208=""),"",D208-C208)</f>
        <v>-1</v>
      </c>
      <c r="G208" s="20" t="n">
        <f aca="false">IF(G207="","",G207+1)</f>
        <v>207</v>
      </c>
      <c r="H208" s="15"/>
      <c r="I208" s="14"/>
      <c r="J208" s="16" t="str">
        <f aca="false">IF(OR(H208="",D208="",C208="",G208&lt;$P$2),"",MAX(0,ROUND(D208-C208,2)))</f>
        <v/>
      </c>
      <c r="K208" s="17"/>
      <c r="L208" s="16" t="str">
        <f aca="false">IF(NOT(ISNUMBER(K208)),"",ROUND(K208-N(M207)-N(J208),2))</f>
        <v/>
      </c>
      <c r="M208" s="16" t="n">
        <f aca="false">IF(ISNUMBER(K208),K208,N(M207))</f>
        <v>0</v>
      </c>
      <c r="N208" s="0" t="str">
        <f aca="true">IF(AND(H208="",K208=""),"",TRIM(IF(AND(H208&lt;&gt;"",NOT(AND(LEN(H208)=10,MID(H208,5,1)="-",MID(H208,8,1)="-"))),"Fecha con formato invalido (usa AAAA-MM-DD). ","")&amp;IF(AND(H208&lt;&gt;"",COUNTIF($H$2:$H$367,H208)&gt;1),"Fecha repetida en otro dia. ","")&amp;IF(AND(H208&lt;&gt;"",H207&lt;&gt;"",H208&lt;=H207),"La fecha no es posterior a la del dia anterior. ","")&amp;IF(AND(H208&lt;&gt;"",ISNUMBER(A208),ISNUMBER(D207),ISNUMBER(C207),ABS(A208-IF(G207&gt;=$P$2,MIN(D207,C207),D207))&gt;0.005),"Bank roll inicial no sigue la regla del dia anterior (alguien sobrescribio la formula). ","")&amp;IF(AND(H208&lt;&gt;"",ISNUMBER(B208),ISNUMBER(A208),ABS(B208-A208/8)&gt;0.00001),"Stake distinto de Bank roll/8. ","")&amp;IF(AND(H208&lt;&gt;"",ISNUMBER(E208),ABS(E208)&gt;0.005),"Residuo distinto de 0. ","")&amp;IF(AND(K208&lt;&gt;"",OR(NOT(ISNUMBER(K208)),N(K208)&lt;0)),"Saldo L2 no numerico o negativo. ","")&amp;IF(AND(H208&lt;&gt;"",H208&lt;TEXT(TODAY(),"yyyy-mm-dd"),G208&gt;=$P$2,K208="",OR(N(J208)&gt;0,N(M207)&gt;0)),"Falta cerrar el Saldo L2 de este dia. ","")&amp;IF(AND(H208&lt;&gt;"",SUMPRODUCT((Registros!$C$2:$C$3000=H208)*ISTEXT(Registros!$AP$2:$AP$3000))&gt;0),"Hay P/L guardado como texto en Registros (no suma). ","")))</f>
        <v/>
      </c>
    </row>
    <row r="209" customFormat="false" ht="15" hidden="false" customHeight="true" outlineLevel="0" collapsed="false">
      <c r="A209" s="13" t="n">
        <f aca="false">IF(D208="","",IF(G208&gt;=$P$2,MIN(D208,C208),D208))</f>
        <v>8</v>
      </c>
      <c r="B209" s="13" t="n">
        <f aca="false">IF(A209="","",A209/8)</f>
        <v>1</v>
      </c>
      <c r="C209" s="13" t="n">
        <f aca="false">IF(OR(A209="",B209=""),"",A209+B209)</f>
        <v>9</v>
      </c>
      <c r="D209" s="13" t="n">
        <f aca="false">IF(A209="","",A209+SUMIFS(Registros!$AP:$AP,Registros!$C:$C,H209))</f>
        <v>8</v>
      </c>
      <c r="E209" s="13" t="n">
        <f aca="false">IF(A209="","",ROUND(A209-8*B209,2))</f>
        <v>0</v>
      </c>
      <c r="F209" s="13" t="n">
        <f aca="false">IF(OR(D209="",C209=""),"",D209-C209)</f>
        <v>-1</v>
      </c>
      <c r="G209" s="20" t="n">
        <f aca="false">IF(G208="","",G208+1)</f>
        <v>208</v>
      </c>
      <c r="H209" s="15"/>
      <c r="I209" s="14"/>
      <c r="J209" s="16" t="str">
        <f aca="false">IF(OR(H209="",D209="",C209="",G209&lt;$P$2),"",MAX(0,ROUND(D209-C209,2)))</f>
        <v/>
      </c>
      <c r="K209" s="17"/>
      <c r="L209" s="16" t="str">
        <f aca="false">IF(NOT(ISNUMBER(K209)),"",ROUND(K209-N(M208)-N(J209),2))</f>
        <v/>
      </c>
      <c r="M209" s="16" t="n">
        <f aca="false">IF(ISNUMBER(K209),K209,N(M208))</f>
        <v>0</v>
      </c>
      <c r="N209" s="0" t="str">
        <f aca="true">IF(AND(H209="",K209=""),"",TRIM(IF(AND(H209&lt;&gt;"",NOT(AND(LEN(H209)=10,MID(H209,5,1)="-",MID(H209,8,1)="-"))),"Fecha con formato invalido (usa AAAA-MM-DD). ","")&amp;IF(AND(H209&lt;&gt;"",COUNTIF($H$2:$H$367,H209)&gt;1),"Fecha repetida en otro dia. ","")&amp;IF(AND(H209&lt;&gt;"",H208&lt;&gt;"",H209&lt;=H208),"La fecha no es posterior a la del dia anterior. ","")&amp;IF(AND(H209&lt;&gt;"",ISNUMBER(A209),ISNUMBER(D208),ISNUMBER(C208),ABS(A209-IF(G208&gt;=$P$2,MIN(D208,C208),D208))&gt;0.005),"Bank roll inicial no sigue la regla del dia anterior (alguien sobrescribio la formula). ","")&amp;IF(AND(H209&lt;&gt;"",ISNUMBER(B209),ISNUMBER(A209),ABS(B209-A209/8)&gt;0.00001),"Stake distinto de Bank roll/8. ","")&amp;IF(AND(H209&lt;&gt;"",ISNUMBER(E209),ABS(E209)&gt;0.005),"Residuo distinto de 0. ","")&amp;IF(AND(K209&lt;&gt;"",OR(NOT(ISNUMBER(K209)),N(K209)&lt;0)),"Saldo L2 no numerico o negativo. ","")&amp;IF(AND(H209&lt;&gt;"",H209&lt;TEXT(TODAY(),"yyyy-mm-dd"),G209&gt;=$P$2,K209="",OR(N(J209)&gt;0,N(M208)&gt;0)),"Falta cerrar el Saldo L2 de este dia. ","")&amp;IF(AND(H209&lt;&gt;"",SUMPRODUCT((Registros!$C$2:$C$3000=H209)*ISTEXT(Registros!$AP$2:$AP$3000))&gt;0),"Hay P/L guardado como texto en Registros (no suma). ","")))</f>
        <v/>
      </c>
    </row>
    <row r="210" customFormat="false" ht="15" hidden="false" customHeight="true" outlineLevel="0" collapsed="false">
      <c r="A210" s="13" t="n">
        <f aca="false">IF(D209="","",IF(G209&gt;=$P$2,MIN(D209,C209),D209))</f>
        <v>8</v>
      </c>
      <c r="B210" s="13" t="n">
        <f aca="false">IF(A210="","",A210/8)</f>
        <v>1</v>
      </c>
      <c r="C210" s="13" t="n">
        <f aca="false">IF(OR(A210="",B210=""),"",A210+B210)</f>
        <v>9</v>
      </c>
      <c r="D210" s="13" t="n">
        <f aca="false">IF(A210="","",A210+SUMIFS(Registros!$AP:$AP,Registros!$C:$C,H210))</f>
        <v>8</v>
      </c>
      <c r="E210" s="13" t="n">
        <f aca="false">IF(A210="","",ROUND(A210-8*B210,2))</f>
        <v>0</v>
      </c>
      <c r="F210" s="13" t="n">
        <f aca="false">IF(OR(D210="",C210=""),"",D210-C210)</f>
        <v>-1</v>
      </c>
      <c r="G210" s="20" t="n">
        <f aca="false">IF(G209="","",G209+1)</f>
        <v>209</v>
      </c>
      <c r="H210" s="15"/>
      <c r="I210" s="14"/>
      <c r="J210" s="16" t="str">
        <f aca="false">IF(OR(H210="",D210="",C210="",G210&lt;$P$2),"",MAX(0,ROUND(D210-C210,2)))</f>
        <v/>
      </c>
      <c r="K210" s="17"/>
      <c r="L210" s="16" t="str">
        <f aca="false">IF(NOT(ISNUMBER(K210)),"",ROUND(K210-N(M209)-N(J210),2))</f>
        <v/>
      </c>
      <c r="M210" s="16" t="n">
        <f aca="false">IF(ISNUMBER(K210),K210,N(M209))</f>
        <v>0</v>
      </c>
      <c r="N210" s="0" t="str">
        <f aca="true">IF(AND(H210="",K210=""),"",TRIM(IF(AND(H210&lt;&gt;"",NOT(AND(LEN(H210)=10,MID(H210,5,1)="-",MID(H210,8,1)="-"))),"Fecha con formato invalido (usa AAAA-MM-DD). ","")&amp;IF(AND(H210&lt;&gt;"",COUNTIF($H$2:$H$367,H210)&gt;1),"Fecha repetida en otro dia. ","")&amp;IF(AND(H210&lt;&gt;"",H209&lt;&gt;"",H210&lt;=H209),"La fecha no es posterior a la del dia anterior. ","")&amp;IF(AND(H210&lt;&gt;"",ISNUMBER(A210),ISNUMBER(D209),ISNUMBER(C209),ABS(A210-IF(G209&gt;=$P$2,MIN(D209,C209),D209))&gt;0.005),"Bank roll inicial no sigue la regla del dia anterior (alguien sobrescribio la formula). ","")&amp;IF(AND(H210&lt;&gt;"",ISNUMBER(B210),ISNUMBER(A210),ABS(B210-A210/8)&gt;0.00001),"Stake distinto de Bank roll/8. ","")&amp;IF(AND(H210&lt;&gt;"",ISNUMBER(E210),ABS(E210)&gt;0.005),"Residuo distinto de 0. ","")&amp;IF(AND(K210&lt;&gt;"",OR(NOT(ISNUMBER(K210)),N(K210)&lt;0)),"Saldo L2 no numerico o negativo. ","")&amp;IF(AND(H210&lt;&gt;"",H210&lt;TEXT(TODAY(),"yyyy-mm-dd"),G210&gt;=$P$2,K210="",OR(N(J210)&gt;0,N(M209)&gt;0)),"Falta cerrar el Saldo L2 de este dia. ","")&amp;IF(AND(H210&lt;&gt;"",SUMPRODUCT((Registros!$C$2:$C$3000=H210)*ISTEXT(Registros!$AP$2:$AP$3000))&gt;0),"Hay P/L guardado como texto en Registros (no suma). ","")))</f>
        <v/>
      </c>
    </row>
    <row r="211" customFormat="false" ht="15" hidden="false" customHeight="true" outlineLevel="0" collapsed="false">
      <c r="A211" s="13" t="n">
        <f aca="false">IF(D210="","",IF(G210&gt;=$P$2,MIN(D210,C210),D210))</f>
        <v>8</v>
      </c>
      <c r="B211" s="13" t="n">
        <f aca="false">IF(A211="","",A211/8)</f>
        <v>1</v>
      </c>
      <c r="C211" s="13" t="n">
        <f aca="false">IF(OR(A211="",B211=""),"",A211+B211)</f>
        <v>9</v>
      </c>
      <c r="D211" s="13" t="n">
        <f aca="false">IF(A211="","",A211+SUMIFS(Registros!$AP:$AP,Registros!$C:$C,H211))</f>
        <v>8</v>
      </c>
      <c r="E211" s="13" t="n">
        <f aca="false">IF(A211="","",ROUND(A211-8*B211,2))</f>
        <v>0</v>
      </c>
      <c r="F211" s="13" t="n">
        <f aca="false">IF(OR(D211="",C211=""),"",D211-C211)</f>
        <v>-1</v>
      </c>
      <c r="G211" s="20" t="n">
        <f aca="false">IF(G210="","",G210+1)</f>
        <v>210</v>
      </c>
      <c r="H211" s="15"/>
      <c r="I211" s="14"/>
      <c r="J211" s="16" t="str">
        <f aca="false">IF(OR(H211="",D211="",C211="",G211&lt;$P$2),"",MAX(0,ROUND(D211-C211,2)))</f>
        <v/>
      </c>
      <c r="K211" s="17"/>
      <c r="L211" s="16" t="str">
        <f aca="false">IF(NOT(ISNUMBER(K211)),"",ROUND(K211-N(M210)-N(J211),2))</f>
        <v/>
      </c>
      <c r="M211" s="16" t="n">
        <f aca="false">IF(ISNUMBER(K211),K211,N(M210))</f>
        <v>0</v>
      </c>
      <c r="N211" s="0" t="str">
        <f aca="true">IF(AND(H211="",K211=""),"",TRIM(IF(AND(H211&lt;&gt;"",NOT(AND(LEN(H211)=10,MID(H211,5,1)="-",MID(H211,8,1)="-"))),"Fecha con formato invalido (usa AAAA-MM-DD). ","")&amp;IF(AND(H211&lt;&gt;"",COUNTIF($H$2:$H$367,H211)&gt;1),"Fecha repetida en otro dia. ","")&amp;IF(AND(H211&lt;&gt;"",H210&lt;&gt;"",H211&lt;=H210),"La fecha no es posterior a la del dia anterior. ","")&amp;IF(AND(H211&lt;&gt;"",ISNUMBER(A211),ISNUMBER(D210),ISNUMBER(C210),ABS(A211-IF(G210&gt;=$P$2,MIN(D210,C210),D210))&gt;0.005),"Bank roll inicial no sigue la regla del dia anterior (alguien sobrescribio la formula). ","")&amp;IF(AND(H211&lt;&gt;"",ISNUMBER(B211),ISNUMBER(A211),ABS(B211-A211/8)&gt;0.00001),"Stake distinto de Bank roll/8. ","")&amp;IF(AND(H211&lt;&gt;"",ISNUMBER(E211),ABS(E211)&gt;0.005),"Residuo distinto de 0. ","")&amp;IF(AND(K211&lt;&gt;"",OR(NOT(ISNUMBER(K211)),N(K211)&lt;0)),"Saldo L2 no numerico o negativo. ","")&amp;IF(AND(H211&lt;&gt;"",H211&lt;TEXT(TODAY(),"yyyy-mm-dd"),G211&gt;=$P$2,K211="",OR(N(J211)&gt;0,N(M210)&gt;0)),"Falta cerrar el Saldo L2 de este dia. ","")&amp;IF(AND(H211&lt;&gt;"",SUMPRODUCT((Registros!$C$2:$C$3000=H211)*ISTEXT(Registros!$AP$2:$AP$3000))&gt;0),"Hay P/L guardado como texto en Registros (no suma). ","")))</f>
        <v/>
      </c>
    </row>
    <row r="212" customFormat="false" ht="15" hidden="false" customHeight="true" outlineLevel="0" collapsed="false">
      <c r="A212" s="13" t="n">
        <f aca="false">IF(D211="","",IF(G211&gt;=$P$2,MIN(D211,C211),D211))</f>
        <v>8</v>
      </c>
      <c r="B212" s="13" t="n">
        <f aca="false">IF(A212="","",A212/8)</f>
        <v>1</v>
      </c>
      <c r="C212" s="13" t="n">
        <f aca="false">IF(OR(A212="",B212=""),"",A212+B212)</f>
        <v>9</v>
      </c>
      <c r="D212" s="13" t="n">
        <f aca="false">IF(A212="","",A212+SUMIFS(Registros!$AP:$AP,Registros!$C:$C,H212))</f>
        <v>8</v>
      </c>
      <c r="E212" s="13" t="n">
        <f aca="false">IF(A212="","",ROUND(A212-8*B212,2))</f>
        <v>0</v>
      </c>
      <c r="F212" s="13" t="n">
        <f aca="false">IF(OR(D212="",C212=""),"",D212-C212)</f>
        <v>-1</v>
      </c>
      <c r="G212" s="20" t="n">
        <f aca="false">IF(G211="","",G211+1)</f>
        <v>211</v>
      </c>
      <c r="H212" s="15"/>
      <c r="I212" s="14"/>
      <c r="J212" s="16" t="str">
        <f aca="false">IF(OR(H212="",D212="",C212="",G212&lt;$P$2),"",MAX(0,ROUND(D212-C212,2)))</f>
        <v/>
      </c>
      <c r="K212" s="17"/>
      <c r="L212" s="16" t="str">
        <f aca="false">IF(NOT(ISNUMBER(K212)),"",ROUND(K212-N(M211)-N(J212),2))</f>
        <v/>
      </c>
      <c r="M212" s="16" t="n">
        <f aca="false">IF(ISNUMBER(K212),K212,N(M211))</f>
        <v>0</v>
      </c>
      <c r="N212" s="0" t="str">
        <f aca="true">IF(AND(H212="",K212=""),"",TRIM(IF(AND(H212&lt;&gt;"",NOT(AND(LEN(H212)=10,MID(H212,5,1)="-",MID(H212,8,1)="-"))),"Fecha con formato invalido (usa AAAA-MM-DD). ","")&amp;IF(AND(H212&lt;&gt;"",COUNTIF($H$2:$H$367,H212)&gt;1),"Fecha repetida en otro dia. ","")&amp;IF(AND(H212&lt;&gt;"",H211&lt;&gt;"",H212&lt;=H211),"La fecha no es posterior a la del dia anterior. ","")&amp;IF(AND(H212&lt;&gt;"",ISNUMBER(A212),ISNUMBER(D211),ISNUMBER(C211),ABS(A212-IF(G211&gt;=$P$2,MIN(D211,C211),D211))&gt;0.005),"Bank roll inicial no sigue la regla del dia anterior (alguien sobrescribio la formula). ","")&amp;IF(AND(H212&lt;&gt;"",ISNUMBER(B212),ISNUMBER(A212),ABS(B212-A212/8)&gt;0.00001),"Stake distinto de Bank roll/8. ","")&amp;IF(AND(H212&lt;&gt;"",ISNUMBER(E212),ABS(E212)&gt;0.005),"Residuo distinto de 0. ","")&amp;IF(AND(K212&lt;&gt;"",OR(NOT(ISNUMBER(K212)),N(K212)&lt;0)),"Saldo L2 no numerico o negativo. ","")&amp;IF(AND(H212&lt;&gt;"",H212&lt;TEXT(TODAY(),"yyyy-mm-dd"),G212&gt;=$P$2,K212="",OR(N(J212)&gt;0,N(M211)&gt;0)),"Falta cerrar el Saldo L2 de este dia. ","")&amp;IF(AND(H212&lt;&gt;"",SUMPRODUCT((Registros!$C$2:$C$3000=H212)*ISTEXT(Registros!$AP$2:$AP$3000))&gt;0),"Hay P/L guardado como texto en Registros (no suma). ","")))</f>
        <v/>
      </c>
    </row>
    <row r="213" customFormat="false" ht="15" hidden="false" customHeight="true" outlineLevel="0" collapsed="false">
      <c r="A213" s="13" t="n">
        <f aca="false">IF(D212="","",IF(G212&gt;=$P$2,MIN(D212,C212),D212))</f>
        <v>8</v>
      </c>
      <c r="B213" s="13" t="n">
        <f aca="false">IF(A213="","",A213/8)</f>
        <v>1</v>
      </c>
      <c r="C213" s="13" t="n">
        <f aca="false">IF(OR(A213="",B213=""),"",A213+B213)</f>
        <v>9</v>
      </c>
      <c r="D213" s="13" t="n">
        <f aca="false">IF(A213="","",A213+SUMIFS(Registros!$AP:$AP,Registros!$C:$C,H213))</f>
        <v>8</v>
      </c>
      <c r="E213" s="13" t="n">
        <f aca="false">IF(A213="","",ROUND(A213-8*B213,2))</f>
        <v>0</v>
      </c>
      <c r="F213" s="13" t="n">
        <f aca="false">IF(OR(D213="",C213=""),"",D213-C213)</f>
        <v>-1</v>
      </c>
      <c r="G213" s="20" t="n">
        <f aca="false">IF(G212="","",G212+1)</f>
        <v>212</v>
      </c>
      <c r="H213" s="15"/>
      <c r="I213" s="14"/>
      <c r="J213" s="16" t="str">
        <f aca="false">IF(OR(H213="",D213="",C213="",G213&lt;$P$2),"",MAX(0,ROUND(D213-C213,2)))</f>
        <v/>
      </c>
      <c r="K213" s="17"/>
      <c r="L213" s="16" t="str">
        <f aca="false">IF(NOT(ISNUMBER(K213)),"",ROUND(K213-N(M212)-N(J213),2))</f>
        <v/>
      </c>
      <c r="M213" s="16" t="n">
        <f aca="false">IF(ISNUMBER(K213),K213,N(M212))</f>
        <v>0</v>
      </c>
      <c r="N213" s="0" t="str">
        <f aca="true">IF(AND(H213="",K213=""),"",TRIM(IF(AND(H213&lt;&gt;"",NOT(AND(LEN(H213)=10,MID(H213,5,1)="-",MID(H213,8,1)="-"))),"Fecha con formato invalido (usa AAAA-MM-DD). ","")&amp;IF(AND(H213&lt;&gt;"",COUNTIF($H$2:$H$367,H213)&gt;1),"Fecha repetida en otro dia. ","")&amp;IF(AND(H213&lt;&gt;"",H212&lt;&gt;"",H213&lt;=H212),"La fecha no es posterior a la del dia anterior. ","")&amp;IF(AND(H213&lt;&gt;"",ISNUMBER(A213),ISNUMBER(D212),ISNUMBER(C212),ABS(A213-IF(G212&gt;=$P$2,MIN(D212,C212),D212))&gt;0.005),"Bank roll inicial no sigue la regla del dia anterior (alguien sobrescribio la formula). ","")&amp;IF(AND(H213&lt;&gt;"",ISNUMBER(B213),ISNUMBER(A213),ABS(B213-A213/8)&gt;0.00001),"Stake distinto de Bank roll/8. ","")&amp;IF(AND(H213&lt;&gt;"",ISNUMBER(E213),ABS(E213)&gt;0.005),"Residuo distinto de 0. ","")&amp;IF(AND(K213&lt;&gt;"",OR(NOT(ISNUMBER(K213)),N(K213)&lt;0)),"Saldo L2 no numerico o negativo. ","")&amp;IF(AND(H213&lt;&gt;"",H213&lt;TEXT(TODAY(),"yyyy-mm-dd"),G213&gt;=$P$2,K213="",OR(N(J213)&gt;0,N(M212)&gt;0)),"Falta cerrar el Saldo L2 de este dia. ","")&amp;IF(AND(H213&lt;&gt;"",SUMPRODUCT((Registros!$C$2:$C$3000=H213)*ISTEXT(Registros!$AP$2:$AP$3000))&gt;0),"Hay P/L guardado como texto en Registros (no suma). ","")))</f>
        <v/>
      </c>
    </row>
    <row r="214" customFormat="false" ht="15" hidden="false" customHeight="true" outlineLevel="0" collapsed="false">
      <c r="A214" s="13" t="n">
        <f aca="false">IF(D213="","",IF(G213&gt;=$P$2,MIN(D213,C213),D213))</f>
        <v>8</v>
      </c>
      <c r="B214" s="13" t="n">
        <f aca="false">IF(A214="","",A214/8)</f>
        <v>1</v>
      </c>
      <c r="C214" s="13" t="n">
        <f aca="false">IF(OR(A214="",B214=""),"",A214+B214)</f>
        <v>9</v>
      </c>
      <c r="D214" s="13" t="n">
        <f aca="false">IF(A214="","",A214+SUMIFS(Registros!$AP:$AP,Registros!$C:$C,H214))</f>
        <v>8</v>
      </c>
      <c r="E214" s="13" t="n">
        <f aca="false">IF(A214="","",ROUND(A214-8*B214,2))</f>
        <v>0</v>
      </c>
      <c r="F214" s="13" t="n">
        <f aca="false">IF(OR(D214="",C214=""),"",D214-C214)</f>
        <v>-1</v>
      </c>
      <c r="G214" s="20" t="n">
        <f aca="false">IF(G213="","",G213+1)</f>
        <v>213</v>
      </c>
      <c r="H214" s="15"/>
      <c r="I214" s="14"/>
      <c r="J214" s="16" t="str">
        <f aca="false">IF(OR(H214="",D214="",C214="",G214&lt;$P$2),"",MAX(0,ROUND(D214-C214,2)))</f>
        <v/>
      </c>
      <c r="K214" s="17"/>
      <c r="L214" s="16" t="str">
        <f aca="false">IF(NOT(ISNUMBER(K214)),"",ROUND(K214-N(M213)-N(J214),2))</f>
        <v/>
      </c>
      <c r="M214" s="16" t="n">
        <f aca="false">IF(ISNUMBER(K214),K214,N(M213))</f>
        <v>0</v>
      </c>
      <c r="N214" s="0" t="str">
        <f aca="true">IF(AND(H214="",K214=""),"",TRIM(IF(AND(H214&lt;&gt;"",NOT(AND(LEN(H214)=10,MID(H214,5,1)="-",MID(H214,8,1)="-"))),"Fecha con formato invalido (usa AAAA-MM-DD). ","")&amp;IF(AND(H214&lt;&gt;"",COUNTIF($H$2:$H$367,H214)&gt;1),"Fecha repetida en otro dia. ","")&amp;IF(AND(H214&lt;&gt;"",H213&lt;&gt;"",H214&lt;=H213),"La fecha no es posterior a la del dia anterior. ","")&amp;IF(AND(H214&lt;&gt;"",ISNUMBER(A214),ISNUMBER(D213),ISNUMBER(C213),ABS(A214-IF(G213&gt;=$P$2,MIN(D213,C213),D213))&gt;0.005),"Bank roll inicial no sigue la regla del dia anterior (alguien sobrescribio la formula). ","")&amp;IF(AND(H214&lt;&gt;"",ISNUMBER(B214),ISNUMBER(A214),ABS(B214-A214/8)&gt;0.00001),"Stake distinto de Bank roll/8. ","")&amp;IF(AND(H214&lt;&gt;"",ISNUMBER(E214),ABS(E214)&gt;0.005),"Residuo distinto de 0. ","")&amp;IF(AND(K214&lt;&gt;"",OR(NOT(ISNUMBER(K214)),N(K214)&lt;0)),"Saldo L2 no numerico o negativo. ","")&amp;IF(AND(H214&lt;&gt;"",H214&lt;TEXT(TODAY(),"yyyy-mm-dd"),G214&gt;=$P$2,K214="",OR(N(J214)&gt;0,N(M213)&gt;0)),"Falta cerrar el Saldo L2 de este dia. ","")&amp;IF(AND(H214&lt;&gt;"",SUMPRODUCT((Registros!$C$2:$C$3000=H214)*ISTEXT(Registros!$AP$2:$AP$3000))&gt;0),"Hay P/L guardado como texto en Registros (no suma). ","")))</f>
        <v/>
      </c>
    </row>
    <row r="215" customFormat="false" ht="15" hidden="false" customHeight="true" outlineLevel="0" collapsed="false">
      <c r="A215" s="13" t="n">
        <f aca="false">IF(D214="","",IF(G214&gt;=$P$2,MIN(D214,C214),D214))</f>
        <v>8</v>
      </c>
      <c r="B215" s="13" t="n">
        <f aca="false">IF(A215="","",A215/8)</f>
        <v>1</v>
      </c>
      <c r="C215" s="13" t="n">
        <f aca="false">IF(OR(A215="",B215=""),"",A215+B215)</f>
        <v>9</v>
      </c>
      <c r="D215" s="13" t="n">
        <f aca="false">IF(A215="","",A215+SUMIFS(Registros!$AP:$AP,Registros!$C:$C,H215))</f>
        <v>8</v>
      </c>
      <c r="E215" s="13" t="n">
        <f aca="false">IF(A215="","",ROUND(A215-8*B215,2))</f>
        <v>0</v>
      </c>
      <c r="F215" s="13" t="n">
        <f aca="false">IF(OR(D215="",C215=""),"",D215-C215)</f>
        <v>-1</v>
      </c>
      <c r="G215" s="20" t="n">
        <f aca="false">IF(G214="","",G214+1)</f>
        <v>214</v>
      </c>
      <c r="H215" s="15"/>
      <c r="I215" s="14"/>
      <c r="J215" s="16" t="str">
        <f aca="false">IF(OR(H215="",D215="",C215="",G215&lt;$P$2),"",MAX(0,ROUND(D215-C215,2)))</f>
        <v/>
      </c>
      <c r="K215" s="17"/>
      <c r="L215" s="16" t="str">
        <f aca="false">IF(NOT(ISNUMBER(K215)),"",ROUND(K215-N(M214)-N(J215),2))</f>
        <v/>
      </c>
      <c r="M215" s="16" t="n">
        <f aca="false">IF(ISNUMBER(K215),K215,N(M214))</f>
        <v>0</v>
      </c>
      <c r="N215" s="0" t="str">
        <f aca="true">IF(AND(H215="",K215=""),"",TRIM(IF(AND(H215&lt;&gt;"",NOT(AND(LEN(H215)=10,MID(H215,5,1)="-",MID(H215,8,1)="-"))),"Fecha con formato invalido (usa AAAA-MM-DD). ","")&amp;IF(AND(H215&lt;&gt;"",COUNTIF($H$2:$H$367,H215)&gt;1),"Fecha repetida en otro dia. ","")&amp;IF(AND(H215&lt;&gt;"",H214&lt;&gt;"",H215&lt;=H214),"La fecha no es posterior a la del dia anterior. ","")&amp;IF(AND(H215&lt;&gt;"",ISNUMBER(A215),ISNUMBER(D214),ISNUMBER(C214),ABS(A215-IF(G214&gt;=$P$2,MIN(D214,C214),D214))&gt;0.005),"Bank roll inicial no sigue la regla del dia anterior (alguien sobrescribio la formula). ","")&amp;IF(AND(H215&lt;&gt;"",ISNUMBER(B215),ISNUMBER(A215),ABS(B215-A215/8)&gt;0.00001),"Stake distinto de Bank roll/8. ","")&amp;IF(AND(H215&lt;&gt;"",ISNUMBER(E215),ABS(E215)&gt;0.005),"Residuo distinto de 0. ","")&amp;IF(AND(K215&lt;&gt;"",OR(NOT(ISNUMBER(K215)),N(K215)&lt;0)),"Saldo L2 no numerico o negativo. ","")&amp;IF(AND(H215&lt;&gt;"",H215&lt;TEXT(TODAY(),"yyyy-mm-dd"),G215&gt;=$P$2,K215="",OR(N(J215)&gt;0,N(M214)&gt;0)),"Falta cerrar el Saldo L2 de este dia. ","")&amp;IF(AND(H215&lt;&gt;"",SUMPRODUCT((Registros!$C$2:$C$3000=H215)*ISTEXT(Registros!$AP$2:$AP$3000))&gt;0),"Hay P/L guardado como texto en Registros (no suma). ","")))</f>
        <v/>
      </c>
    </row>
    <row r="216" customFormat="false" ht="15" hidden="false" customHeight="true" outlineLevel="0" collapsed="false">
      <c r="A216" s="13" t="n">
        <f aca="false">IF(D215="","",IF(G215&gt;=$P$2,MIN(D215,C215),D215))</f>
        <v>8</v>
      </c>
      <c r="B216" s="13" t="n">
        <f aca="false">IF(A216="","",A216/8)</f>
        <v>1</v>
      </c>
      <c r="C216" s="13" t="n">
        <f aca="false">IF(OR(A216="",B216=""),"",A216+B216)</f>
        <v>9</v>
      </c>
      <c r="D216" s="13" t="n">
        <f aca="false">IF(A216="","",A216+SUMIFS(Registros!$AP:$AP,Registros!$C:$C,H216))</f>
        <v>8</v>
      </c>
      <c r="E216" s="13" t="n">
        <f aca="false">IF(A216="","",ROUND(A216-8*B216,2))</f>
        <v>0</v>
      </c>
      <c r="F216" s="13" t="n">
        <f aca="false">IF(OR(D216="",C216=""),"",D216-C216)</f>
        <v>-1</v>
      </c>
      <c r="G216" s="20" t="n">
        <f aca="false">IF(G215="","",G215+1)</f>
        <v>215</v>
      </c>
      <c r="H216" s="15"/>
      <c r="I216" s="14"/>
      <c r="J216" s="16" t="str">
        <f aca="false">IF(OR(H216="",D216="",C216="",G216&lt;$P$2),"",MAX(0,ROUND(D216-C216,2)))</f>
        <v/>
      </c>
      <c r="K216" s="17"/>
      <c r="L216" s="16" t="str">
        <f aca="false">IF(NOT(ISNUMBER(K216)),"",ROUND(K216-N(M215)-N(J216),2))</f>
        <v/>
      </c>
      <c r="M216" s="16" t="n">
        <f aca="false">IF(ISNUMBER(K216),K216,N(M215))</f>
        <v>0</v>
      </c>
      <c r="N216" s="0" t="str">
        <f aca="true">IF(AND(H216="",K216=""),"",TRIM(IF(AND(H216&lt;&gt;"",NOT(AND(LEN(H216)=10,MID(H216,5,1)="-",MID(H216,8,1)="-"))),"Fecha con formato invalido (usa AAAA-MM-DD). ","")&amp;IF(AND(H216&lt;&gt;"",COUNTIF($H$2:$H$367,H216)&gt;1),"Fecha repetida en otro dia. ","")&amp;IF(AND(H216&lt;&gt;"",H215&lt;&gt;"",H216&lt;=H215),"La fecha no es posterior a la del dia anterior. ","")&amp;IF(AND(H216&lt;&gt;"",ISNUMBER(A216),ISNUMBER(D215),ISNUMBER(C215),ABS(A216-IF(G215&gt;=$P$2,MIN(D215,C215),D215))&gt;0.005),"Bank roll inicial no sigue la regla del dia anterior (alguien sobrescribio la formula). ","")&amp;IF(AND(H216&lt;&gt;"",ISNUMBER(B216),ISNUMBER(A216),ABS(B216-A216/8)&gt;0.00001),"Stake distinto de Bank roll/8. ","")&amp;IF(AND(H216&lt;&gt;"",ISNUMBER(E216),ABS(E216)&gt;0.005),"Residuo distinto de 0. ","")&amp;IF(AND(K216&lt;&gt;"",OR(NOT(ISNUMBER(K216)),N(K216)&lt;0)),"Saldo L2 no numerico o negativo. ","")&amp;IF(AND(H216&lt;&gt;"",H216&lt;TEXT(TODAY(),"yyyy-mm-dd"),G216&gt;=$P$2,K216="",OR(N(J216)&gt;0,N(M215)&gt;0)),"Falta cerrar el Saldo L2 de este dia. ","")&amp;IF(AND(H216&lt;&gt;"",SUMPRODUCT((Registros!$C$2:$C$3000=H216)*ISTEXT(Registros!$AP$2:$AP$3000))&gt;0),"Hay P/L guardado como texto en Registros (no suma). ","")))</f>
        <v/>
      </c>
    </row>
    <row r="217" customFormat="false" ht="15" hidden="false" customHeight="true" outlineLevel="0" collapsed="false">
      <c r="A217" s="13" t="n">
        <f aca="false">IF(D216="","",IF(G216&gt;=$P$2,MIN(D216,C216),D216))</f>
        <v>8</v>
      </c>
      <c r="B217" s="13" t="n">
        <f aca="false">IF(A217="","",A217/8)</f>
        <v>1</v>
      </c>
      <c r="C217" s="13" t="n">
        <f aca="false">IF(OR(A217="",B217=""),"",A217+B217)</f>
        <v>9</v>
      </c>
      <c r="D217" s="13" t="n">
        <f aca="false">IF(A217="","",A217+SUMIFS(Registros!$AP:$AP,Registros!$C:$C,H217))</f>
        <v>8</v>
      </c>
      <c r="E217" s="13" t="n">
        <f aca="false">IF(A217="","",ROUND(A217-8*B217,2))</f>
        <v>0</v>
      </c>
      <c r="F217" s="13" t="n">
        <f aca="false">IF(OR(D217="",C217=""),"",D217-C217)</f>
        <v>-1</v>
      </c>
      <c r="G217" s="20" t="n">
        <f aca="false">IF(G216="","",G216+1)</f>
        <v>216</v>
      </c>
      <c r="H217" s="15"/>
      <c r="I217" s="14"/>
      <c r="J217" s="16" t="str">
        <f aca="false">IF(OR(H217="",D217="",C217="",G217&lt;$P$2),"",MAX(0,ROUND(D217-C217,2)))</f>
        <v/>
      </c>
      <c r="K217" s="17"/>
      <c r="L217" s="16" t="str">
        <f aca="false">IF(NOT(ISNUMBER(K217)),"",ROUND(K217-N(M216)-N(J217),2))</f>
        <v/>
      </c>
      <c r="M217" s="16" t="n">
        <f aca="false">IF(ISNUMBER(K217),K217,N(M216))</f>
        <v>0</v>
      </c>
      <c r="N217" s="0" t="str">
        <f aca="true">IF(AND(H217="",K217=""),"",TRIM(IF(AND(H217&lt;&gt;"",NOT(AND(LEN(H217)=10,MID(H217,5,1)="-",MID(H217,8,1)="-"))),"Fecha con formato invalido (usa AAAA-MM-DD). ","")&amp;IF(AND(H217&lt;&gt;"",COUNTIF($H$2:$H$367,H217)&gt;1),"Fecha repetida en otro dia. ","")&amp;IF(AND(H217&lt;&gt;"",H216&lt;&gt;"",H217&lt;=H216),"La fecha no es posterior a la del dia anterior. ","")&amp;IF(AND(H217&lt;&gt;"",ISNUMBER(A217),ISNUMBER(D216),ISNUMBER(C216),ABS(A217-IF(G216&gt;=$P$2,MIN(D216,C216),D216))&gt;0.005),"Bank roll inicial no sigue la regla del dia anterior (alguien sobrescribio la formula). ","")&amp;IF(AND(H217&lt;&gt;"",ISNUMBER(B217),ISNUMBER(A217),ABS(B217-A217/8)&gt;0.00001),"Stake distinto de Bank roll/8. ","")&amp;IF(AND(H217&lt;&gt;"",ISNUMBER(E217),ABS(E217)&gt;0.005),"Residuo distinto de 0. ","")&amp;IF(AND(K217&lt;&gt;"",OR(NOT(ISNUMBER(K217)),N(K217)&lt;0)),"Saldo L2 no numerico o negativo. ","")&amp;IF(AND(H217&lt;&gt;"",H217&lt;TEXT(TODAY(),"yyyy-mm-dd"),G217&gt;=$P$2,K217="",OR(N(J217)&gt;0,N(M216)&gt;0)),"Falta cerrar el Saldo L2 de este dia. ","")&amp;IF(AND(H217&lt;&gt;"",SUMPRODUCT((Registros!$C$2:$C$3000=H217)*ISTEXT(Registros!$AP$2:$AP$3000))&gt;0),"Hay P/L guardado como texto en Registros (no suma). ","")))</f>
        <v/>
      </c>
    </row>
    <row r="218" customFormat="false" ht="15" hidden="false" customHeight="true" outlineLevel="0" collapsed="false">
      <c r="A218" s="13" t="n">
        <f aca="false">IF(D217="","",IF(G217&gt;=$P$2,MIN(D217,C217),D217))</f>
        <v>8</v>
      </c>
      <c r="B218" s="13" t="n">
        <f aca="false">IF(A218="","",A218/8)</f>
        <v>1</v>
      </c>
      <c r="C218" s="13" t="n">
        <f aca="false">IF(OR(A218="",B218=""),"",A218+B218)</f>
        <v>9</v>
      </c>
      <c r="D218" s="13" t="n">
        <f aca="false">IF(A218="","",A218+SUMIFS(Registros!$AP:$AP,Registros!$C:$C,H218))</f>
        <v>8</v>
      </c>
      <c r="E218" s="13" t="n">
        <f aca="false">IF(A218="","",ROUND(A218-8*B218,2))</f>
        <v>0</v>
      </c>
      <c r="F218" s="13" t="n">
        <f aca="false">IF(OR(D218="",C218=""),"",D218-C218)</f>
        <v>-1</v>
      </c>
      <c r="G218" s="20" t="n">
        <f aca="false">IF(G217="","",G217+1)</f>
        <v>217</v>
      </c>
      <c r="H218" s="15"/>
      <c r="I218" s="14"/>
      <c r="J218" s="16" t="str">
        <f aca="false">IF(OR(H218="",D218="",C218="",G218&lt;$P$2),"",MAX(0,ROUND(D218-C218,2)))</f>
        <v/>
      </c>
      <c r="K218" s="17"/>
      <c r="L218" s="16" t="str">
        <f aca="false">IF(NOT(ISNUMBER(K218)),"",ROUND(K218-N(M217)-N(J218),2))</f>
        <v/>
      </c>
      <c r="M218" s="16" t="n">
        <f aca="false">IF(ISNUMBER(K218),K218,N(M217))</f>
        <v>0</v>
      </c>
      <c r="N218" s="0" t="str">
        <f aca="true">IF(AND(H218="",K218=""),"",TRIM(IF(AND(H218&lt;&gt;"",NOT(AND(LEN(H218)=10,MID(H218,5,1)="-",MID(H218,8,1)="-"))),"Fecha con formato invalido (usa AAAA-MM-DD). ","")&amp;IF(AND(H218&lt;&gt;"",COUNTIF($H$2:$H$367,H218)&gt;1),"Fecha repetida en otro dia. ","")&amp;IF(AND(H218&lt;&gt;"",H217&lt;&gt;"",H218&lt;=H217),"La fecha no es posterior a la del dia anterior. ","")&amp;IF(AND(H218&lt;&gt;"",ISNUMBER(A218),ISNUMBER(D217),ISNUMBER(C217),ABS(A218-IF(G217&gt;=$P$2,MIN(D217,C217),D217))&gt;0.005),"Bank roll inicial no sigue la regla del dia anterior (alguien sobrescribio la formula). ","")&amp;IF(AND(H218&lt;&gt;"",ISNUMBER(B218),ISNUMBER(A218),ABS(B218-A218/8)&gt;0.00001),"Stake distinto de Bank roll/8. ","")&amp;IF(AND(H218&lt;&gt;"",ISNUMBER(E218),ABS(E218)&gt;0.005),"Residuo distinto de 0. ","")&amp;IF(AND(K218&lt;&gt;"",OR(NOT(ISNUMBER(K218)),N(K218)&lt;0)),"Saldo L2 no numerico o negativo. ","")&amp;IF(AND(H218&lt;&gt;"",H218&lt;TEXT(TODAY(),"yyyy-mm-dd"),G218&gt;=$P$2,K218="",OR(N(J218)&gt;0,N(M217)&gt;0)),"Falta cerrar el Saldo L2 de este dia. ","")&amp;IF(AND(H218&lt;&gt;"",SUMPRODUCT((Registros!$C$2:$C$3000=H218)*ISTEXT(Registros!$AP$2:$AP$3000))&gt;0),"Hay P/L guardado como texto en Registros (no suma). ","")))</f>
        <v/>
      </c>
    </row>
    <row r="219" customFormat="false" ht="15" hidden="false" customHeight="true" outlineLevel="0" collapsed="false">
      <c r="A219" s="13" t="n">
        <f aca="false">IF(D218="","",IF(G218&gt;=$P$2,MIN(D218,C218),D218))</f>
        <v>8</v>
      </c>
      <c r="B219" s="13" t="n">
        <f aca="false">IF(A219="","",A219/8)</f>
        <v>1</v>
      </c>
      <c r="C219" s="13" t="n">
        <f aca="false">IF(OR(A219="",B219=""),"",A219+B219)</f>
        <v>9</v>
      </c>
      <c r="D219" s="13" t="n">
        <f aca="false">IF(A219="","",A219+SUMIFS(Registros!$AP:$AP,Registros!$C:$C,H219))</f>
        <v>8</v>
      </c>
      <c r="E219" s="13" t="n">
        <f aca="false">IF(A219="","",ROUND(A219-8*B219,2))</f>
        <v>0</v>
      </c>
      <c r="F219" s="13" t="n">
        <f aca="false">IF(OR(D219="",C219=""),"",D219-C219)</f>
        <v>-1</v>
      </c>
      <c r="G219" s="20" t="n">
        <f aca="false">IF(G218="","",G218+1)</f>
        <v>218</v>
      </c>
      <c r="H219" s="15"/>
      <c r="I219" s="14"/>
      <c r="J219" s="16" t="str">
        <f aca="false">IF(OR(H219="",D219="",C219="",G219&lt;$P$2),"",MAX(0,ROUND(D219-C219,2)))</f>
        <v/>
      </c>
      <c r="K219" s="17"/>
      <c r="L219" s="16" t="str">
        <f aca="false">IF(NOT(ISNUMBER(K219)),"",ROUND(K219-N(M218)-N(J219),2))</f>
        <v/>
      </c>
      <c r="M219" s="16" t="n">
        <f aca="false">IF(ISNUMBER(K219),K219,N(M218))</f>
        <v>0</v>
      </c>
      <c r="N219" s="0" t="str">
        <f aca="true">IF(AND(H219="",K219=""),"",TRIM(IF(AND(H219&lt;&gt;"",NOT(AND(LEN(H219)=10,MID(H219,5,1)="-",MID(H219,8,1)="-"))),"Fecha con formato invalido (usa AAAA-MM-DD). ","")&amp;IF(AND(H219&lt;&gt;"",COUNTIF($H$2:$H$367,H219)&gt;1),"Fecha repetida en otro dia. ","")&amp;IF(AND(H219&lt;&gt;"",H218&lt;&gt;"",H219&lt;=H218),"La fecha no es posterior a la del dia anterior. ","")&amp;IF(AND(H219&lt;&gt;"",ISNUMBER(A219),ISNUMBER(D218),ISNUMBER(C218),ABS(A219-IF(G218&gt;=$P$2,MIN(D218,C218),D218))&gt;0.005),"Bank roll inicial no sigue la regla del dia anterior (alguien sobrescribio la formula). ","")&amp;IF(AND(H219&lt;&gt;"",ISNUMBER(B219),ISNUMBER(A219),ABS(B219-A219/8)&gt;0.00001),"Stake distinto de Bank roll/8. ","")&amp;IF(AND(H219&lt;&gt;"",ISNUMBER(E219),ABS(E219)&gt;0.005),"Residuo distinto de 0. ","")&amp;IF(AND(K219&lt;&gt;"",OR(NOT(ISNUMBER(K219)),N(K219)&lt;0)),"Saldo L2 no numerico o negativo. ","")&amp;IF(AND(H219&lt;&gt;"",H219&lt;TEXT(TODAY(),"yyyy-mm-dd"),G219&gt;=$P$2,K219="",OR(N(J219)&gt;0,N(M218)&gt;0)),"Falta cerrar el Saldo L2 de este dia. ","")&amp;IF(AND(H219&lt;&gt;"",SUMPRODUCT((Registros!$C$2:$C$3000=H219)*ISTEXT(Registros!$AP$2:$AP$3000))&gt;0),"Hay P/L guardado como texto en Registros (no suma). ","")))</f>
        <v/>
      </c>
    </row>
    <row r="220" customFormat="false" ht="15" hidden="false" customHeight="true" outlineLevel="0" collapsed="false">
      <c r="A220" s="13" t="n">
        <f aca="false">IF(D219="","",IF(G219&gt;=$P$2,MIN(D219,C219),D219))</f>
        <v>8</v>
      </c>
      <c r="B220" s="13" t="n">
        <f aca="false">IF(A220="","",A220/8)</f>
        <v>1</v>
      </c>
      <c r="C220" s="13" t="n">
        <f aca="false">IF(OR(A220="",B220=""),"",A220+B220)</f>
        <v>9</v>
      </c>
      <c r="D220" s="13" t="n">
        <f aca="false">IF(A220="","",A220+SUMIFS(Registros!$AP:$AP,Registros!$C:$C,H220))</f>
        <v>8</v>
      </c>
      <c r="E220" s="13" t="n">
        <f aca="false">IF(A220="","",ROUND(A220-8*B220,2))</f>
        <v>0</v>
      </c>
      <c r="F220" s="13" t="n">
        <f aca="false">IF(OR(D220="",C220=""),"",D220-C220)</f>
        <v>-1</v>
      </c>
      <c r="G220" s="20" t="n">
        <f aca="false">IF(G219="","",G219+1)</f>
        <v>219</v>
      </c>
      <c r="H220" s="15"/>
      <c r="I220" s="14"/>
      <c r="J220" s="16" t="str">
        <f aca="false">IF(OR(H220="",D220="",C220="",G220&lt;$P$2),"",MAX(0,ROUND(D220-C220,2)))</f>
        <v/>
      </c>
      <c r="K220" s="17"/>
      <c r="L220" s="16" t="str">
        <f aca="false">IF(NOT(ISNUMBER(K220)),"",ROUND(K220-N(M219)-N(J220),2))</f>
        <v/>
      </c>
      <c r="M220" s="16" t="n">
        <f aca="false">IF(ISNUMBER(K220),K220,N(M219))</f>
        <v>0</v>
      </c>
      <c r="N220" s="0" t="str">
        <f aca="true">IF(AND(H220="",K220=""),"",TRIM(IF(AND(H220&lt;&gt;"",NOT(AND(LEN(H220)=10,MID(H220,5,1)="-",MID(H220,8,1)="-"))),"Fecha con formato invalido (usa AAAA-MM-DD). ","")&amp;IF(AND(H220&lt;&gt;"",COUNTIF($H$2:$H$367,H220)&gt;1),"Fecha repetida en otro dia. ","")&amp;IF(AND(H220&lt;&gt;"",H219&lt;&gt;"",H220&lt;=H219),"La fecha no es posterior a la del dia anterior. ","")&amp;IF(AND(H220&lt;&gt;"",ISNUMBER(A220),ISNUMBER(D219),ISNUMBER(C219),ABS(A220-IF(G219&gt;=$P$2,MIN(D219,C219),D219))&gt;0.005),"Bank roll inicial no sigue la regla del dia anterior (alguien sobrescribio la formula). ","")&amp;IF(AND(H220&lt;&gt;"",ISNUMBER(B220),ISNUMBER(A220),ABS(B220-A220/8)&gt;0.00001),"Stake distinto de Bank roll/8. ","")&amp;IF(AND(H220&lt;&gt;"",ISNUMBER(E220),ABS(E220)&gt;0.005),"Residuo distinto de 0. ","")&amp;IF(AND(K220&lt;&gt;"",OR(NOT(ISNUMBER(K220)),N(K220)&lt;0)),"Saldo L2 no numerico o negativo. ","")&amp;IF(AND(H220&lt;&gt;"",H220&lt;TEXT(TODAY(),"yyyy-mm-dd"),G220&gt;=$P$2,K220="",OR(N(J220)&gt;0,N(M219)&gt;0)),"Falta cerrar el Saldo L2 de este dia. ","")&amp;IF(AND(H220&lt;&gt;"",SUMPRODUCT((Registros!$C$2:$C$3000=H220)*ISTEXT(Registros!$AP$2:$AP$3000))&gt;0),"Hay P/L guardado como texto en Registros (no suma). ","")))</f>
        <v/>
      </c>
    </row>
    <row r="221" customFormat="false" ht="15" hidden="false" customHeight="true" outlineLevel="0" collapsed="false">
      <c r="A221" s="13" t="n">
        <f aca="false">IF(D220="","",IF(G220&gt;=$P$2,MIN(D220,C220),D220))</f>
        <v>8</v>
      </c>
      <c r="B221" s="13" t="n">
        <f aca="false">IF(A221="","",A221/8)</f>
        <v>1</v>
      </c>
      <c r="C221" s="13" t="n">
        <f aca="false">IF(OR(A221="",B221=""),"",A221+B221)</f>
        <v>9</v>
      </c>
      <c r="D221" s="13" t="n">
        <f aca="false">IF(A221="","",A221+SUMIFS(Registros!$AP:$AP,Registros!$C:$C,H221))</f>
        <v>8</v>
      </c>
      <c r="E221" s="13" t="n">
        <f aca="false">IF(A221="","",ROUND(A221-8*B221,2))</f>
        <v>0</v>
      </c>
      <c r="F221" s="13" t="n">
        <f aca="false">IF(OR(D221="",C221=""),"",D221-C221)</f>
        <v>-1</v>
      </c>
      <c r="G221" s="20" t="n">
        <f aca="false">IF(G220="","",G220+1)</f>
        <v>220</v>
      </c>
      <c r="H221" s="15"/>
      <c r="I221" s="14"/>
      <c r="J221" s="16" t="str">
        <f aca="false">IF(OR(H221="",D221="",C221="",G221&lt;$P$2),"",MAX(0,ROUND(D221-C221,2)))</f>
        <v/>
      </c>
      <c r="K221" s="17"/>
      <c r="L221" s="16" t="str">
        <f aca="false">IF(NOT(ISNUMBER(K221)),"",ROUND(K221-N(M220)-N(J221),2))</f>
        <v/>
      </c>
      <c r="M221" s="16" t="n">
        <f aca="false">IF(ISNUMBER(K221),K221,N(M220))</f>
        <v>0</v>
      </c>
      <c r="N221" s="0" t="str">
        <f aca="true">IF(AND(H221="",K221=""),"",TRIM(IF(AND(H221&lt;&gt;"",NOT(AND(LEN(H221)=10,MID(H221,5,1)="-",MID(H221,8,1)="-"))),"Fecha con formato invalido (usa AAAA-MM-DD). ","")&amp;IF(AND(H221&lt;&gt;"",COUNTIF($H$2:$H$367,H221)&gt;1),"Fecha repetida en otro dia. ","")&amp;IF(AND(H221&lt;&gt;"",H220&lt;&gt;"",H221&lt;=H220),"La fecha no es posterior a la del dia anterior. ","")&amp;IF(AND(H221&lt;&gt;"",ISNUMBER(A221),ISNUMBER(D220),ISNUMBER(C220),ABS(A221-IF(G220&gt;=$P$2,MIN(D220,C220),D220))&gt;0.005),"Bank roll inicial no sigue la regla del dia anterior (alguien sobrescribio la formula). ","")&amp;IF(AND(H221&lt;&gt;"",ISNUMBER(B221),ISNUMBER(A221),ABS(B221-A221/8)&gt;0.00001),"Stake distinto de Bank roll/8. ","")&amp;IF(AND(H221&lt;&gt;"",ISNUMBER(E221),ABS(E221)&gt;0.005),"Residuo distinto de 0. ","")&amp;IF(AND(K221&lt;&gt;"",OR(NOT(ISNUMBER(K221)),N(K221)&lt;0)),"Saldo L2 no numerico o negativo. ","")&amp;IF(AND(H221&lt;&gt;"",H221&lt;TEXT(TODAY(),"yyyy-mm-dd"),G221&gt;=$P$2,K221="",OR(N(J221)&gt;0,N(M220)&gt;0)),"Falta cerrar el Saldo L2 de este dia. ","")&amp;IF(AND(H221&lt;&gt;"",SUMPRODUCT((Registros!$C$2:$C$3000=H221)*ISTEXT(Registros!$AP$2:$AP$3000))&gt;0),"Hay P/L guardado como texto en Registros (no suma). ","")))</f>
        <v/>
      </c>
    </row>
    <row r="222" customFormat="false" ht="15" hidden="false" customHeight="true" outlineLevel="0" collapsed="false">
      <c r="A222" s="13" t="n">
        <f aca="false">IF(D221="","",IF(G221&gt;=$P$2,MIN(D221,C221),D221))</f>
        <v>8</v>
      </c>
      <c r="B222" s="13" t="n">
        <f aca="false">IF(A222="","",A222/8)</f>
        <v>1</v>
      </c>
      <c r="C222" s="13" t="n">
        <f aca="false">IF(OR(A222="",B222=""),"",A222+B222)</f>
        <v>9</v>
      </c>
      <c r="D222" s="13" t="n">
        <f aca="false">IF(A222="","",A222+SUMIFS(Registros!$AP:$AP,Registros!$C:$C,H222))</f>
        <v>8</v>
      </c>
      <c r="E222" s="13" t="n">
        <f aca="false">IF(A222="","",ROUND(A222-8*B222,2))</f>
        <v>0</v>
      </c>
      <c r="F222" s="13" t="n">
        <f aca="false">IF(OR(D222="",C222=""),"",D222-C222)</f>
        <v>-1</v>
      </c>
      <c r="G222" s="20" t="n">
        <f aca="false">IF(G221="","",G221+1)</f>
        <v>221</v>
      </c>
      <c r="H222" s="15"/>
      <c r="I222" s="14"/>
      <c r="J222" s="16" t="str">
        <f aca="false">IF(OR(H222="",D222="",C222="",G222&lt;$P$2),"",MAX(0,ROUND(D222-C222,2)))</f>
        <v/>
      </c>
      <c r="K222" s="17"/>
      <c r="L222" s="16" t="str">
        <f aca="false">IF(NOT(ISNUMBER(K222)),"",ROUND(K222-N(M221)-N(J222),2))</f>
        <v/>
      </c>
      <c r="M222" s="16" t="n">
        <f aca="false">IF(ISNUMBER(K222),K222,N(M221))</f>
        <v>0</v>
      </c>
      <c r="N222" s="0" t="str">
        <f aca="true">IF(AND(H222="",K222=""),"",TRIM(IF(AND(H222&lt;&gt;"",NOT(AND(LEN(H222)=10,MID(H222,5,1)="-",MID(H222,8,1)="-"))),"Fecha con formato invalido (usa AAAA-MM-DD). ","")&amp;IF(AND(H222&lt;&gt;"",COUNTIF($H$2:$H$367,H222)&gt;1),"Fecha repetida en otro dia. ","")&amp;IF(AND(H222&lt;&gt;"",H221&lt;&gt;"",H222&lt;=H221),"La fecha no es posterior a la del dia anterior. ","")&amp;IF(AND(H222&lt;&gt;"",ISNUMBER(A222),ISNUMBER(D221),ISNUMBER(C221),ABS(A222-IF(G221&gt;=$P$2,MIN(D221,C221),D221))&gt;0.005),"Bank roll inicial no sigue la regla del dia anterior (alguien sobrescribio la formula). ","")&amp;IF(AND(H222&lt;&gt;"",ISNUMBER(B222),ISNUMBER(A222),ABS(B222-A222/8)&gt;0.00001),"Stake distinto de Bank roll/8. ","")&amp;IF(AND(H222&lt;&gt;"",ISNUMBER(E222),ABS(E222)&gt;0.005),"Residuo distinto de 0. ","")&amp;IF(AND(K222&lt;&gt;"",OR(NOT(ISNUMBER(K222)),N(K222)&lt;0)),"Saldo L2 no numerico o negativo. ","")&amp;IF(AND(H222&lt;&gt;"",H222&lt;TEXT(TODAY(),"yyyy-mm-dd"),G222&gt;=$P$2,K222="",OR(N(J222)&gt;0,N(M221)&gt;0)),"Falta cerrar el Saldo L2 de este dia. ","")&amp;IF(AND(H222&lt;&gt;"",SUMPRODUCT((Registros!$C$2:$C$3000=H222)*ISTEXT(Registros!$AP$2:$AP$3000))&gt;0),"Hay P/L guardado como texto en Registros (no suma). ","")))</f>
        <v/>
      </c>
    </row>
    <row r="223" customFormat="false" ht="15" hidden="false" customHeight="true" outlineLevel="0" collapsed="false">
      <c r="A223" s="13" t="n">
        <f aca="false">IF(D222="","",IF(G222&gt;=$P$2,MIN(D222,C222),D222))</f>
        <v>8</v>
      </c>
      <c r="B223" s="13" t="n">
        <f aca="false">IF(A223="","",A223/8)</f>
        <v>1</v>
      </c>
      <c r="C223" s="13" t="n">
        <f aca="false">IF(OR(A223="",B223=""),"",A223+B223)</f>
        <v>9</v>
      </c>
      <c r="D223" s="13" t="n">
        <f aca="false">IF(A223="","",A223+SUMIFS(Registros!$AP:$AP,Registros!$C:$C,H223))</f>
        <v>8</v>
      </c>
      <c r="E223" s="13" t="n">
        <f aca="false">IF(A223="","",ROUND(A223-8*B223,2))</f>
        <v>0</v>
      </c>
      <c r="F223" s="13" t="n">
        <f aca="false">IF(OR(D223="",C223=""),"",D223-C223)</f>
        <v>-1</v>
      </c>
      <c r="G223" s="20" t="n">
        <f aca="false">IF(G222="","",G222+1)</f>
        <v>222</v>
      </c>
      <c r="H223" s="15"/>
      <c r="I223" s="14"/>
      <c r="J223" s="16" t="str">
        <f aca="false">IF(OR(H223="",D223="",C223="",G223&lt;$P$2),"",MAX(0,ROUND(D223-C223,2)))</f>
        <v/>
      </c>
      <c r="K223" s="17"/>
      <c r="L223" s="16" t="str">
        <f aca="false">IF(NOT(ISNUMBER(K223)),"",ROUND(K223-N(M222)-N(J223),2))</f>
        <v/>
      </c>
      <c r="M223" s="16" t="n">
        <f aca="false">IF(ISNUMBER(K223),K223,N(M222))</f>
        <v>0</v>
      </c>
      <c r="N223" s="0" t="str">
        <f aca="true">IF(AND(H223="",K223=""),"",TRIM(IF(AND(H223&lt;&gt;"",NOT(AND(LEN(H223)=10,MID(H223,5,1)="-",MID(H223,8,1)="-"))),"Fecha con formato invalido (usa AAAA-MM-DD). ","")&amp;IF(AND(H223&lt;&gt;"",COUNTIF($H$2:$H$367,H223)&gt;1),"Fecha repetida en otro dia. ","")&amp;IF(AND(H223&lt;&gt;"",H222&lt;&gt;"",H223&lt;=H222),"La fecha no es posterior a la del dia anterior. ","")&amp;IF(AND(H223&lt;&gt;"",ISNUMBER(A223),ISNUMBER(D222),ISNUMBER(C222),ABS(A223-IF(G222&gt;=$P$2,MIN(D222,C222),D222))&gt;0.005),"Bank roll inicial no sigue la regla del dia anterior (alguien sobrescribio la formula). ","")&amp;IF(AND(H223&lt;&gt;"",ISNUMBER(B223),ISNUMBER(A223),ABS(B223-A223/8)&gt;0.00001),"Stake distinto de Bank roll/8. ","")&amp;IF(AND(H223&lt;&gt;"",ISNUMBER(E223),ABS(E223)&gt;0.005),"Residuo distinto de 0. ","")&amp;IF(AND(K223&lt;&gt;"",OR(NOT(ISNUMBER(K223)),N(K223)&lt;0)),"Saldo L2 no numerico o negativo. ","")&amp;IF(AND(H223&lt;&gt;"",H223&lt;TEXT(TODAY(),"yyyy-mm-dd"),G223&gt;=$P$2,K223="",OR(N(J223)&gt;0,N(M222)&gt;0)),"Falta cerrar el Saldo L2 de este dia. ","")&amp;IF(AND(H223&lt;&gt;"",SUMPRODUCT((Registros!$C$2:$C$3000=H223)*ISTEXT(Registros!$AP$2:$AP$3000))&gt;0),"Hay P/L guardado como texto en Registros (no suma). ","")))</f>
        <v/>
      </c>
    </row>
    <row r="224" customFormat="false" ht="15" hidden="false" customHeight="true" outlineLevel="0" collapsed="false">
      <c r="A224" s="13" t="n">
        <f aca="false">IF(D223="","",IF(G223&gt;=$P$2,MIN(D223,C223),D223))</f>
        <v>8</v>
      </c>
      <c r="B224" s="13" t="n">
        <f aca="false">IF(A224="","",A224/8)</f>
        <v>1</v>
      </c>
      <c r="C224" s="13" t="n">
        <f aca="false">IF(OR(A224="",B224=""),"",A224+B224)</f>
        <v>9</v>
      </c>
      <c r="D224" s="13" t="n">
        <f aca="false">IF(A224="","",A224+SUMIFS(Registros!$AP:$AP,Registros!$C:$C,H224))</f>
        <v>8</v>
      </c>
      <c r="E224" s="13" t="n">
        <f aca="false">IF(A224="","",ROUND(A224-8*B224,2))</f>
        <v>0</v>
      </c>
      <c r="F224" s="13" t="n">
        <f aca="false">IF(OR(D224="",C224=""),"",D224-C224)</f>
        <v>-1</v>
      </c>
      <c r="G224" s="20" t="n">
        <f aca="false">IF(G223="","",G223+1)</f>
        <v>223</v>
      </c>
      <c r="H224" s="15"/>
      <c r="I224" s="14"/>
      <c r="J224" s="16" t="str">
        <f aca="false">IF(OR(H224="",D224="",C224="",G224&lt;$P$2),"",MAX(0,ROUND(D224-C224,2)))</f>
        <v/>
      </c>
      <c r="K224" s="17"/>
      <c r="L224" s="16" t="str">
        <f aca="false">IF(NOT(ISNUMBER(K224)),"",ROUND(K224-N(M223)-N(J224),2))</f>
        <v/>
      </c>
      <c r="M224" s="16" t="n">
        <f aca="false">IF(ISNUMBER(K224),K224,N(M223))</f>
        <v>0</v>
      </c>
      <c r="N224" s="0" t="str">
        <f aca="true">IF(AND(H224="",K224=""),"",TRIM(IF(AND(H224&lt;&gt;"",NOT(AND(LEN(H224)=10,MID(H224,5,1)="-",MID(H224,8,1)="-"))),"Fecha con formato invalido (usa AAAA-MM-DD). ","")&amp;IF(AND(H224&lt;&gt;"",COUNTIF($H$2:$H$367,H224)&gt;1),"Fecha repetida en otro dia. ","")&amp;IF(AND(H224&lt;&gt;"",H223&lt;&gt;"",H224&lt;=H223),"La fecha no es posterior a la del dia anterior. ","")&amp;IF(AND(H224&lt;&gt;"",ISNUMBER(A224),ISNUMBER(D223),ISNUMBER(C223),ABS(A224-IF(G223&gt;=$P$2,MIN(D223,C223),D223))&gt;0.005),"Bank roll inicial no sigue la regla del dia anterior (alguien sobrescribio la formula). ","")&amp;IF(AND(H224&lt;&gt;"",ISNUMBER(B224),ISNUMBER(A224),ABS(B224-A224/8)&gt;0.00001),"Stake distinto de Bank roll/8. ","")&amp;IF(AND(H224&lt;&gt;"",ISNUMBER(E224),ABS(E224)&gt;0.005),"Residuo distinto de 0. ","")&amp;IF(AND(K224&lt;&gt;"",OR(NOT(ISNUMBER(K224)),N(K224)&lt;0)),"Saldo L2 no numerico o negativo. ","")&amp;IF(AND(H224&lt;&gt;"",H224&lt;TEXT(TODAY(),"yyyy-mm-dd"),G224&gt;=$P$2,K224="",OR(N(J224)&gt;0,N(M223)&gt;0)),"Falta cerrar el Saldo L2 de este dia. ","")&amp;IF(AND(H224&lt;&gt;"",SUMPRODUCT((Registros!$C$2:$C$3000=H224)*ISTEXT(Registros!$AP$2:$AP$3000))&gt;0),"Hay P/L guardado como texto en Registros (no suma). ","")))</f>
        <v/>
      </c>
    </row>
    <row r="225" customFormat="false" ht="15" hidden="false" customHeight="true" outlineLevel="0" collapsed="false">
      <c r="A225" s="13" t="n">
        <f aca="false">IF(D224="","",IF(G224&gt;=$P$2,MIN(D224,C224),D224))</f>
        <v>8</v>
      </c>
      <c r="B225" s="13" t="n">
        <f aca="false">IF(A225="","",A225/8)</f>
        <v>1</v>
      </c>
      <c r="C225" s="13" t="n">
        <f aca="false">IF(OR(A225="",B225=""),"",A225+B225)</f>
        <v>9</v>
      </c>
      <c r="D225" s="13" t="n">
        <f aca="false">IF(A225="","",A225+SUMIFS(Registros!$AP:$AP,Registros!$C:$C,H225))</f>
        <v>8</v>
      </c>
      <c r="E225" s="13" t="n">
        <f aca="false">IF(A225="","",ROUND(A225-8*B225,2))</f>
        <v>0</v>
      </c>
      <c r="F225" s="13" t="n">
        <f aca="false">IF(OR(D225="",C225=""),"",D225-C225)</f>
        <v>-1</v>
      </c>
      <c r="G225" s="20" t="n">
        <f aca="false">IF(G224="","",G224+1)</f>
        <v>224</v>
      </c>
      <c r="H225" s="15"/>
      <c r="I225" s="14"/>
      <c r="J225" s="16" t="str">
        <f aca="false">IF(OR(H225="",D225="",C225="",G225&lt;$P$2),"",MAX(0,ROUND(D225-C225,2)))</f>
        <v/>
      </c>
      <c r="K225" s="17"/>
      <c r="L225" s="16" t="str">
        <f aca="false">IF(NOT(ISNUMBER(K225)),"",ROUND(K225-N(M224)-N(J225),2))</f>
        <v/>
      </c>
      <c r="M225" s="16" t="n">
        <f aca="false">IF(ISNUMBER(K225),K225,N(M224))</f>
        <v>0</v>
      </c>
      <c r="N225" s="0" t="str">
        <f aca="true">IF(AND(H225="",K225=""),"",TRIM(IF(AND(H225&lt;&gt;"",NOT(AND(LEN(H225)=10,MID(H225,5,1)="-",MID(H225,8,1)="-"))),"Fecha con formato invalido (usa AAAA-MM-DD). ","")&amp;IF(AND(H225&lt;&gt;"",COUNTIF($H$2:$H$367,H225)&gt;1),"Fecha repetida en otro dia. ","")&amp;IF(AND(H225&lt;&gt;"",H224&lt;&gt;"",H225&lt;=H224),"La fecha no es posterior a la del dia anterior. ","")&amp;IF(AND(H225&lt;&gt;"",ISNUMBER(A225),ISNUMBER(D224),ISNUMBER(C224),ABS(A225-IF(G224&gt;=$P$2,MIN(D224,C224),D224))&gt;0.005),"Bank roll inicial no sigue la regla del dia anterior (alguien sobrescribio la formula). ","")&amp;IF(AND(H225&lt;&gt;"",ISNUMBER(B225),ISNUMBER(A225),ABS(B225-A225/8)&gt;0.00001),"Stake distinto de Bank roll/8. ","")&amp;IF(AND(H225&lt;&gt;"",ISNUMBER(E225),ABS(E225)&gt;0.005),"Residuo distinto de 0. ","")&amp;IF(AND(K225&lt;&gt;"",OR(NOT(ISNUMBER(K225)),N(K225)&lt;0)),"Saldo L2 no numerico o negativo. ","")&amp;IF(AND(H225&lt;&gt;"",H225&lt;TEXT(TODAY(),"yyyy-mm-dd"),G225&gt;=$P$2,K225="",OR(N(J225)&gt;0,N(M224)&gt;0)),"Falta cerrar el Saldo L2 de este dia. ","")&amp;IF(AND(H225&lt;&gt;"",SUMPRODUCT((Registros!$C$2:$C$3000=H225)*ISTEXT(Registros!$AP$2:$AP$3000))&gt;0),"Hay P/L guardado como texto en Registros (no suma). ","")))</f>
        <v/>
      </c>
    </row>
    <row r="226" customFormat="false" ht="15" hidden="false" customHeight="true" outlineLevel="0" collapsed="false">
      <c r="A226" s="13" t="n">
        <f aca="false">IF(D225="","",IF(G225&gt;=$P$2,MIN(D225,C225),D225))</f>
        <v>8</v>
      </c>
      <c r="B226" s="13" t="n">
        <f aca="false">IF(A226="","",A226/8)</f>
        <v>1</v>
      </c>
      <c r="C226" s="13" t="n">
        <f aca="false">IF(OR(A226="",B226=""),"",A226+B226)</f>
        <v>9</v>
      </c>
      <c r="D226" s="13" t="n">
        <f aca="false">IF(A226="","",A226+SUMIFS(Registros!$AP:$AP,Registros!$C:$C,H226))</f>
        <v>8</v>
      </c>
      <c r="E226" s="13" t="n">
        <f aca="false">IF(A226="","",ROUND(A226-8*B226,2))</f>
        <v>0</v>
      </c>
      <c r="F226" s="13" t="n">
        <f aca="false">IF(OR(D226="",C226=""),"",D226-C226)</f>
        <v>-1</v>
      </c>
      <c r="G226" s="20" t="n">
        <f aca="false">IF(G225="","",G225+1)</f>
        <v>225</v>
      </c>
      <c r="H226" s="15"/>
      <c r="I226" s="14"/>
      <c r="J226" s="16" t="str">
        <f aca="false">IF(OR(H226="",D226="",C226="",G226&lt;$P$2),"",MAX(0,ROUND(D226-C226,2)))</f>
        <v/>
      </c>
      <c r="K226" s="17"/>
      <c r="L226" s="16" t="str">
        <f aca="false">IF(NOT(ISNUMBER(K226)),"",ROUND(K226-N(M225)-N(J226),2))</f>
        <v/>
      </c>
      <c r="M226" s="16" t="n">
        <f aca="false">IF(ISNUMBER(K226),K226,N(M225))</f>
        <v>0</v>
      </c>
      <c r="N226" s="0" t="str">
        <f aca="true">IF(AND(H226="",K226=""),"",TRIM(IF(AND(H226&lt;&gt;"",NOT(AND(LEN(H226)=10,MID(H226,5,1)="-",MID(H226,8,1)="-"))),"Fecha con formato invalido (usa AAAA-MM-DD). ","")&amp;IF(AND(H226&lt;&gt;"",COUNTIF($H$2:$H$367,H226)&gt;1),"Fecha repetida en otro dia. ","")&amp;IF(AND(H226&lt;&gt;"",H225&lt;&gt;"",H226&lt;=H225),"La fecha no es posterior a la del dia anterior. ","")&amp;IF(AND(H226&lt;&gt;"",ISNUMBER(A226),ISNUMBER(D225),ISNUMBER(C225),ABS(A226-IF(G225&gt;=$P$2,MIN(D225,C225),D225))&gt;0.005),"Bank roll inicial no sigue la regla del dia anterior (alguien sobrescribio la formula). ","")&amp;IF(AND(H226&lt;&gt;"",ISNUMBER(B226),ISNUMBER(A226),ABS(B226-A226/8)&gt;0.00001),"Stake distinto de Bank roll/8. ","")&amp;IF(AND(H226&lt;&gt;"",ISNUMBER(E226),ABS(E226)&gt;0.005),"Residuo distinto de 0. ","")&amp;IF(AND(K226&lt;&gt;"",OR(NOT(ISNUMBER(K226)),N(K226)&lt;0)),"Saldo L2 no numerico o negativo. ","")&amp;IF(AND(H226&lt;&gt;"",H226&lt;TEXT(TODAY(),"yyyy-mm-dd"),G226&gt;=$P$2,K226="",OR(N(J226)&gt;0,N(M225)&gt;0)),"Falta cerrar el Saldo L2 de este dia. ","")&amp;IF(AND(H226&lt;&gt;"",SUMPRODUCT((Registros!$C$2:$C$3000=H226)*ISTEXT(Registros!$AP$2:$AP$3000))&gt;0),"Hay P/L guardado como texto en Registros (no suma). ","")))</f>
        <v/>
      </c>
    </row>
    <row r="227" customFormat="false" ht="15" hidden="false" customHeight="true" outlineLevel="0" collapsed="false">
      <c r="A227" s="13" t="n">
        <f aca="false">IF(D226="","",IF(G226&gt;=$P$2,MIN(D226,C226),D226))</f>
        <v>8</v>
      </c>
      <c r="B227" s="13" t="n">
        <f aca="false">IF(A227="","",A227/8)</f>
        <v>1</v>
      </c>
      <c r="C227" s="13" t="n">
        <f aca="false">IF(OR(A227="",B227=""),"",A227+B227)</f>
        <v>9</v>
      </c>
      <c r="D227" s="13" t="n">
        <f aca="false">IF(A227="","",A227+SUMIFS(Registros!$AP:$AP,Registros!$C:$C,H227))</f>
        <v>8</v>
      </c>
      <c r="E227" s="13" t="n">
        <f aca="false">IF(A227="","",ROUND(A227-8*B227,2))</f>
        <v>0</v>
      </c>
      <c r="F227" s="13" t="n">
        <f aca="false">IF(OR(D227="",C227=""),"",D227-C227)</f>
        <v>-1</v>
      </c>
      <c r="G227" s="20" t="n">
        <f aca="false">IF(G226="","",G226+1)</f>
        <v>226</v>
      </c>
      <c r="H227" s="15"/>
      <c r="I227" s="14"/>
      <c r="J227" s="16" t="str">
        <f aca="false">IF(OR(H227="",D227="",C227="",G227&lt;$P$2),"",MAX(0,ROUND(D227-C227,2)))</f>
        <v/>
      </c>
      <c r="K227" s="17"/>
      <c r="L227" s="16" t="str">
        <f aca="false">IF(NOT(ISNUMBER(K227)),"",ROUND(K227-N(M226)-N(J227),2))</f>
        <v/>
      </c>
      <c r="M227" s="16" t="n">
        <f aca="false">IF(ISNUMBER(K227),K227,N(M226))</f>
        <v>0</v>
      </c>
      <c r="N227" s="0" t="str">
        <f aca="true">IF(AND(H227="",K227=""),"",TRIM(IF(AND(H227&lt;&gt;"",NOT(AND(LEN(H227)=10,MID(H227,5,1)="-",MID(H227,8,1)="-"))),"Fecha con formato invalido (usa AAAA-MM-DD). ","")&amp;IF(AND(H227&lt;&gt;"",COUNTIF($H$2:$H$367,H227)&gt;1),"Fecha repetida en otro dia. ","")&amp;IF(AND(H227&lt;&gt;"",H226&lt;&gt;"",H227&lt;=H226),"La fecha no es posterior a la del dia anterior. ","")&amp;IF(AND(H227&lt;&gt;"",ISNUMBER(A227),ISNUMBER(D226),ISNUMBER(C226),ABS(A227-IF(G226&gt;=$P$2,MIN(D226,C226),D226))&gt;0.005),"Bank roll inicial no sigue la regla del dia anterior (alguien sobrescribio la formula). ","")&amp;IF(AND(H227&lt;&gt;"",ISNUMBER(B227),ISNUMBER(A227),ABS(B227-A227/8)&gt;0.00001),"Stake distinto de Bank roll/8. ","")&amp;IF(AND(H227&lt;&gt;"",ISNUMBER(E227),ABS(E227)&gt;0.005),"Residuo distinto de 0. ","")&amp;IF(AND(K227&lt;&gt;"",OR(NOT(ISNUMBER(K227)),N(K227)&lt;0)),"Saldo L2 no numerico o negativo. ","")&amp;IF(AND(H227&lt;&gt;"",H227&lt;TEXT(TODAY(),"yyyy-mm-dd"),G227&gt;=$P$2,K227="",OR(N(J227)&gt;0,N(M226)&gt;0)),"Falta cerrar el Saldo L2 de este dia. ","")&amp;IF(AND(H227&lt;&gt;"",SUMPRODUCT((Registros!$C$2:$C$3000=H227)*ISTEXT(Registros!$AP$2:$AP$3000))&gt;0),"Hay P/L guardado como texto en Registros (no suma). ","")))</f>
        <v/>
      </c>
    </row>
    <row r="228" customFormat="false" ht="15" hidden="false" customHeight="true" outlineLevel="0" collapsed="false">
      <c r="A228" s="13" t="n">
        <f aca="false">IF(D227="","",IF(G227&gt;=$P$2,MIN(D227,C227),D227))</f>
        <v>8</v>
      </c>
      <c r="B228" s="13" t="n">
        <f aca="false">IF(A228="","",A228/8)</f>
        <v>1</v>
      </c>
      <c r="C228" s="13" t="n">
        <f aca="false">IF(OR(A228="",B228=""),"",A228+B228)</f>
        <v>9</v>
      </c>
      <c r="D228" s="13" t="n">
        <f aca="false">IF(A228="","",A228+SUMIFS(Registros!$AP:$AP,Registros!$C:$C,H228))</f>
        <v>8</v>
      </c>
      <c r="E228" s="13" t="n">
        <f aca="false">IF(A228="","",ROUND(A228-8*B228,2))</f>
        <v>0</v>
      </c>
      <c r="F228" s="13" t="n">
        <f aca="false">IF(OR(D228="",C228=""),"",D228-C228)</f>
        <v>-1</v>
      </c>
      <c r="G228" s="20" t="n">
        <f aca="false">IF(G227="","",G227+1)</f>
        <v>227</v>
      </c>
      <c r="H228" s="15"/>
      <c r="I228" s="14"/>
      <c r="J228" s="16" t="str">
        <f aca="false">IF(OR(H228="",D228="",C228="",G228&lt;$P$2),"",MAX(0,ROUND(D228-C228,2)))</f>
        <v/>
      </c>
      <c r="K228" s="17"/>
      <c r="L228" s="16" t="str">
        <f aca="false">IF(NOT(ISNUMBER(K228)),"",ROUND(K228-N(M227)-N(J228),2))</f>
        <v/>
      </c>
      <c r="M228" s="16" t="n">
        <f aca="false">IF(ISNUMBER(K228),K228,N(M227))</f>
        <v>0</v>
      </c>
      <c r="N228" s="0" t="str">
        <f aca="true">IF(AND(H228="",K228=""),"",TRIM(IF(AND(H228&lt;&gt;"",NOT(AND(LEN(H228)=10,MID(H228,5,1)="-",MID(H228,8,1)="-"))),"Fecha con formato invalido (usa AAAA-MM-DD). ","")&amp;IF(AND(H228&lt;&gt;"",COUNTIF($H$2:$H$367,H228)&gt;1),"Fecha repetida en otro dia. ","")&amp;IF(AND(H228&lt;&gt;"",H227&lt;&gt;"",H228&lt;=H227),"La fecha no es posterior a la del dia anterior. ","")&amp;IF(AND(H228&lt;&gt;"",ISNUMBER(A228),ISNUMBER(D227),ISNUMBER(C227),ABS(A228-IF(G227&gt;=$P$2,MIN(D227,C227),D227))&gt;0.005),"Bank roll inicial no sigue la regla del dia anterior (alguien sobrescribio la formula). ","")&amp;IF(AND(H228&lt;&gt;"",ISNUMBER(B228),ISNUMBER(A228),ABS(B228-A228/8)&gt;0.00001),"Stake distinto de Bank roll/8. ","")&amp;IF(AND(H228&lt;&gt;"",ISNUMBER(E228),ABS(E228)&gt;0.005),"Residuo distinto de 0. ","")&amp;IF(AND(K228&lt;&gt;"",OR(NOT(ISNUMBER(K228)),N(K228)&lt;0)),"Saldo L2 no numerico o negativo. ","")&amp;IF(AND(H228&lt;&gt;"",H228&lt;TEXT(TODAY(),"yyyy-mm-dd"),G228&gt;=$P$2,K228="",OR(N(J228)&gt;0,N(M227)&gt;0)),"Falta cerrar el Saldo L2 de este dia. ","")&amp;IF(AND(H228&lt;&gt;"",SUMPRODUCT((Registros!$C$2:$C$3000=H228)*ISTEXT(Registros!$AP$2:$AP$3000))&gt;0),"Hay P/L guardado como texto en Registros (no suma). ","")))</f>
        <v/>
      </c>
    </row>
    <row r="229" customFormat="false" ht="15" hidden="false" customHeight="true" outlineLevel="0" collapsed="false">
      <c r="A229" s="13" t="n">
        <f aca="false">IF(D228="","",IF(G228&gt;=$P$2,MIN(D228,C228),D228))</f>
        <v>8</v>
      </c>
      <c r="B229" s="13" t="n">
        <f aca="false">IF(A229="","",A229/8)</f>
        <v>1</v>
      </c>
      <c r="C229" s="13" t="n">
        <f aca="false">IF(OR(A229="",B229=""),"",A229+B229)</f>
        <v>9</v>
      </c>
      <c r="D229" s="13" t="n">
        <f aca="false">IF(A229="","",A229+SUMIFS(Registros!$AP:$AP,Registros!$C:$C,H229))</f>
        <v>8</v>
      </c>
      <c r="E229" s="13" t="n">
        <f aca="false">IF(A229="","",ROUND(A229-8*B229,2))</f>
        <v>0</v>
      </c>
      <c r="F229" s="13" t="n">
        <f aca="false">IF(OR(D229="",C229=""),"",D229-C229)</f>
        <v>-1</v>
      </c>
      <c r="G229" s="20" t="n">
        <f aca="false">IF(G228="","",G228+1)</f>
        <v>228</v>
      </c>
      <c r="H229" s="15"/>
      <c r="I229" s="14"/>
      <c r="J229" s="16" t="str">
        <f aca="false">IF(OR(H229="",D229="",C229="",G229&lt;$P$2),"",MAX(0,ROUND(D229-C229,2)))</f>
        <v/>
      </c>
      <c r="K229" s="17"/>
      <c r="L229" s="16" t="str">
        <f aca="false">IF(NOT(ISNUMBER(K229)),"",ROUND(K229-N(M228)-N(J229),2))</f>
        <v/>
      </c>
      <c r="M229" s="16" t="n">
        <f aca="false">IF(ISNUMBER(K229),K229,N(M228))</f>
        <v>0</v>
      </c>
      <c r="N229" s="0" t="str">
        <f aca="true">IF(AND(H229="",K229=""),"",TRIM(IF(AND(H229&lt;&gt;"",NOT(AND(LEN(H229)=10,MID(H229,5,1)="-",MID(H229,8,1)="-"))),"Fecha con formato invalido (usa AAAA-MM-DD). ","")&amp;IF(AND(H229&lt;&gt;"",COUNTIF($H$2:$H$367,H229)&gt;1),"Fecha repetida en otro dia. ","")&amp;IF(AND(H229&lt;&gt;"",H228&lt;&gt;"",H229&lt;=H228),"La fecha no es posterior a la del dia anterior. ","")&amp;IF(AND(H229&lt;&gt;"",ISNUMBER(A229),ISNUMBER(D228),ISNUMBER(C228),ABS(A229-IF(G228&gt;=$P$2,MIN(D228,C228),D228))&gt;0.005),"Bank roll inicial no sigue la regla del dia anterior (alguien sobrescribio la formula). ","")&amp;IF(AND(H229&lt;&gt;"",ISNUMBER(B229),ISNUMBER(A229),ABS(B229-A229/8)&gt;0.00001),"Stake distinto de Bank roll/8. ","")&amp;IF(AND(H229&lt;&gt;"",ISNUMBER(E229),ABS(E229)&gt;0.005),"Residuo distinto de 0. ","")&amp;IF(AND(K229&lt;&gt;"",OR(NOT(ISNUMBER(K229)),N(K229)&lt;0)),"Saldo L2 no numerico o negativo. ","")&amp;IF(AND(H229&lt;&gt;"",H229&lt;TEXT(TODAY(),"yyyy-mm-dd"),G229&gt;=$P$2,K229="",OR(N(J229)&gt;0,N(M228)&gt;0)),"Falta cerrar el Saldo L2 de este dia. ","")&amp;IF(AND(H229&lt;&gt;"",SUMPRODUCT((Registros!$C$2:$C$3000=H229)*ISTEXT(Registros!$AP$2:$AP$3000))&gt;0),"Hay P/L guardado como texto en Registros (no suma). ","")))</f>
        <v/>
      </c>
    </row>
    <row r="230" customFormat="false" ht="15" hidden="false" customHeight="true" outlineLevel="0" collapsed="false">
      <c r="A230" s="13" t="n">
        <f aca="false">IF(D229="","",IF(G229&gt;=$P$2,MIN(D229,C229),D229))</f>
        <v>8</v>
      </c>
      <c r="B230" s="13" t="n">
        <f aca="false">IF(A230="","",A230/8)</f>
        <v>1</v>
      </c>
      <c r="C230" s="13" t="n">
        <f aca="false">IF(OR(A230="",B230=""),"",A230+B230)</f>
        <v>9</v>
      </c>
      <c r="D230" s="13" t="n">
        <f aca="false">IF(A230="","",A230+SUMIFS(Registros!$AP:$AP,Registros!$C:$C,H230))</f>
        <v>8</v>
      </c>
      <c r="E230" s="13" t="n">
        <f aca="false">IF(A230="","",ROUND(A230-8*B230,2))</f>
        <v>0</v>
      </c>
      <c r="F230" s="13" t="n">
        <f aca="false">IF(OR(D230="",C230=""),"",D230-C230)</f>
        <v>-1</v>
      </c>
      <c r="G230" s="20" t="n">
        <f aca="false">IF(G229="","",G229+1)</f>
        <v>229</v>
      </c>
      <c r="H230" s="15"/>
      <c r="I230" s="14"/>
      <c r="J230" s="16" t="str">
        <f aca="false">IF(OR(H230="",D230="",C230="",G230&lt;$P$2),"",MAX(0,ROUND(D230-C230,2)))</f>
        <v/>
      </c>
      <c r="K230" s="17"/>
      <c r="L230" s="16" t="str">
        <f aca="false">IF(NOT(ISNUMBER(K230)),"",ROUND(K230-N(M229)-N(J230),2))</f>
        <v/>
      </c>
      <c r="M230" s="16" t="n">
        <f aca="false">IF(ISNUMBER(K230),K230,N(M229))</f>
        <v>0</v>
      </c>
      <c r="N230" s="0" t="str">
        <f aca="true">IF(AND(H230="",K230=""),"",TRIM(IF(AND(H230&lt;&gt;"",NOT(AND(LEN(H230)=10,MID(H230,5,1)="-",MID(H230,8,1)="-"))),"Fecha con formato invalido (usa AAAA-MM-DD). ","")&amp;IF(AND(H230&lt;&gt;"",COUNTIF($H$2:$H$367,H230)&gt;1),"Fecha repetida en otro dia. ","")&amp;IF(AND(H230&lt;&gt;"",H229&lt;&gt;"",H230&lt;=H229),"La fecha no es posterior a la del dia anterior. ","")&amp;IF(AND(H230&lt;&gt;"",ISNUMBER(A230),ISNUMBER(D229),ISNUMBER(C229),ABS(A230-IF(G229&gt;=$P$2,MIN(D229,C229),D229))&gt;0.005),"Bank roll inicial no sigue la regla del dia anterior (alguien sobrescribio la formula). ","")&amp;IF(AND(H230&lt;&gt;"",ISNUMBER(B230),ISNUMBER(A230),ABS(B230-A230/8)&gt;0.00001),"Stake distinto de Bank roll/8. ","")&amp;IF(AND(H230&lt;&gt;"",ISNUMBER(E230),ABS(E230)&gt;0.005),"Residuo distinto de 0. ","")&amp;IF(AND(K230&lt;&gt;"",OR(NOT(ISNUMBER(K230)),N(K230)&lt;0)),"Saldo L2 no numerico o negativo. ","")&amp;IF(AND(H230&lt;&gt;"",H230&lt;TEXT(TODAY(),"yyyy-mm-dd"),G230&gt;=$P$2,K230="",OR(N(J230)&gt;0,N(M229)&gt;0)),"Falta cerrar el Saldo L2 de este dia. ","")&amp;IF(AND(H230&lt;&gt;"",SUMPRODUCT((Registros!$C$2:$C$3000=H230)*ISTEXT(Registros!$AP$2:$AP$3000))&gt;0),"Hay P/L guardado como texto en Registros (no suma). ","")))</f>
        <v/>
      </c>
    </row>
    <row r="231" customFormat="false" ht="15" hidden="false" customHeight="true" outlineLevel="0" collapsed="false">
      <c r="A231" s="13" t="n">
        <f aca="false">IF(D230="","",IF(G230&gt;=$P$2,MIN(D230,C230),D230))</f>
        <v>8</v>
      </c>
      <c r="B231" s="13" t="n">
        <f aca="false">IF(A231="","",A231/8)</f>
        <v>1</v>
      </c>
      <c r="C231" s="13" t="n">
        <f aca="false">IF(OR(A231="",B231=""),"",A231+B231)</f>
        <v>9</v>
      </c>
      <c r="D231" s="13" t="n">
        <f aca="false">IF(A231="","",A231+SUMIFS(Registros!$AP:$AP,Registros!$C:$C,H231))</f>
        <v>8</v>
      </c>
      <c r="E231" s="13" t="n">
        <f aca="false">IF(A231="","",ROUND(A231-8*B231,2))</f>
        <v>0</v>
      </c>
      <c r="F231" s="13" t="n">
        <f aca="false">IF(OR(D231="",C231=""),"",D231-C231)</f>
        <v>-1</v>
      </c>
      <c r="G231" s="20" t="n">
        <f aca="false">IF(G230="","",G230+1)</f>
        <v>230</v>
      </c>
      <c r="H231" s="15"/>
      <c r="I231" s="14"/>
      <c r="J231" s="16" t="str">
        <f aca="false">IF(OR(H231="",D231="",C231="",G231&lt;$P$2),"",MAX(0,ROUND(D231-C231,2)))</f>
        <v/>
      </c>
      <c r="K231" s="17"/>
      <c r="L231" s="16" t="str">
        <f aca="false">IF(NOT(ISNUMBER(K231)),"",ROUND(K231-N(M230)-N(J231),2))</f>
        <v/>
      </c>
      <c r="M231" s="16" t="n">
        <f aca="false">IF(ISNUMBER(K231),K231,N(M230))</f>
        <v>0</v>
      </c>
      <c r="N231" s="0" t="str">
        <f aca="true">IF(AND(H231="",K231=""),"",TRIM(IF(AND(H231&lt;&gt;"",NOT(AND(LEN(H231)=10,MID(H231,5,1)="-",MID(H231,8,1)="-"))),"Fecha con formato invalido (usa AAAA-MM-DD). ","")&amp;IF(AND(H231&lt;&gt;"",COUNTIF($H$2:$H$367,H231)&gt;1),"Fecha repetida en otro dia. ","")&amp;IF(AND(H231&lt;&gt;"",H230&lt;&gt;"",H231&lt;=H230),"La fecha no es posterior a la del dia anterior. ","")&amp;IF(AND(H231&lt;&gt;"",ISNUMBER(A231),ISNUMBER(D230),ISNUMBER(C230),ABS(A231-IF(G230&gt;=$P$2,MIN(D230,C230),D230))&gt;0.005),"Bank roll inicial no sigue la regla del dia anterior (alguien sobrescribio la formula). ","")&amp;IF(AND(H231&lt;&gt;"",ISNUMBER(B231),ISNUMBER(A231),ABS(B231-A231/8)&gt;0.00001),"Stake distinto de Bank roll/8. ","")&amp;IF(AND(H231&lt;&gt;"",ISNUMBER(E231),ABS(E231)&gt;0.005),"Residuo distinto de 0. ","")&amp;IF(AND(K231&lt;&gt;"",OR(NOT(ISNUMBER(K231)),N(K231)&lt;0)),"Saldo L2 no numerico o negativo. ","")&amp;IF(AND(H231&lt;&gt;"",H231&lt;TEXT(TODAY(),"yyyy-mm-dd"),G231&gt;=$P$2,K231="",OR(N(J231)&gt;0,N(M230)&gt;0)),"Falta cerrar el Saldo L2 de este dia. ","")&amp;IF(AND(H231&lt;&gt;"",SUMPRODUCT((Registros!$C$2:$C$3000=H231)*ISTEXT(Registros!$AP$2:$AP$3000))&gt;0),"Hay P/L guardado como texto en Registros (no suma). ","")))</f>
        <v/>
      </c>
    </row>
    <row r="232" customFormat="false" ht="15" hidden="false" customHeight="true" outlineLevel="0" collapsed="false">
      <c r="A232" s="13" t="n">
        <f aca="false">IF(D231="","",IF(G231&gt;=$P$2,MIN(D231,C231),D231))</f>
        <v>8</v>
      </c>
      <c r="B232" s="13" t="n">
        <f aca="false">IF(A232="","",A232/8)</f>
        <v>1</v>
      </c>
      <c r="C232" s="13" t="n">
        <f aca="false">IF(OR(A232="",B232=""),"",A232+B232)</f>
        <v>9</v>
      </c>
      <c r="D232" s="13" t="n">
        <f aca="false">IF(A232="","",A232+SUMIFS(Registros!$AP:$AP,Registros!$C:$C,H232))</f>
        <v>8</v>
      </c>
      <c r="E232" s="13" t="n">
        <f aca="false">IF(A232="","",ROUND(A232-8*B232,2))</f>
        <v>0</v>
      </c>
      <c r="F232" s="13" t="n">
        <f aca="false">IF(OR(D232="",C232=""),"",D232-C232)</f>
        <v>-1</v>
      </c>
      <c r="G232" s="20" t="n">
        <f aca="false">IF(G231="","",G231+1)</f>
        <v>231</v>
      </c>
      <c r="H232" s="15"/>
      <c r="I232" s="14"/>
      <c r="J232" s="16" t="str">
        <f aca="false">IF(OR(H232="",D232="",C232="",G232&lt;$P$2),"",MAX(0,ROUND(D232-C232,2)))</f>
        <v/>
      </c>
      <c r="K232" s="17"/>
      <c r="L232" s="16" t="str">
        <f aca="false">IF(NOT(ISNUMBER(K232)),"",ROUND(K232-N(M231)-N(J232),2))</f>
        <v/>
      </c>
      <c r="M232" s="16" t="n">
        <f aca="false">IF(ISNUMBER(K232),K232,N(M231))</f>
        <v>0</v>
      </c>
      <c r="N232" s="0" t="str">
        <f aca="true">IF(AND(H232="",K232=""),"",TRIM(IF(AND(H232&lt;&gt;"",NOT(AND(LEN(H232)=10,MID(H232,5,1)="-",MID(H232,8,1)="-"))),"Fecha con formato invalido (usa AAAA-MM-DD). ","")&amp;IF(AND(H232&lt;&gt;"",COUNTIF($H$2:$H$367,H232)&gt;1),"Fecha repetida en otro dia. ","")&amp;IF(AND(H232&lt;&gt;"",H231&lt;&gt;"",H232&lt;=H231),"La fecha no es posterior a la del dia anterior. ","")&amp;IF(AND(H232&lt;&gt;"",ISNUMBER(A232),ISNUMBER(D231),ISNUMBER(C231),ABS(A232-IF(G231&gt;=$P$2,MIN(D231,C231),D231))&gt;0.005),"Bank roll inicial no sigue la regla del dia anterior (alguien sobrescribio la formula). ","")&amp;IF(AND(H232&lt;&gt;"",ISNUMBER(B232),ISNUMBER(A232),ABS(B232-A232/8)&gt;0.00001),"Stake distinto de Bank roll/8. ","")&amp;IF(AND(H232&lt;&gt;"",ISNUMBER(E232),ABS(E232)&gt;0.005),"Residuo distinto de 0. ","")&amp;IF(AND(K232&lt;&gt;"",OR(NOT(ISNUMBER(K232)),N(K232)&lt;0)),"Saldo L2 no numerico o negativo. ","")&amp;IF(AND(H232&lt;&gt;"",H232&lt;TEXT(TODAY(),"yyyy-mm-dd"),G232&gt;=$P$2,K232="",OR(N(J232)&gt;0,N(M231)&gt;0)),"Falta cerrar el Saldo L2 de este dia. ","")&amp;IF(AND(H232&lt;&gt;"",SUMPRODUCT((Registros!$C$2:$C$3000=H232)*ISTEXT(Registros!$AP$2:$AP$3000))&gt;0),"Hay P/L guardado como texto en Registros (no suma). ","")))</f>
        <v/>
      </c>
    </row>
    <row r="233" customFormat="false" ht="15" hidden="false" customHeight="true" outlineLevel="0" collapsed="false">
      <c r="A233" s="13" t="n">
        <f aca="false">IF(D232="","",IF(G232&gt;=$P$2,MIN(D232,C232),D232))</f>
        <v>8</v>
      </c>
      <c r="B233" s="13" t="n">
        <f aca="false">IF(A233="","",A233/8)</f>
        <v>1</v>
      </c>
      <c r="C233" s="13" t="n">
        <f aca="false">IF(OR(A233="",B233=""),"",A233+B233)</f>
        <v>9</v>
      </c>
      <c r="D233" s="13" t="n">
        <f aca="false">IF(A233="","",A233+SUMIFS(Registros!$AP:$AP,Registros!$C:$C,H233))</f>
        <v>8</v>
      </c>
      <c r="E233" s="13" t="n">
        <f aca="false">IF(A233="","",ROUND(A233-8*B233,2))</f>
        <v>0</v>
      </c>
      <c r="F233" s="13" t="n">
        <f aca="false">IF(OR(D233="",C233=""),"",D233-C233)</f>
        <v>-1</v>
      </c>
      <c r="G233" s="20" t="n">
        <f aca="false">IF(G232="","",G232+1)</f>
        <v>232</v>
      </c>
      <c r="H233" s="15"/>
      <c r="I233" s="14"/>
      <c r="J233" s="16" t="str">
        <f aca="false">IF(OR(H233="",D233="",C233="",G233&lt;$P$2),"",MAX(0,ROUND(D233-C233,2)))</f>
        <v/>
      </c>
      <c r="K233" s="17"/>
      <c r="L233" s="16" t="str">
        <f aca="false">IF(NOT(ISNUMBER(K233)),"",ROUND(K233-N(M232)-N(J233),2))</f>
        <v/>
      </c>
      <c r="M233" s="16" t="n">
        <f aca="false">IF(ISNUMBER(K233),K233,N(M232))</f>
        <v>0</v>
      </c>
      <c r="N233" s="0" t="str">
        <f aca="true">IF(AND(H233="",K233=""),"",TRIM(IF(AND(H233&lt;&gt;"",NOT(AND(LEN(H233)=10,MID(H233,5,1)="-",MID(H233,8,1)="-"))),"Fecha con formato invalido (usa AAAA-MM-DD). ","")&amp;IF(AND(H233&lt;&gt;"",COUNTIF($H$2:$H$367,H233)&gt;1),"Fecha repetida en otro dia. ","")&amp;IF(AND(H233&lt;&gt;"",H232&lt;&gt;"",H233&lt;=H232),"La fecha no es posterior a la del dia anterior. ","")&amp;IF(AND(H233&lt;&gt;"",ISNUMBER(A233),ISNUMBER(D232),ISNUMBER(C232),ABS(A233-IF(G232&gt;=$P$2,MIN(D232,C232),D232))&gt;0.005),"Bank roll inicial no sigue la regla del dia anterior (alguien sobrescribio la formula). ","")&amp;IF(AND(H233&lt;&gt;"",ISNUMBER(B233),ISNUMBER(A233),ABS(B233-A233/8)&gt;0.00001),"Stake distinto de Bank roll/8. ","")&amp;IF(AND(H233&lt;&gt;"",ISNUMBER(E233),ABS(E233)&gt;0.005),"Residuo distinto de 0. ","")&amp;IF(AND(K233&lt;&gt;"",OR(NOT(ISNUMBER(K233)),N(K233)&lt;0)),"Saldo L2 no numerico o negativo. ","")&amp;IF(AND(H233&lt;&gt;"",H233&lt;TEXT(TODAY(),"yyyy-mm-dd"),G233&gt;=$P$2,K233="",OR(N(J233)&gt;0,N(M232)&gt;0)),"Falta cerrar el Saldo L2 de este dia. ","")&amp;IF(AND(H233&lt;&gt;"",SUMPRODUCT((Registros!$C$2:$C$3000=H233)*ISTEXT(Registros!$AP$2:$AP$3000))&gt;0),"Hay P/L guardado como texto en Registros (no suma). ","")))</f>
        <v/>
      </c>
    </row>
    <row r="234" customFormat="false" ht="15" hidden="false" customHeight="true" outlineLevel="0" collapsed="false">
      <c r="A234" s="13" t="n">
        <f aca="false">IF(D233="","",IF(G233&gt;=$P$2,MIN(D233,C233),D233))</f>
        <v>8</v>
      </c>
      <c r="B234" s="13" t="n">
        <f aca="false">IF(A234="","",A234/8)</f>
        <v>1</v>
      </c>
      <c r="C234" s="13" t="n">
        <f aca="false">IF(OR(A234="",B234=""),"",A234+B234)</f>
        <v>9</v>
      </c>
      <c r="D234" s="13" t="n">
        <f aca="false">IF(A234="","",A234+SUMIFS(Registros!$AP:$AP,Registros!$C:$C,H234))</f>
        <v>8</v>
      </c>
      <c r="E234" s="13" t="n">
        <f aca="false">IF(A234="","",ROUND(A234-8*B234,2))</f>
        <v>0</v>
      </c>
      <c r="F234" s="13" t="n">
        <f aca="false">IF(OR(D234="",C234=""),"",D234-C234)</f>
        <v>-1</v>
      </c>
      <c r="G234" s="20" t="n">
        <f aca="false">IF(G233="","",G233+1)</f>
        <v>233</v>
      </c>
      <c r="H234" s="15"/>
      <c r="I234" s="14"/>
      <c r="J234" s="16" t="str">
        <f aca="false">IF(OR(H234="",D234="",C234="",G234&lt;$P$2),"",MAX(0,ROUND(D234-C234,2)))</f>
        <v/>
      </c>
      <c r="K234" s="17"/>
      <c r="L234" s="16" t="str">
        <f aca="false">IF(NOT(ISNUMBER(K234)),"",ROUND(K234-N(M233)-N(J234),2))</f>
        <v/>
      </c>
      <c r="M234" s="16" t="n">
        <f aca="false">IF(ISNUMBER(K234),K234,N(M233))</f>
        <v>0</v>
      </c>
      <c r="N234" s="0" t="str">
        <f aca="true">IF(AND(H234="",K234=""),"",TRIM(IF(AND(H234&lt;&gt;"",NOT(AND(LEN(H234)=10,MID(H234,5,1)="-",MID(H234,8,1)="-"))),"Fecha con formato invalido (usa AAAA-MM-DD). ","")&amp;IF(AND(H234&lt;&gt;"",COUNTIF($H$2:$H$367,H234)&gt;1),"Fecha repetida en otro dia. ","")&amp;IF(AND(H234&lt;&gt;"",H233&lt;&gt;"",H234&lt;=H233),"La fecha no es posterior a la del dia anterior. ","")&amp;IF(AND(H234&lt;&gt;"",ISNUMBER(A234),ISNUMBER(D233),ISNUMBER(C233),ABS(A234-IF(G233&gt;=$P$2,MIN(D233,C233),D233))&gt;0.005),"Bank roll inicial no sigue la regla del dia anterior (alguien sobrescribio la formula). ","")&amp;IF(AND(H234&lt;&gt;"",ISNUMBER(B234),ISNUMBER(A234),ABS(B234-A234/8)&gt;0.00001),"Stake distinto de Bank roll/8. ","")&amp;IF(AND(H234&lt;&gt;"",ISNUMBER(E234),ABS(E234)&gt;0.005),"Residuo distinto de 0. ","")&amp;IF(AND(K234&lt;&gt;"",OR(NOT(ISNUMBER(K234)),N(K234)&lt;0)),"Saldo L2 no numerico o negativo. ","")&amp;IF(AND(H234&lt;&gt;"",H234&lt;TEXT(TODAY(),"yyyy-mm-dd"),G234&gt;=$P$2,K234="",OR(N(J234)&gt;0,N(M233)&gt;0)),"Falta cerrar el Saldo L2 de este dia. ","")&amp;IF(AND(H234&lt;&gt;"",SUMPRODUCT((Registros!$C$2:$C$3000=H234)*ISTEXT(Registros!$AP$2:$AP$3000))&gt;0),"Hay P/L guardado como texto en Registros (no suma). ","")))</f>
        <v/>
      </c>
    </row>
    <row r="235" customFormat="false" ht="15" hidden="false" customHeight="true" outlineLevel="0" collapsed="false">
      <c r="A235" s="13" t="n">
        <f aca="false">IF(D234="","",IF(G234&gt;=$P$2,MIN(D234,C234),D234))</f>
        <v>8</v>
      </c>
      <c r="B235" s="13" t="n">
        <f aca="false">IF(A235="","",A235/8)</f>
        <v>1</v>
      </c>
      <c r="C235" s="13" t="n">
        <f aca="false">IF(OR(A235="",B235=""),"",A235+B235)</f>
        <v>9</v>
      </c>
      <c r="D235" s="13" t="n">
        <f aca="false">IF(A235="","",A235+SUMIFS(Registros!$AP:$AP,Registros!$C:$C,H235))</f>
        <v>8</v>
      </c>
      <c r="E235" s="13" t="n">
        <f aca="false">IF(A235="","",ROUND(A235-8*B235,2))</f>
        <v>0</v>
      </c>
      <c r="F235" s="13" t="n">
        <f aca="false">IF(OR(D235="",C235=""),"",D235-C235)</f>
        <v>-1</v>
      </c>
      <c r="G235" s="20" t="n">
        <f aca="false">IF(G234="","",G234+1)</f>
        <v>234</v>
      </c>
      <c r="H235" s="15"/>
      <c r="I235" s="14"/>
      <c r="J235" s="16" t="str">
        <f aca="false">IF(OR(H235="",D235="",C235="",G235&lt;$P$2),"",MAX(0,ROUND(D235-C235,2)))</f>
        <v/>
      </c>
      <c r="K235" s="17"/>
      <c r="L235" s="16" t="str">
        <f aca="false">IF(NOT(ISNUMBER(K235)),"",ROUND(K235-N(M234)-N(J235),2))</f>
        <v/>
      </c>
      <c r="M235" s="16" t="n">
        <f aca="false">IF(ISNUMBER(K235),K235,N(M234))</f>
        <v>0</v>
      </c>
      <c r="N235" s="0" t="str">
        <f aca="true">IF(AND(H235="",K235=""),"",TRIM(IF(AND(H235&lt;&gt;"",NOT(AND(LEN(H235)=10,MID(H235,5,1)="-",MID(H235,8,1)="-"))),"Fecha con formato invalido (usa AAAA-MM-DD). ","")&amp;IF(AND(H235&lt;&gt;"",COUNTIF($H$2:$H$367,H235)&gt;1),"Fecha repetida en otro dia. ","")&amp;IF(AND(H235&lt;&gt;"",H234&lt;&gt;"",H235&lt;=H234),"La fecha no es posterior a la del dia anterior. ","")&amp;IF(AND(H235&lt;&gt;"",ISNUMBER(A235),ISNUMBER(D234),ISNUMBER(C234),ABS(A235-IF(G234&gt;=$P$2,MIN(D234,C234),D234))&gt;0.005),"Bank roll inicial no sigue la regla del dia anterior (alguien sobrescribio la formula). ","")&amp;IF(AND(H235&lt;&gt;"",ISNUMBER(B235),ISNUMBER(A235),ABS(B235-A235/8)&gt;0.00001),"Stake distinto de Bank roll/8. ","")&amp;IF(AND(H235&lt;&gt;"",ISNUMBER(E235),ABS(E235)&gt;0.005),"Residuo distinto de 0. ","")&amp;IF(AND(K235&lt;&gt;"",OR(NOT(ISNUMBER(K235)),N(K235)&lt;0)),"Saldo L2 no numerico o negativo. ","")&amp;IF(AND(H235&lt;&gt;"",H235&lt;TEXT(TODAY(),"yyyy-mm-dd"),G235&gt;=$P$2,K235="",OR(N(J235)&gt;0,N(M234)&gt;0)),"Falta cerrar el Saldo L2 de este dia. ","")&amp;IF(AND(H235&lt;&gt;"",SUMPRODUCT((Registros!$C$2:$C$3000=H235)*ISTEXT(Registros!$AP$2:$AP$3000))&gt;0),"Hay P/L guardado como texto en Registros (no suma). ","")))</f>
        <v/>
      </c>
    </row>
    <row r="236" customFormat="false" ht="15" hidden="false" customHeight="true" outlineLevel="0" collapsed="false">
      <c r="A236" s="13" t="n">
        <f aca="false">IF(D235="","",IF(G235&gt;=$P$2,MIN(D235,C235),D235))</f>
        <v>8</v>
      </c>
      <c r="B236" s="13" t="n">
        <f aca="false">IF(A236="","",A236/8)</f>
        <v>1</v>
      </c>
      <c r="C236" s="13" t="n">
        <f aca="false">IF(OR(A236="",B236=""),"",A236+B236)</f>
        <v>9</v>
      </c>
      <c r="D236" s="13" t="n">
        <f aca="false">IF(A236="","",A236+SUMIFS(Registros!$AP:$AP,Registros!$C:$C,H236))</f>
        <v>8</v>
      </c>
      <c r="E236" s="13" t="n">
        <f aca="false">IF(A236="","",ROUND(A236-8*B236,2))</f>
        <v>0</v>
      </c>
      <c r="F236" s="13" t="n">
        <f aca="false">IF(OR(D236="",C236=""),"",D236-C236)</f>
        <v>-1</v>
      </c>
      <c r="G236" s="20" t="n">
        <f aca="false">IF(G235="","",G235+1)</f>
        <v>235</v>
      </c>
      <c r="H236" s="15"/>
      <c r="I236" s="14"/>
      <c r="J236" s="16" t="str">
        <f aca="false">IF(OR(H236="",D236="",C236="",G236&lt;$P$2),"",MAX(0,ROUND(D236-C236,2)))</f>
        <v/>
      </c>
      <c r="K236" s="17"/>
      <c r="L236" s="16" t="str">
        <f aca="false">IF(NOT(ISNUMBER(K236)),"",ROUND(K236-N(M235)-N(J236),2))</f>
        <v/>
      </c>
      <c r="M236" s="16" t="n">
        <f aca="false">IF(ISNUMBER(K236),K236,N(M235))</f>
        <v>0</v>
      </c>
      <c r="N236" s="0" t="str">
        <f aca="true">IF(AND(H236="",K236=""),"",TRIM(IF(AND(H236&lt;&gt;"",NOT(AND(LEN(H236)=10,MID(H236,5,1)="-",MID(H236,8,1)="-"))),"Fecha con formato invalido (usa AAAA-MM-DD). ","")&amp;IF(AND(H236&lt;&gt;"",COUNTIF($H$2:$H$367,H236)&gt;1),"Fecha repetida en otro dia. ","")&amp;IF(AND(H236&lt;&gt;"",H235&lt;&gt;"",H236&lt;=H235),"La fecha no es posterior a la del dia anterior. ","")&amp;IF(AND(H236&lt;&gt;"",ISNUMBER(A236),ISNUMBER(D235),ISNUMBER(C235),ABS(A236-IF(G235&gt;=$P$2,MIN(D235,C235),D235))&gt;0.005),"Bank roll inicial no sigue la regla del dia anterior (alguien sobrescribio la formula). ","")&amp;IF(AND(H236&lt;&gt;"",ISNUMBER(B236),ISNUMBER(A236),ABS(B236-A236/8)&gt;0.00001),"Stake distinto de Bank roll/8. ","")&amp;IF(AND(H236&lt;&gt;"",ISNUMBER(E236),ABS(E236)&gt;0.005),"Residuo distinto de 0. ","")&amp;IF(AND(K236&lt;&gt;"",OR(NOT(ISNUMBER(K236)),N(K236)&lt;0)),"Saldo L2 no numerico o negativo. ","")&amp;IF(AND(H236&lt;&gt;"",H236&lt;TEXT(TODAY(),"yyyy-mm-dd"),G236&gt;=$P$2,K236="",OR(N(J236)&gt;0,N(M235)&gt;0)),"Falta cerrar el Saldo L2 de este dia. ","")&amp;IF(AND(H236&lt;&gt;"",SUMPRODUCT((Registros!$C$2:$C$3000=H236)*ISTEXT(Registros!$AP$2:$AP$3000))&gt;0),"Hay P/L guardado como texto en Registros (no suma). ","")))</f>
        <v/>
      </c>
    </row>
    <row r="237" customFormat="false" ht="15" hidden="false" customHeight="true" outlineLevel="0" collapsed="false">
      <c r="A237" s="13" t="n">
        <f aca="false">IF(D236="","",IF(G236&gt;=$P$2,MIN(D236,C236),D236))</f>
        <v>8</v>
      </c>
      <c r="B237" s="13" t="n">
        <f aca="false">IF(A237="","",A237/8)</f>
        <v>1</v>
      </c>
      <c r="C237" s="13" t="n">
        <f aca="false">IF(OR(A237="",B237=""),"",A237+B237)</f>
        <v>9</v>
      </c>
      <c r="D237" s="13" t="n">
        <f aca="false">IF(A237="","",A237+SUMIFS(Registros!$AP:$AP,Registros!$C:$C,H237))</f>
        <v>8</v>
      </c>
      <c r="E237" s="13" t="n">
        <f aca="false">IF(A237="","",ROUND(A237-8*B237,2))</f>
        <v>0</v>
      </c>
      <c r="F237" s="13" t="n">
        <f aca="false">IF(OR(D237="",C237=""),"",D237-C237)</f>
        <v>-1</v>
      </c>
      <c r="G237" s="20" t="n">
        <f aca="false">IF(G236="","",G236+1)</f>
        <v>236</v>
      </c>
      <c r="H237" s="15"/>
      <c r="I237" s="14"/>
      <c r="J237" s="16" t="str">
        <f aca="false">IF(OR(H237="",D237="",C237="",G237&lt;$P$2),"",MAX(0,ROUND(D237-C237,2)))</f>
        <v/>
      </c>
      <c r="K237" s="17"/>
      <c r="L237" s="16" t="str">
        <f aca="false">IF(NOT(ISNUMBER(K237)),"",ROUND(K237-N(M236)-N(J237),2))</f>
        <v/>
      </c>
      <c r="M237" s="16" t="n">
        <f aca="false">IF(ISNUMBER(K237),K237,N(M236))</f>
        <v>0</v>
      </c>
      <c r="N237" s="0" t="str">
        <f aca="true">IF(AND(H237="",K237=""),"",TRIM(IF(AND(H237&lt;&gt;"",NOT(AND(LEN(H237)=10,MID(H237,5,1)="-",MID(H237,8,1)="-"))),"Fecha con formato invalido (usa AAAA-MM-DD). ","")&amp;IF(AND(H237&lt;&gt;"",COUNTIF($H$2:$H$367,H237)&gt;1),"Fecha repetida en otro dia. ","")&amp;IF(AND(H237&lt;&gt;"",H236&lt;&gt;"",H237&lt;=H236),"La fecha no es posterior a la del dia anterior. ","")&amp;IF(AND(H237&lt;&gt;"",ISNUMBER(A237),ISNUMBER(D236),ISNUMBER(C236),ABS(A237-IF(G236&gt;=$P$2,MIN(D236,C236),D236))&gt;0.005),"Bank roll inicial no sigue la regla del dia anterior (alguien sobrescribio la formula). ","")&amp;IF(AND(H237&lt;&gt;"",ISNUMBER(B237),ISNUMBER(A237),ABS(B237-A237/8)&gt;0.00001),"Stake distinto de Bank roll/8. ","")&amp;IF(AND(H237&lt;&gt;"",ISNUMBER(E237),ABS(E237)&gt;0.005),"Residuo distinto de 0. ","")&amp;IF(AND(K237&lt;&gt;"",OR(NOT(ISNUMBER(K237)),N(K237)&lt;0)),"Saldo L2 no numerico o negativo. ","")&amp;IF(AND(H237&lt;&gt;"",H237&lt;TEXT(TODAY(),"yyyy-mm-dd"),G237&gt;=$P$2,K237="",OR(N(J237)&gt;0,N(M236)&gt;0)),"Falta cerrar el Saldo L2 de este dia. ","")&amp;IF(AND(H237&lt;&gt;"",SUMPRODUCT((Registros!$C$2:$C$3000=H237)*ISTEXT(Registros!$AP$2:$AP$3000))&gt;0),"Hay P/L guardado como texto en Registros (no suma). ","")))</f>
        <v/>
      </c>
    </row>
    <row r="238" customFormat="false" ht="15" hidden="false" customHeight="true" outlineLevel="0" collapsed="false">
      <c r="A238" s="13" t="n">
        <f aca="false">IF(D237="","",IF(G237&gt;=$P$2,MIN(D237,C237),D237))</f>
        <v>8</v>
      </c>
      <c r="B238" s="13" t="n">
        <f aca="false">IF(A238="","",A238/8)</f>
        <v>1</v>
      </c>
      <c r="C238" s="13" t="n">
        <f aca="false">IF(OR(A238="",B238=""),"",A238+B238)</f>
        <v>9</v>
      </c>
      <c r="D238" s="13" t="n">
        <f aca="false">IF(A238="","",A238+SUMIFS(Registros!$AP:$AP,Registros!$C:$C,H238))</f>
        <v>8</v>
      </c>
      <c r="E238" s="13" t="n">
        <f aca="false">IF(A238="","",ROUND(A238-8*B238,2))</f>
        <v>0</v>
      </c>
      <c r="F238" s="13" t="n">
        <f aca="false">IF(OR(D238="",C238=""),"",D238-C238)</f>
        <v>-1</v>
      </c>
      <c r="G238" s="20" t="n">
        <f aca="false">IF(G237="","",G237+1)</f>
        <v>237</v>
      </c>
      <c r="H238" s="15"/>
      <c r="I238" s="14"/>
      <c r="J238" s="16" t="str">
        <f aca="false">IF(OR(H238="",D238="",C238="",G238&lt;$P$2),"",MAX(0,ROUND(D238-C238,2)))</f>
        <v/>
      </c>
      <c r="K238" s="17"/>
      <c r="L238" s="16" t="str">
        <f aca="false">IF(NOT(ISNUMBER(K238)),"",ROUND(K238-N(M237)-N(J238),2))</f>
        <v/>
      </c>
      <c r="M238" s="16" t="n">
        <f aca="false">IF(ISNUMBER(K238),K238,N(M237))</f>
        <v>0</v>
      </c>
      <c r="N238" s="0" t="str">
        <f aca="true">IF(AND(H238="",K238=""),"",TRIM(IF(AND(H238&lt;&gt;"",NOT(AND(LEN(H238)=10,MID(H238,5,1)="-",MID(H238,8,1)="-"))),"Fecha con formato invalido (usa AAAA-MM-DD). ","")&amp;IF(AND(H238&lt;&gt;"",COUNTIF($H$2:$H$367,H238)&gt;1),"Fecha repetida en otro dia. ","")&amp;IF(AND(H238&lt;&gt;"",H237&lt;&gt;"",H238&lt;=H237),"La fecha no es posterior a la del dia anterior. ","")&amp;IF(AND(H238&lt;&gt;"",ISNUMBER(A238),ISNUMBER(D237),ISNUMBER(C237),ABS(A238-IF(G237&gt;=$P$2,MIN(D237,C237),D237))&gt;0.005),"Bank roll inicial no sigue la regla del dia anterior (alguien sobrescribio la formula). ","")&amp;IF(AND(H238&lt;&gt;"",ISNUMBER(B238),ISNUMBER(A238),ABS(B238-A238/8)&gt;0.00001),"Stake distinto de Bank roll/8. ","")&amp;IF(AND(H238&lt;&gt;"",ISNUMBER(E238),ABS(E238)&gt;0.005),"Residuo distinto de 0. ","")&amp;IF(AND(K238&lt;&gt;"",OR(NOT(ISNUMBER(K238)),N(K238)&lt;0)),"Saldo L2 no numerico o negativo. ","")&amp;IF(AND(H238&lt;&gt;"",H238&lt;TEXT(TODAY(),"yyyy-mm-dd"),G238&gt;=$P$2,K238="",OR(N(J238)&gt;0,N(M237)&gt;0)),"Falta cerrar el Saldo L2 de este dia. ","")&amp;IF(AND(H238&lt;&gt;"",SUMPRODUCT((Registros!$C$2:$C$3000=H238)*ISTEXT(Registros!$AP$2:$AP$3000))&gt;0),"Hay P/L guardado como texto en Registros (no suma). ","")))</f>
        <v/>
      </c>
    </row>
    <row r="239" customFormat="false" ht="15" hidden="false" customHeight="true" outlineLevel="0" collapsed="false">
      <c r="A239" s="13" t="n">
        <f aca="false">IF(D238="","",IF(G238&gt;=$P$2,MIN(D238,C238),D238))</f>
        <v>8</v>
      </c>
      <c r="B239" s="13" t="n">
        <f aca="false">IF(A239="","",A239/8)</f>
        <v>1</v>
      </c>
      <c r="C239" s="13" t="n">
        <f aca="false">IF(OR(A239="",B239=""),"",A239+B239)</f>
        <v>9</v>
      </c>
      <c r="D239" s="13" t="n">
        <f aca="false">IF(A239="","",A239+SUMIFS(Registros!$AP:$AP,Registros!$C:$C,H239))</f>
        <v>8</v>
      </c>
      <c r="E239" s="13" t="n">
        <f aca="false">IF(A239="","",ROUND(A239-8*B239,2))</f>
        <v>0</v>
      </c>
      <c r="F239" s="13" t="n">
        <f aca="false">IF(OR(D239="",C239=""),"",D239-C239)</f>
        <v>-1</v>
      </c>
      <c r="G239" s="20" t="n">
        <f aca="false">IF(G238="","",G238+1)</f>
        <v>238</v>
      </c>
      <c r="H239" s="15"/>
      <c r="I239" s="14"/>
      <c r="J239" s="16" t="str">
        <f aca="false">IF(OR(H239="",D239="",C239="",G239&lt;$P$2),"",MAX(0,ROUND(D239-C239,2)))</f>
        <v/>
      </c>
      <c r="K239" s="17"/>
      <c r="L239" s="16" t="str">
        <f aca="false">IF(NOT(ISNUMBER(K239)),"",ROUND(K239-N(M238)-N(J239),2))</f>
        <v/>
      </c>
      <c r="M239" s="16" t="n">
        <f aca="false">IF(ISNUMBER(K239),K239,N(M238))</f>
        <v>0</v>
      </c>
      <c r="N239" s="0" t="str">
        <f aca="true">IF(AND(H239="",K239=""),"",TRIM(IF(AND(H239&lt;&gt;"",NOT(AND(LEN(H239)=10,MID(H239,5,1)="-",MID(H239,8,1)="-"))),"Fecha con formato invalido (usa AAAA-MM-DD). ","")&amp;IF(AND(H239&lt;&gt;"",COUNTIF($H$2:$H$367,H239)&gt;1),"Fecha repetida en otro dia. ","")&amp;IF(AND(H239&lt;&gt;"",H238&lt;&gt;"",H239&lt;=H238),"La fecha no es posterior a la del dia anterior. ","")&amp;IF(AND(H239&lt;&gt;"",ISNUMBER(A239),ISNUMBER(D238),ISNUMBER(C238),ABS(A239-IF(G238&gt;=$P$2,MIN(D238,C238),D238))&gt;0.005),"Bank roll inicial no sigue la regla del dia anterior (alguien sobrescribio la formula). ","")&amp;IF(AND(H239&lt;&gt;"",ISNUMBER(B239),ISNUMBER(A239),ABS(B239-A239/8)&gt;0.00001),"Stake distinto de Bank roll/8. ","")&amp;IF(AND(H239&lt;&gt;"",ISNUMBER(E239),ABS(E239)&gt;0.005),"Residuo distinto de 0. ","")&amp;IF(AND(K239&lt;&gt;"",OR(NOT(ISNUMBER(K239)),N(K239)&lt;0)),"Saldo L2 no numerico o negativo. ","")&amp;IF(AND(H239&lt;&gt;"",H239&lt;TEXT(TODAY(),"yyyy-mm-dd"),G239&gt;=$P$2,K239="",OR(N(J239)&gt;0,N(M238)&gt;0)),"Falta cerrar el Saldo L2 de este dia. ","")&amp;IF(AND(H239&lt;&gt;"",SUMPRODUCT((Registros!$C$2:$C$3000=H239)*ISTEXT(Registros!$AP$2:$AP$3000))&gt;0),"Hay P/L guardado como texto en Registros (no suma). ","")))</f>
        <v/>
      </c>
    </row>
    <row r="240" customFormat="false" ht="15" hidden="false" customHeight="true" outlineLevel="0" collapsed="false">
      <c r="A240" s="13" t="n">
        <f aca="false">IF(D239="","",IF(G239&gt;=$P$2,MIN(D239,C239),D239))</f>
        <v>8</v>
      </c>
      <c r="B240" s="13" t="n">
        <f aca="false">IF(A240="","",A240/8)</f>
        <v>1</v>
      </c>
      <c r="C240" s="13" t="n">
        <f aca="false">IF(OR(A240="",B240=""),"",A240+B240)</f>
        <v>9</v>
      </c>
      <c r="D240" s="13" t="n">
        <f aca="false">IF(A240="","",A240+SUMIFS(Registros!$AP:$AP,Registros!$C:$C,H240))</f>
        <v>8</v>
      </c>
      <c r="E240" s="13" t="n">
        <f aca="false">IF(A240="","",ROUND(A240-8*B240,2))</f>
        <v>0</v>
      </c>
      <c r="F240" s="13" t="n">
        <f aca="false">IF(OR(D240="",C240=""),"",D240-C240)</f>
        <v>-1</v>
      </c>
      <c r="G240" s="20" t="n">
        <f aca="false">IF(G239="","",G239+1)</f>
        <v>239</v>
      </c>
      <c r="H240" s="15"/>
      <c r="I240" s="14"/>
      <c r="J240" s="16" t="str">
        <f aca="false">IF(OR(H240="",D240="",C240="",G240&lt;$P$2),"",MAX(0,ROUND(D240-C240,2)))</f>
        <v/>
      </c>
      <c r="K240" s="17"/>
      <c r="L240" s="16" t="str">
        <f aca="false">IF(NOT(ISNUMBER(K240)),"",ROUND(K240-N(M239)-N(J240),2))</f>
        <v/>
      </c>
      <c r="M240" s="16" t="n">
        <f aca="false">IF(ISNUMBER(K240),K240,N(M239))</f>
        <v>0</v>
      </c>
      <c r="N240" s="0" t="str">
        <f aca="true">IF(AND(H240="",K240=""),"",TRIM(IF(AND(H240&lt;&gt;"",NOT(AND(LEN(H240)=10,MID(H240,5,1)="-",MID(H240,8,1)="-"))),"Fecha con formato invalido (usa AAAA-MM-DD). ","")&amp;IF(AND(H240&lt;&gt;"",COUNTIF($H$2:$H$367,H240)&gt;1),"Fecha repetida en otro dia. ","")&amp;IF(AND(H240&lt;&gt;"",H239&lt;&gt;"",H240&lt;=H239),"La fecha no es posterior a la del dia anterior. ","")&amp;IF(AND(H240&lt;&gt;"",ISNUMBER(A240),ISNUMBER(D239),ISNUMBER(C239),ABS(A240-IF(G239&gt;=$P$2,MIN(D239,C239),D239))&gt;0.005),"Bank roll inicial no sigue la regla del dia anterior (alguien sobrescribio la formula). ","")&amp;IF(AND(H240&lt;&gt;"",ISNUMBER(B240),ISNUMBER(A240),ABS(B240-A240/8)&gt;0.00001),"Stake distinto de Bank roll/8. ","")&amp;IF(AND(H240&lt;&gt;"",ISNUMBER(E240),ABS(E240)&gt;0.005),"Residuo distinto de 0. ","")&amp;IF(AND(K240&lt;&gt;"",OR(NOT(ISNUMBER(K240)),N(K240)&lt;0)),"Saldo L2 no numerico o negativo. ","")&amp;IF(AND(H240&lt;&gt;"",H240&lt;TEXT(TODAY(),"yyyy-mm-dd"),G240&gt;=$P$2,K240="",OR(N(J240)&gt;0,N(M239)&gt;0)),"Falta cerrar el Saldo L2 de este dia. ","")&amp;IF(AND(H240&lt;&gt;"",SUMPRODUCT((Registros!$C$2:$C$3000=H240)*ISTEXT(Registros!$AP$2:$AP$3000))&gt;0),"Hay P/L guardado como texto en Registros (no suma). ","")))</f>
        <v/>
      </c>
    </row>
    <row r="241" customFormat="false" ht="15" hidden="false" customHeight="true" outlineLevel="0" collapsed="false">
      <c r="A241" s="13" t="n">
        <f aca="false">IF(D240="","",IF(G240&gt;=$P$2,MIN(D240,C240),D240))</f>
        <v>8</v>
      </c>
      <c r="B241" s="13" t="n">
        <f aca="false">IF(A241="","",A241/8)</f>
        <v>1</v>
      </c>
      <c r="C241" s="13" t="n">
        <f aca="false">IF(OR(A241="",B241=""),"",A241+B241)</f>
        <v>9</v>
      </c>
      <c r="D241" s="13" t="n">
        <f aca="false">IF(A241="","",A241+SUMIFS(Registros!$AP:$AP,Registros!$C:$C,H241))</f>
        <v>8</v>
      </c>
      <c r="E241" s="13" t="n">
        <f aca="false">IF(A241="","",ROUND(A241-8*B241,2))</f>
        <v>0</v>
      </c>
      <c r="F241" s="13" t="n">
        <f aca="false">IF(OR(D241="",C241=""),"",D241-C241)</f>
        <v>-1</v>
      </c>
      <c r="G241" s="20" t="n">
        <f aca="false">IF(G240="","",G240+1)</f>
        <v>240</v>
      </c>
      <c r="H241" s="15"/>
      <c r="I241" s="14"/>
      <c r="J241" s="16" t="str">
        <f aca="false">IF(OR(H241="",D241="",C241="",G241&lt;$P$2),"",MAX(0,ROUND(D241-C241,2)))</f>
        <v/>
      </c>
      <c r="K241" s="17"/>
      <c r="L241" s="16" t="str">
        <f aca="false">IF(NOT(ISNUMBER(K241)),"",ROUND(K241-N(M240)-N(J241),2))</f>
        <v/>
      </c>
      <c r="M241" s="16" t="n">
        <f aca="false">IF(ISNUMBER(K241),K241,N(M240))</f>
        <v>0</v>
      </c>
      <c r="N241" s="0" t="str">
        <f aca="true">IF(AND(H241="",K241=""),"",TRIM(IF(AND(H241&lt;&gt;"",NOT(AND(LEN(H241)=10,MID(H241,5,1)="-",MID(H241,8,1)="-"))),"Fecha con formato invalido (usa AAAA-MM-DD). ","")&amp;IF(AND(H241&lt;&gt;"",COUNTIF($H$2:$H$367,H241)&gt;1),"Fecha repetida en otro dia. ","")&amp;IF(AND(H241&lt;&gt;"",H240&lt;&gt;"",H241&lt;=H240),"La fecha no es posterior a la del dia anterior. ","")&amp;IF(AND(H241&lt;&gt;"",ISNUMBER(A241),ISNUMBER(D240),ISNUMBER(C240),ABS(A241-IF(G240&gt;=$P$2,MIN(D240,C240),D240))&gt;0.005),"Bank roll inicial no sigue la regla del dia anterior (alguien sobrescribio la formula). ","")&amp;IF(AND(H241&lt;&gt;"",ISNUMBER(B241),ISNUMBER(A241),ABS(B241-A241/8)&gt;0.00001),"Stake distinto de Bank roll/8. ","")&amp;IF(AND(H241&lt;&gt;"",ISNUMBER(E241),ABS(E241)&gt;0.005),"Residuo distinto de 0. ","")&amp;IF(AND(K241&lt;&gt;"",OR(NOT(ISNUMBER(K241)),N(K241)&lt;0)),"Saldo L2 no numerico o negativo. ","")&amp;IF(AND(H241&lt;&gt;"",H241&lt;TEXT(TODAY(),"yyyy-mm-dd"),G241&gt;=$P$2,K241="",OR(N(J241)&gt;0,N(M240)&gt;0)),"Falta cerrar el Saldo L2 de este dia. ","")&amp;IF(AND(H241&lt;&gt;"",SUMPRODUCT((Registros!$C$2:$C$3000=H241)*ISTEXT(Registros!$AP$2:$AP$3000))&gt;0),"Hay P/L guardado como texto en Registros (no suma). ","")))</f>
        <v/>
      </c>
    </row>
    <row r="242" customFormat="false" ht="15" hidden="false" customHeight="true" outlineLevel="0" collapsed="false">
      <c r="A242" s="13" t="n">
        <f aca="false">IF(D241="","",IF(G241&gt;=$P$2,MIN(D241,C241),D241))</f>
        <v>8</v>
      </c>
      <c r="B242" s="13" t="n">
        <f aca="false">IF(A242="","",A242/8)</f>
        <v>1</v>
      </c>
      <c r="C242" s="13" t="n">
        <f aca="false">IF(OR(A242="",B242=""),"",A242+B242)</f>
        <v>9</v>
      </c>
      <c r="D242" s="13" t="n">
        <f aca="false">IF(A242="","",A242+SUMIFS(Registros!$AP:$AP,Registros!$C:$C,H242))</f>
        <v>8</v>
      </c>
      <c r="E242" s="13" t="n">
        <f aca="false">IF(A242="","",ROUND(A242-8*B242,2))</f>
        <v>0</v>
      </c>
      <c r="F242" s="13" t="n">
        <f aca="false">IF(OR(D242="",C242=""),"",D242-C242)</f>
        <v>-1</v>
      </c>
      <c r="G242" s="20" t="n">
        <f aca="false">IF(G241="","",G241+1)</f>
        <v>241</v>
      </c>
      <c r="H242" s="15"/>
      <c r="I242" s="14"/>
      <c r="J242" s="16" t="str">
        <f aca="false">IF(OR(H242="",D242="",C242="",G242&lt;$P$2),"",MAX(0,ROUND(D242-C242,2)))</f>
        <v/>
      </c>
      <c r="K242" s="17"/>
      <c r="L242" s="16" t="str">
        <f aca="false">IF(NOT(ISNUMBER(K242)),"",ROUND(K242-N(M241)-N(J242),2))</f>
        <v/>
      </c>
      <c r="M242" s="16" t="n">
        <f aca="false">IF(ISNUMBER(K242),K242,N(M241))</f>
        <v>0</v>
      </c>
      <c r="N242" s="0" t="str">
        <f aca="true">IF(AND(H242="",K242=""),"",TRIM(IF(AND(H242&lt;&gt;"",NOT(AND(LEN(H242)=10,MID(H242,5,1)="-",MID(H242,8,1)="-"))),"Fecha con formato invalido (usa AAAA-MM-DD). ","")&amp;IF(AND(H242&lt;&gt;"",COUNTIF($H$2:$H$367,H242)&gt;1),"Fecha repetida en otro dia. ","")&amp;IF(AND(H242&lt;&gt;"",H241&lt;&gt;"",H242&lt;=H241),"La fecha no es posterior a la del dia anterior. ","")&amp;IF(AND(H242&lt;&gt;"",ISNUMBER(A242),ISNUMBER(D241),ISNUMBER(C241),ABS(A242-IF(G241&gt;=$P$2,MIN(D241,C241),D241))&gt;0.005),"Bank roll inicial no sigue la regla del dia anterior (alguien sobrescribio la formula). ","")&amp;IF(AND(H242&lt;&gt;"",ISNUMBER(B242),ISNUMBER(A242),ABS(B242-A242/8)&gt;0.00001),"Stake distinto de Bank roll/8. ","")&amp;IF(AND(H242&lt;&gt;"",ISNUMBER(E242),ABS(E242)&gt;0.005),"Residuo distinto de 0. ","")&amp;IF(AND(K242&lt;&gt;"",OR(NOT(ISNUMBER(K242)),N(K242)&lt;0)),"Saldo L2 no numerico o negativo. ","")&amp;IF(AND(H242&lt;&gt;"",H242&lt;TEXT(TODAY(),"yyyy-mm-dd"),G242&gt;=$P$2,K242="",OR(N(J242)&gt;0,N(M241)&gt;0)),"Falta cerrar el Saldo L2 de este dia. ","")&amp;IF(AND(H242&lt;&gt;"",SUMPRODUCT((Registros!$C$2:$C$3000=H242)*ISTEXT(Registros!$AP$2:$AP$3000))&gt;0),"Hay P/L guardado como texto en Registros (no suma). ","")))</f>
        <v/>
      </c>
    </row>
    <row r="243" customFormat="false" ht="15" hidden="false" customHeight="true" outlineLevel="0" collapsed="false">
      <c r="A243" s="13" t="n">
        <f aca="false">IF(D242="","",IF(G242&gt;=$P$2,MIN(D242,C242),D242))</f>
        <v>8</v>
      </c>
      <c r="B243" s="13" t="n">
        <f aca="false">IF(A243="","",A243/8)</f>
        <v>1</v>
      </c>
      <c r="C243" s="13" t="n">
        <f aca="false">IF(OR(A243="",B243=""),"",A243+B243)</f>
        <v>9</v>
      </c>
      <c r="D243" s="13" t="n">
        <f aca="false">IF(A243="","",A243+SUMIFS(Registros!$AP:$AP,Registros!$C:$C,H243))</f>
        <v>8</v>
      </c>
      <c r="E243" s="13" t="n">
        <f aca="false">IF(A243="","",ROUND(A243-8*B243,2))</f>
        <v>0</v>
      </c>
      <c r="F243" s="13" t="n">
        <f aca="false">IF(OR(D243="",C243=""),"",D243-C243)</f>
        <v>-1</v>
      </c>
      <c r="G243" s="20" t="n">
        <f aca="false">IF(G242="","",G242+1)</f>
        <v>242</v>
      </c>
      <c r="H243" s="15"/>
      <c r="I243" s="14"/>
      <c r="J243" s="16" t="str">
        <f aca="false">IF(OR(H243="",D243="",C243="",G243&lt;$P$2),"",MAX(0,ROUND(D243-C243,2)))</f>
        <v/>
      </c>
      <c r="K243" s="17"/>
      <c r="L243" s="16" t="str">
        <f aca="false">IF(NOT(ISNUMBER(K243)),"",ROUND(K243-N(M242)-N(J243),2))</f>
        <v/>
      </c>
      <c r="M243" s="16" t="n">
        <f aca="false">IF(ISNUMBER(K243),K243,N(M242))</f>
        <v>0</v>
      </c>
      <c r="N243" s="0" t="str">
        <f aca="true">IF(AND(H243="",K243=""),"",TRIM(IF(AND(H243&lt;&gt;"",NOT(AND(LEN(H243)=10,MID(H243,5,1)="-",MID(H243,8,1)="-"))),"Fecha con formato invalido (usa AAAA-MM-DD). ","")&amp;IF(AND(H243&lt;&gt;"",COUNTIF($H$2:$H$367,H243)&gt;1),"Fecha repetida en otro dia. ","")&amp;IF(AND(H243&lt;&gt;"",H242&lt;&gt;"",H243&lt;=H242),"La fecha no es posterior a la del dia anterior. ","")&amp;IF(AND(H243&lt;&gt;"",ISNUMBER(A243),ISNUMBER(D242),ISNUMBER(C242),ABS(A243-IF(G242&gt;=$P$2,MIN(D242,C242),D242))&gt;0.005),"Bank roll inicial no sigue la regla del dia anterior (alguien sobrescribio la formula). ","")&amp;IF(AND(H243&lt;&gt;"",ISNUMBER(B243),ISNUMBER(A243),ABS(B243-A243/8)&gt;0.00001),"Stake distinto de Bank roll/8. ","")&amp;IF(AND(H243&lt;&gt;"",ISNUMBER(E243),ABS(E243)&gt;0.005),"Residuo distinto de 0. ","")&amp;IF(AND(K243&lt;&gt;"",OR(NOT(ISNUMBER(K243)),N(K243)&lt;0)),"Saldo L2 no numerico o negativo. ","")&amp;IF(AND(H243&lt;&gt;"",H243&lt;TEXT(TODAY(),"yyyy-mm-dd"),G243&gt;=$P$2,K243="",OR(N(J243)&gt;0,N(M242)&gt;0)),"Falta cerrar el Saldo L2 de este dia. ","")&amp;IF(AND(H243&lt;&gt;"",SUMPRODUCT((Registros!$C$2:$C$3000=H243)*ISTEXT(Registros!$AP$2:$AP$3000))&gt;0),"Hay P/L guardado como texto en Registros (no suma). ","")))</f>
        <v/>
      </c>
    </row>
    <row r="244" customFormat="false" ht="15" hidden="false" customHeight="true" outlineLevel="0" collapsed="false">
      <c r="A244" s="13" t="n">
        <f aca="false">IF(D243="","",IF(G243&gt;=$P$2,MIN(D243,C243),D243))</f>
        <v>8</v>
      </c>
      <c r="B244" s="13" t="n">
        <f aca="false">IF(A244="","",A244/8)</f>
        <v>1</v>
      </c>
      <c r="C244" s="13" t="n">
        <f aca="false">IF(OR(A244="",B244=""),"",A244+B244)</f>
        <v>9</v>
      </c>
      <c r="D244" s="13" t="n">
        <f aca="false">IF(A244="","",A244+SUMIFS(Registros!$AP:$AP,Registros!$C:$C,H244))</f>
        <v>8</v>
      </c>
      <c r="E244" s="13" t="n">
        <f aca="false">IF(A244="","",ROUND(A244-8*B244,2))</f>
        <v>0</v>
      </c>
      <c r="F244" s="13" t="n">
        <f aca="false">IF(OR(D244="",C244=""),"",D244-C244)</f>
        <v>-1</v>
      </c>
      <c r="G244" s="20" t="n">
        <f aca="false">IF(G243="","",G243+1)</f>
        <v>243</v>
      </c>
      <c r="H244" s="15"/>
      <c r="I244" s="14"/>
      <c r="J244" s="16" t="str">
        <f aca="false">IF(OR(H244="",D244="",C244="",G244&lt;$P$2),"",MAX(0,ROUND(D244-C244,2)))</f>
        <v/>
      </c>
      <c r="K244" s="17"/>
      <c r="L244" s="16" t="str">
        <f aca="false">IF(NOT(ISNUMBER(K244)),"",ROUND(K244-N(M243)-N(J244),2))</f>
        <v/>
      </c>
      <c r="M244" s="16" t="n">
        <f aca="false">IF(ISNUMBER(K244),K244,N(M243))</f>
        <v>0</v>
      </c>
      <c r="N244" s="0" t="str">
        <f aca="true">IF(AND(H244="",K244=""),"",TRIM(IF(AND(H244&lt;&gt;"",NOT(AND(LEN(H244)=10,MID(H244,5,1)="-",MID(H244,8,1)="-"))),"Fecha con formato invalido (usa AAAA-MM-DD). ","")&amp;IF(AND(H244&lt;&gt;"",COUNTIF($H$2:$H$367,H244)&gt;1),"Fecha repetida en otro dia. ","")&amp;IF(AND(H244&lt;&gt;"",H243&lt;&gt;"",H244&lt;=H243),"La fecha no es posterior a la del dia anterior. ","")&amp;IF(AND(H244&lt;&gt;"",ISNUMBER(A244),ISNUMBER(D243),ISNUMBER(C243),ABS(A244-IF(G243&gt;=$P$2,MIN(D243,C243),D243))&gt;0.005),"Bank roll inicial no sigue la regla del dia anterior (alguien sobrescribio la formula). ","")&amp;IF(AND(H244&lt;&gt;"",ISNUMBER(B244),ISNUMBER(A244),ABS(B244-A244/8)&gt;0.00001),"Stake distinto de Bank roll/8. ","")&amp;IF(AND(H244&lt;&gt;"",ISNUMBER(E244),ABS(E244)&gt;0.005),"Residuo distinto de 0. ","")&amp;IF(AND(K244&lt;&gt;"",OR(NOT(ISNUMBER(K244)),N(K244)&lt;0)),"Saldo L2 no numerico o negativo. ","")&amp;IF(AND(H244&lt;&gt;"",H244&lt;TEXT(TODAY(),"yyyy-mm-dd"),G244&gt;=$P$2,K244="",OR(N(J244)&gt;0,N(M243)&gt;0)),"Falta cerrar el Saldo L2 de este dia. ","")&amp;IF(AND(H244&lt;&gt;"",SUMPRODUCT((Registros!$C$2:$C$3000=H244)*ISTEXT(Registros!$AP$2:$AP$3000))&gt;0),"Hay P/L guardado como texto en Registros (no suma). ","")))</f>
        <v/>
      </c>
    </row>
    <row r="245" customFormat="false" ht="15" hidden="false" customHeight="true" outlineLevel="0" collapsed="false">
      <c r="A245" s="13" t="n">
        <f aca="false">IF(D244="","",IF(G244&gt;=$P$2,MIN(D244,C244),D244))</f>
        <v>8</v>
      </c>
      <c r="B245" s="13" t="n">
        <f aca="false">IF(A245="","",A245/8)</f>
        <v>1</v>
      </c>
      <c r="C245" s="13" t="n">
        <f aca="false">IF(OR(A245="",B245=""),"",A245+B245)</f>
        <v>9</v>
      </c>
      <c r="D245" s="13" t="n">
        <f aca="false">IF(A245="","",A245+SUMIFS(Registros!$AP:$AP,Registros!$C:$C,H245))</f>
        <v>8</v>
      </c>
      <c r="E245" s="13" t="n">
        <f aca="false">IF(A245="","",ROUND(A245-8*B245,2))</f>
        <v>0</v>
      </c>
      <c r="F245" s="13" t="n">
        <f aca="false">IF(OR(D245="",C245=""),"",D245-C245)</f>
        <v>-1</v>
      </c>
      <c r="G245" s="20" t="n">
        <f aca="false">IF(G244="","",G244+1)</f>
        <v>244</v>
      </c>
      <c r="H245" s="15"/>
      <c r="I245" s="14"/>
      <c r="J245" s="16" t="str">
        <f aca="false">IF(OR(H245="",D245="",C245="",G245&lt;$P$2),"",MAX(0,ROUND(D245-C245,2)))</f>
        <v/>
      </c>
      <c r="K245" s="17"/>
      <c r="L245" s="16" t="str">
        <f aca="false">IF(NOT(ISNUMBER(K245)),"",ROUND(K245-N(M244)-N(J245),2))</f>
        <v/>
      </c>
      <c r="M245" s="16" t="n">
        <f aca="false">IF(ISNUMBER(K245),K245,N(M244))</f>
        <v>0</v>
      </c>
      <c r="N245" s="0" t="str">
        <f aca="true">IF(AND(H245="",K245=""),"",TRIM(IF(AND(H245&lt;&gt;"",NOT(AND(LEN(H245)=10,MID(H245,5,1)="-",MID(H245,8,1)="-"))),"Fecha con formato invalido (usa AAAA-MM-DD). ","")&amp;IF(AND(H245&lt;&gt;"",COUNTIF($H$2:$H$367,H245)&gt;1),"Fecha repetida en otro dia. ","")&amp;IF(AND(H245&lt;&gt;"",H244&lt;&gt;"",H245&lt;=H244),"La fecha no es posterior a la del dia anterior. ","")&amp;IF(AND(H245&lt;&gt;"",ISNUMBER(A245),ISNUMBER(D244),ISNUMBER(C244),ABS(A245-IF(G244&gt;=$P$2,MIN(D244,C244),D244))&gt;0.005),"Bank roll inicial no sigue la regla del dia anterior (alguien sobrescribio la formula). ","")&amp;IF(AND(H245&lt;&gt;"",ISNUMBER(B245),ISNUMBER(A245),ABS(B245-A245/8)&gt;0.00001),"Stake distinto de Bank roll/8. ","")&amp;IF(AND(H245&lt;&gt;"",ISNUMBER(E245),ABS(E245)&gt;0.005),"Residuo distinto de 0. ","")&amp;IF(AND(K245&lt;&gt;"",OR(NOT(ISNUMBER(K245)),N(K245)&lt;0)),"Saldo L2 no numerico o negativo. ","")&amp;IF(AND(H245&lt;&gt;"",H245&lt;TEXT(TODAY(),"yyyy-mm-dd"),G245&gt;=$P$2,K245="",OR(N(J245)&gt;0,N(M244)&gt;0)),"Falta cerrar el Saldo L2 de este dia. ","")&amp;IF(AND(H245&lt;&gt;"",SUMPRODUCT((Registros!$C$2:$C$3000=H245)*ISTEXT(Registros!$AP$2:$AP$3000))&gt;0),"Hay P/L guardado como texto en Registros (no suma). ","")))</f>
        <v/>
      </c>
    </row>
    <row r="246" customFormat="false" ht="15" hidden="false" customHeight="true" outlineLevel="0" collapsed="false">
      <c r="A246" s="13" t="n">
        <f aca="false">IF(D245="","",IF(G245&gt;=$P$2,MIN(D245,C245),D245))</f>
        <v>8</v>
      </c>
      <c r="B246" s="13" t="n">
        <f aca="false">IF(A246="","",A246/8)</f>
        <v>1</v>
      </c>
      <c r="C246" s="13" t="n">
        <f aca="false">IF(OR(A246="",B246=""),"",A246+B246)</f>
        <v>9</v>
      </c>
      <c r="D246" s="13" t="n">
        <f aca="false">IF(A246="","",A246+SUMIFS(Registros!$AP:$AP,Registros!$C:$C,H246))</f>
        <v>8</v>
      </c>
      <c r="E246" s="13" t="n">
        <f aca="false">IF(A246="","",ROUND(A246-8*B246,2))</f>
        <v>0</v>
      </c>
      <c r="F246" s="13" t="n">
        <f aca="false">IF(OR(D246="",C246=""),"",D246-C246)</f>
        <v>-1</v>
      </c>
      <c r="G246" s="20" t="n">
        <f aca="false">IF(G245="","",G245+1)</f>
        <v>245</v>
      </c>
      <c r="H246" s="15"/>
      <c r="I246" s="14"/>
      <c r="J246" s="16" t="str">
        <f aca="false">IF(OR(H246="",D246="",C246="",G246&lt;$P$2),"",MAX(0,ROUND(D246-C246,2)))</f>
        <v/>
      </c>
      <c r="K246" s="17"/>
      <c r="L246" s="16" t="str">
        <f aca="false">IF(NOT(ISNUMBER(K246)),"",ROUND(K246-N(M245)-N(J246),2))</f>
        <v/>
      </c>
      <c r="M246" s="16" t="n">
        <f aca="false">IF(ISNUMBER(K246),K246,N(M245))</f>
        <v>0</v>
      </c>
      <c r="N246" s="0" t="str">
        <f aca="true">IF(AND(H246="",K246=""),"",TRIM(IF(AND(H246&lt;&gt;"",NOT(AND(LEN(H246)=10,MID(H246,5,1)="-",MID(H246,8,1)="-"))),"Fecha con formato invalido (usa AAAA-MM-DD). ","")&amp;IF(AND(H246&lt;&gt;"",COUNTIF($H$2:$H$367,H246)&gt;1),"Fecha repetida en otro dia. ","")&amp;IF(AND(H246&lt;&gt;"",H245&lt;&gt;"",H246&lt;=H245),"La fecha no es posterior a la del dia anterior. ","")&amp;IF(AND(H246&lt;&gt;"",ISNUMBER(A246),ISNUMBER(D245),ISNUMBER(C245),ABS(A246-IF(G245&gt;=$P$2,MIN(D245,C245),D245))&gt;0.005),"Bank roll inicial no sigue la regla del dia anterior (alguien sobrescribio la formula). ","")&amp;IF(AND(H246&lt;&gt;"",ISNUMBER(B246),ISNUMBER(A246),ABS(B246-A246/8)&gt;0.00001),"Stake distinto de Bank roll/8. ","")&amp;IF(AND(H246&lt;&gt;"",ISNUMBER(E246),ABS(E246)&gt;0.005),"Residuo distinto de 0. ","")&amp;IF(AND(K246&lt;&gt;"",OR(NOT(ISNUMBER(K246)),N(K246)&lt;0)),"Saldo L2 no numerico o negativo. ","")&amp;IF(AND(H246&lt;&gt;"",H246&lt;TEXT(TODAY(),"yyyy-mm-dd"),G246&gt;=$P$2,K246="",OR(N(J246)&gt;0,N(M245)&gt;0)),"Falta cerrar el Saldo L2 de este dia. ","")&amp;IF(AND(H246&lt;&gt;"",SUMPRODUCT((Registros!$C$2:$C$3000=H246)*ISTEXT(Registros!$AP$2:$AP$3000))&gt;0),"Hay P/L guardado como texto en Registros (no suma). ","")))</f>
        <v/>
      </c>
    </row>
    <row r="247" customFormat="false" ht="15" hidden="false" customHeight="true" outlineLevel="0" collapsed="false">
      <c r="A247" s="13" t="n">
        <f aca="false">IF(D246="","",IF(G246&gt;=$P$2,MIN(D246,C246),D246))</f>
        <v>8</v>
      </c>
      <c r="B247" s="13" t="n">
        <f aca="false">IF(A247="","",A247/8)</f>
        <v>1</v>
      </c>
      <c r="C247" s="13" t="n">
        <f aca="false">IF(OR(A247="",B247=""),"",A247+B247)</f>
        <v>9</v>
      </c>
      <c r="D247" s="13" t="n">
        <f aca="false">IF(A247="","",A247+SUMIFS(Registros!$AP:$AP,Registros!$C:$C,H247))</f>
        <v>8</v>
      </c>
      <c r="E247" s="13" t="n">
        <f aca="false">IF(A247="","",ROUND(A247-8*B247,2))</f>
        <v>0</v>
      </c>
      <c r="F247" s="13" t="n">
        <f aca="false">IF(OR(D247="",C247=""),"",D247-C247)</f>
        <v>-1</v>
      </c>
      <c r="G247" s="20" t="n">
        <f aca="false">IF(G246="","",G246+1)</f>
        <v>246</v>
      </c>
      <c r="H247" s="15"/>
      <c r="I247" s="14"/>
      <c r="J247" s="16" t="str">
        <f aca="false">IF(OR(H247="",D247="",C247="",G247&lt;$P$2),"",MAX(0,ROUND(D247-C247,2)))</f>
        <v/>
      </c>
      <c r="K247" s="17"/>
      <c r="L247" s="16" t="str">
        <f aca="false">IF(NOT(ISNUMBER(K247)),"",ROUND(K247-N(M246)-N(J247),2))</f>
        <v/>
      </c>
      <c r="M247" s="16" t="n">
        <f aca="false">IF(ISNUMBER(K247),K247,N(M246))</f>
        <v>0</v>
      </c>
      <c r="N247" s="0" t="str">
        <f aca="true">IF(AND(H247="",K247=""),"",TRIM(IF(AND(H247&lt;&gt;"",NOT(AND(LEN(H247)=10,MID(H247,5,1)="-",MID(H247,8,1)="-"))),"Fecha con formato invalido (usa AAAA-MM-DD). ","")&amp;IF(AND(H247&lt;&gt;"",COUNTIF($H$2:$H$367,H247)&gt;1),"Fecha repetida en otro dia. ","")&amp;IF(AND(H247&lt;&gt;"",H246&lt;&gt;"",H247&lt;=H246),"La fecha no es posterior a la del dia anterior. ","")&amp;IF(AND(H247&lt;&gt;"",ISNUMBER(A247),ISNUMBER(D246),ISNUMBER(C246),ABS(A247-IF(G246&gt;=$P$2,MIN(D246,C246),D246))&gt;0.005),"Bank roll inicial no sigue la regla del dia anterior (alguien sobrescribio la formula). ","")&amp;IF(AND(H247&lt;&gt;"",ISNUMBER(B247),ISNUMBER(A247),ABS(B247-A247/8)&gt;0.00001),"Stake distinto de Bank roll/8. ","")&amp;IF(AND(H247&lt;&gt;"",ISNUMBER(E247),ABS(E247)&gt;0.005),"Residuo distinto de 0. ","")&amp;IF(AND(K247&lt;&gt;"",OR(NOT(ISNUMBER(K247)),N(K247)&lt;0)),"Saldo L2 no numerico o negativo. ","")&amp;IF(AND(H247&lt;&gt;"",H247&lt;TEXT(TODAY(),"yyyy-mm-dd"),G247&gt;=$P$2,K247="",OR(N(J247)&gt;0,N(M246)&gt;0)),"Falta cerrar el Saldo L2 de este dia. ","")&amp;IF(AND(H247&lt;&gt;"",SUMPRODUCT((Registros!$C$2:$C$3000=H247)*ISTEXT(Registros!$AP$2:$AP$3000))&gt;0),"Hay P/L guardado como texto en Registros (no suma). ","")))</f>
        <v/>
      </c>
    </row>
    <row r="248" customFormat="false" ht="15" hidden="false" customHeight="true" outlineLevel="0" collapsed="false">
      <c r="A248" s="13" t="n">
        <f aca="false">IF(D247="","",IF(G247&gt;=$P$2,MIN(D247,C247),D247))</f>
        <v>8</v>
      </c>
      <c r="B248" s="13" t="n">
        <f aca="false">IF(A248="","",A248/8)</f>
        <v>1</v>
      </c>
      <c r="C248" s="13" t="n">
        <f aca="false">IF(OR(A248="",B248=""),"",A248+B248)</f>
        <v>9</v>
      </c>
      <c r="D248" s="13" t="n">
        <f aca="false">IF(A248="","",A248+SUMIFS(Registros!$AP:$AP,Registros!$C:$C,H248))</f>
        <v>8</v>
      </c>
      <c r="E248" s="13" t="n">
        <f aca="false">IF(A248="","",ROUND(A248-8*B248,2))</f>
        <v>0</v>
      </c>
      <c r="F248" s="13" t="n">
        <f aca="false">IF(OR(D248="",C248=""),"",D248-C248)</f>
        <v>-1</v>
      </c>
      <c r="G248" s="20" t="n">
        <f aca="false">IF(G247="","",G247+1)</f>
        <v>247</v>
      </c>
      <c r="H248" s="15"/>
      <c r="I248" s="14"/>
      <c r="J248" s="16" t="str">
        <f aca="false">IF(OR(H248="",D248="",C248="",G248&lt;$P$2),"",MAX(0,ROUND(D248-C248,2)))</f>
        <v/>
      </c>
      <c r="K248" s="17"/>
      <c r="L248" s="16" t="str">
        <f aca="false">IF(NOT(ISNUMBER(K248)),"",ROUND(K248-N(M247)-N(J248),2))</f>
        <v/>
      </c>
      <c r="M248" s="16" t="n">
        <f aca="false">IF(ISNUMBER(K248),K248,N(M247))</f>
        <v>0</v>
      </c>
      <c r="N248" s="0" t="str">
        <f aca="true">IF(AND(H248="",K248=""),"",TRIM(IF(AND(H248&lt;&gt;"",NOT(AND(LEN(H248)=10,MID(H248,5,1)="-",MID(H248,8,1)="-"))),"Fecha con formato invalido (usa AAAA-MM-DD). ","")&amp;IF(AND(H248&lt;&gt;"",COUNTIF($H$2:$H$367,H248)&gt;1),"Fecha repetida en otro dia. ","")&amp;IF(AND(H248&lt;&gt;"",H247&lt;&gt;"",H248&lt;=H247),"La fecha no es posterior a la del dia anterior. ","")&amp;IF(AND(H248&lt;&gt;"",ISNUMBER(A248),ISNUMBER(D247),ISNUMBER(C247),ABS(A248-IF(G247&gt;=$P$2,MIN(D247,C247),D247))&gt;0.005),"Bank roll inicial no sigue la regla del dia anterior (alguien sobrescribio la formula). ","")&amp;IF(AND(H248&lt;&gt;"",ISNUMBER(B248),ISNUMBER(A248),ABS(B248-A248/8)&gt;0.00001),"Stake distinto de Bank roll/8. ","")&amp;IF(AND(H248&lt;&gt;"",ISNUMBER(E248),ABS(E248)&gt;0.005),"Residuo distinto de 0. ","")&amp;IF(AND(K248&lt;&gt;"",OR(NOT(ISNUMBER(K248)),N(K248)&lt;0)),"Saldo L2 no numerico o negativo. ","")&amp;IF(AND(H248&lt;&gt;"",H248&lt;TEXT(TODAY(),"yyyy-mm-dd"),G248&gt;=$P$2,K248="",OR(N(J248)&gt;0,N(M247)&gt;0)),"Falta cerrar el Saldo L2 de este dia. ","")&amp;IF(AND(H248&lt;&gt;"",SUMPRODUCT((Registros!$C$2:$C$3000=H248)*ISTEXT(Registros!$AP$2:$AP$3000))&gt;0),"Hay P/L guardado como texto en Registros (no suma). ","")))</f>
        <v/>
      </c>
    </row>
    <row r="249" customFormat="false" ht="15" hidden="false" customHeight="true" outlineLevel="0" collapsed="false">
      <c r="A249" s="13" t="n">
        <f aca="false">IF(D248="","",IF(G248&gt;=$P$2,MIN(D248,C248),D248))</f>
        <v>8</v>
      </c>
      <c r="B249" s="13" t="n">
        <f aca="false">IF(A249="","",A249/8)</f>
        <v>1</v>
      </c>
      <c r="C249" s="13" t="n">
        <f aca="false">IF(OR(A249="",B249=""),"",A249+B249)</f>
        <v>9</v>
      </c>
      <c r="D249" s="13" t="n">
        <f aca="false">IF(A249="","",A249+SUMIFS(Registros!$AP:$AP,Registros!$C:$C,H249))</f>
        <v>8</v>
      </c>
      <c r="E249" s="13" t="n">
        <f aca="false">IF(A249="","",ROUND(A249-8*B249,2))</f>
        <v>0</v>
      </c>
      <c r="F249" s="13" t="n">
        <f aca="false">IF(OR(D249="",C249=""),"",D249-C249)</f>
        <v>-1</v>
      </c>
      <c r="G249" s="20" t="n">
        <f aca="false">IF(G248="","",G248+1)</f>
        <v>248</v>
      </c>
      <c r="H249" s="15"/>
      <c r="I249" s="14"/>
      <c r="J249" s="16" t="str">
        <f aca="false">IF(OR(H249="",D249="",C249="",G249&lt;$P$2),"",MAX(0,ROUND(D249-C249,2)))</f>
        <v/>
      </c>
      <c r="K249" s="17"/>
      <c r="L249" s="16" t="str">
        <f aca="false">IF(NOT(ISNUMBER(K249)),"",ROUND(K249-N(M248)-N(J249),2))</f>
        <v/>
      </c>
      <c r="M249" s="16" t="n">
        <f aca="false">IF(ISNUMBER(K249),K249,N(M248))</f>
        <v>0</v>
      </c>
      <c r="N249" s="0" t="str">
        <f aca="true">IF(AND(H249="",K249=""),"",TRIM(IF(AND(H249&lt;&gt;"",NOT(AND(LEN(H249)=10,MID(H249,5,1)="-",MID(H249,8,1)="-"))),"Fecha con formato invalido (usa AAAA-MM-DD). ","")&amp;IF(AND(H249&lt;&gt;"",COUNTIF($H$2:$H$367,H249)&gt;1),"Fecha repetida en otro dia. ","")&amp;IF(AND(H249&lt;&gt;"",H248&lt;&gt;"",H249&lt;=H248),"La fecha no es posterior a la del dia anterior. ","")&amp;IF(AND(H249&lt;&gt;"",ISNUMBER(A249),ISNUMBER(D248),ISNUMBER(C248),ABS(A249-IF(G248&gt;=$P$2,MIN(D248,C248),D248))&gt;0.005),"Bank roll inicial no sigue la regla del dia anterior (alguien sobrescribio la formula). ","")&amp;IF(AND(H249&lt;&gt;"",ISNUMBER(B249),ISNUMBER(A249),ABS(B249-A249/8)&gt;0.00001),"Stake distinto de Bank roll/8. ","")&amp;IF(AND(H249&lt;&gt;"",ISNUMBER(E249),ABS(E249)&gt;0.005),"Residuo distinto de 0. ","")&amp;IF(AND(K249&lt;&gt;"",OR(NOT(ISNUMBER(K249)),N(K249)&lt;0)),"Saldo L2 no numerico o negativo. ","")&amp;IF(AND(H249&lt;&gt;"",H249&lt;TEXT(TODAY(),"yyyy-mm-dd"),G249&gt;=$P$2,K249="",OR(N(J249)&gt;0,N(M248)&gt;0)),"Falta cerrar el Saldo L2 de este dia. ","")&amp;IF(AND(H249&lt;&gt;"",SUMPRODUCT((Registros!$C$2:$C$3000=H249)*ISTEXT(Registros!$AP$2:$AP$3000))&gt;0),"Hay P/L guardado como texto en Registros (no suma). ","")))</f>
        <v/>
      </c>
    </row>
    <row r="250" customFormat="false" ht="15" hidden="false" customHeight="true" outlineLevel="0" collapsed="false">
      <c r="A250" s="13" t="n">
        <f aca="false">IF(D249="","",IF(G249&gt;=$P$2,MIN(D249,C249),D249))</f>
        <v>8</v>
      </c>
      <c r="B250" s="13" t="n">
        <f aca="false">IF(A250="","",A250/8)</f>
        <v>1</v>
      </c>
      <c r="C250" s="13" t="n">
        <f aca="false">IF(OR(A250="",B250=""),"",A250+B250)</f>
        <v>9</v>
      </c>
      <c r="D250" s="13" t="n">
        <f aca="false">IF(A250="","",A250+SUMIFS(Registros!$AP:$AP,Registros!$C:$C,H250))</f>
        <v>8</v>
      </c>
      <c r="E250" s="13" t="n">
        <f aca="false">IF(A250="","",ROUND(A250-8*B250,2))</f>
        <v>0</v>
      </c>
      <c r="F250" s="13" t="n">
        <f aca="false">IF(OR(D250="",C250=""),"",D250-C250)</f>
        <v>-1</v>
      </c>
      <c r="G250" s="20" t="n">
        <f aca="false">IF(G249="","",G249+1)</f>
        <v>249</v>
      </c>
      <c r="H250" s="15"/>
      <c r="I250" s="14"/>
      <c r="J250" s="16" t="str">
        <f aca="false">IF(OR(H250="",D250="",C250="",G250&lt;$P$2),"",MAX(0,ROUND(D250-C250,2)))</f>
        <v/>
      </c>
      <c r="K250" s="17"/>
      <c r="L250" s="16" t="str">
        <f aca="false">IF(NOT(ISNUMBER(K250)),"",ROUND(K250-N(M249)-N(J250),2))</f>
        <v/>
      </c>
      <c r="M250" s="16" t="n">
        <f aca="false">IF(ISNUMBER(K250),K250,N(M249))</f>
        <v>0</v>
      </c>
      <c r="N250" s="0" t="str">
        <f aca="true">IF(AND(H250="",K250=""),"",TRIM(IF(AND(H250&lt;&gt;"",NOT(AND(LEN(H250)=10,MID(H250,5,1)="-",MID(H250,8,1)="-"))),"Fecha con formato invalido (usa AAAA-MM-DD). ","")&amp;IF(AND(H250&lt;&gt;"",COUNTIF($H$2:$H$367,H250)&gt;1),"Fecha repetida en otro dia. ","")&amp;IF(AND(H250&lt;&gt;"",H249&lt;&gt;"",H250&lt;=H249),"La fecha no es posterior a la del dia anterior. ","")&amp;IF(AND(H250&lt;&gt;"",ISNUMBER(A250),ISNUMBER(D249),ISNUMBER(C249),ABS(A250-IF(G249&gt;=$P$2,MIN(D249,C249),D249))&gt;0.005),"Bank roll inicial no sigue la regla del dia anterior (alguien sobrescribio la formula). ","")&amp;IF(AND(H250&lt;&gt;"",ISNUMBER(B250),ISNUMBER(A250),ABS(B250-A250/8)&gt;0.00001),"Stake distinto de Bank roll/8. ","")&amp;IF(AND(H250&lt;&gt;"",ISNUMBER(E250),ABS(E250)&gt;0.005),"Residuo distinto de 0. ","")&amp;IF(AND(K250&lt;&gt;"",OR(NOT(ISNUMBER(K250)),N(K250)&lt;0)),"Saldo L2 no numerico o negativo. ","")&amp;IF(AND(H250&lt;&gt;"",H250&lt;TEXT(TODAY(),"yyyy-mm-dd"),G250&gt;=$P$2,K250="",OR(N(J250)&gt;0,N(M249)&gt;0)),"Falta cerrar el Saldo L2 de este dia. ","")&amp;IF(AND(H250&lt;&gt;"",SUMPRODUCT((Registros!$C$2:$C$3000=H250)*ISTEXT(Registros!$AP$2:$AP$3000))&gt;0),"Hay P/L guardado como texto en Registros (no suma). ","")))</f>
        <v/>
      </c>
    </row>
    <row r="251" customFormat="false" ht="15" hidden="false" customHeight="true" outlineLevel="0" collapsed="false">
      <c r="A251" s="13" t="n">
        <f aca="false">IF(D250="","",IF(G250&gt;=$P$2,MIN(D250,C250),D250))</f>
        <v>8</v>
      </c>
      <c r="B251" s="13" t="n">
        <f aca="false">IF(A251="","",A251/8)</f>
        <v>1</v>
      </c>
      <c r="C251" s="13" t="n">
        <f aca="false">IF(OR(A251="",B251=""),"",A251+B251)</f>
        <v>9</v>
      </c>
      <c r="D251" s="13" t="n">
        <f aca="false">IF(A251="","",A251+SUMIFS(Registros!$AP:$AP,Registros!$C:$C,H251))</f>
        <v>8</v>
      </c>
      <c r="E251" s="13" t="n">
        <f aca="false">IF(A251="","",ROUND(A251-8*B251,2))</f>
        <v>0</v>
      </c>
      <c r="F251" s="13" t="n">
        <f aca="false">IF(OR(D251="",C251=""),"",D251-C251)</f>
        <v>-1</v>
      </c>
      <c r="G251" s="20" t="n">
        <f aca="false">IF(G250="","",G250+1)</f>
        <v>250</v>
      </c>
      <c r="H251" s="15"/>
      <c r="I251" s="14"/>
      <c r="J251" s="16" t="str">
        <f aca="false">IF(OR(H251="",D251="",C251="",G251&lt;$P$2),"",MAX(0,ROUND(D251-C251,2)))</f>
        <v/>
      </c>
      <c r="K251" s="17"/>
      <c r="L251" s="16" t="str">
        <f aca="false">IF(NOT(ISNUMBER(K251)),"",ROUND(K251-N(M250)-N(J251),2))</f>
        <v/>
      </c>
      <c r="M251" s="16" t="n">
        <f aca="false">IF(ISNUMBER(K251),K251,N(M250))</f>
        <v>0</v>
      </c>
      <c r="N251" s="0" t="str">
        <f aca="true">IF(AND(H251="",K251=""),"",TRIM(IF(AND(H251&lt;&gt;"",NOT(AND(LEN(H251)=10,MID(H251,5,1)="-",MID(H251,8,1)="-"))),"Fecha con formato invalido (usa AAAA-MM-DD). ","")&amp;IF(AND(H251&lt;&gt;"",COUNTIF($H$2:$H$367,H251)&gt;1),"Fecha repetida en otro dia. ","")&amp;IF(AND(H251&lt;&gt;"",H250&lt;&gt;"",H251&lt;=H250),"La fecha no es posterior a la del dia anterior. ","")&amp;IF(AND(H251&lt;&gt;"",ISNUMBER(A251),ISNUMBER(D250),ISNUMBER(C250),ABS(A251-IF(G250&gt;=$P$2,MIN(D250,C250),D250))&gt;0.005),"Bank roll inicial no sigue la regla del dia anterior (alguien sobrescribio la formula). ","")&amp;IF(AND(H251&lt;&gt;"",ISNUMBER(B251),ISNUMBER(A251),ABS(B251-A251/8)&gt;0.00001),"Stake distinto de Bank roll/8. ","")&amp;IF(AND(H251&lt;&gt;"",ISNUMBER(E251),ABS(E251)&gt;0.005),"Residuo distinto de 0. ","")&amp;IF(AND(K251&lt;&gt;"",OR(NOT(ISNUMBER(K251)),N(K251)&lt;0)),"Saldo L2 no numerico o negativo. ","")&amp;IF(AND(H251&lt;&gt;"",H251&lt;TEXT(TODAY(),"yyyy-mm-dd"),G251&gt;=$P$2,K251="",OR(N(J251)&gt;0,N(M250)&gt;0)),"Falta cerrar el Saldo L2 de este dia. ","")&amp;IF(AND(H251&lt;&gt;"",SUMPRODUCT((Registros!$C$2:$C$3000=H251)*ISTEXT(Registros!$AP$2:$AP$3000))&gt;0),"Hay P/L guardado como texto en Registros (no suma). ","")))</f>
        <v/>
      </c>
    </row>
    <row r="252" customFormat="false" ht="15" hidden="false" customHeight="true" outlineLevel="0" collapsed="false">
      <c r="A252" s="13" t="n">
        <f aca="false">IF(D251="","",IF(G251&gt;=$P$2,MIN(D251,C251),D251))</f>
        <v>8</v>
      </c>
      <c r="B252" s="13" t="n">
        <f aca="false">IF(A252="","",A252/8)</f>
        <v>1</v>
      </c>
      <c r="C252" s="13" t="n">
        <f aca="false">IF(OR(A252="",B252=""),"",A252+B252)</f>
        <v>9</v>
      </c>
      <c r="D252" s="13" t="n">
        <f aca="false">IF(A252="","",A252+SUMIFS(Registros!$AP:$AP,Registros!$C:$C,H252))</f>
        <v>8</v>
      </c>
      <c r="E252" s="13" t="n">
        <f aca="false">IF(A252="","",ROUND(A252-8*B252,2))</f>
        <v>0</v>
      </c>
      <c r="F252" s="13" t="n">
        <f aca="false">IF(OR(D252="",C252=""),"",D252-C252)</f>
        <v>-1</v>
      </c>
      <c r="G252" s="20" t="n">
        <f aca="false">IF(G251="","",G251+1)</f>
        <v>251</v>
      </c>
      <c r="H252" s="15"/>
      <c r="I252" s="14"/>
      <c r="J252" s="16" t="str">
        <f aca="false">IF(OR(H252="",D252="",C252="",G252&lt;$P$2),"",MAX(0,ROUND(D252-C252,2)))</f>
        <v/>
      </c>
      <c r="K252" s="17"/>
      <c r="L252" s="16" t="str">
        <f aca="false">IF(NOT(ISNUMBER(K252)),"",ROUND(K252-N(M251)-N(J252),2))</f>
        <v/>
      </c>
      <c r="M252" s="16" t="n">
        <f aca="false">IF(ISNUMBER(K252),K252,N(M251))</f>
        <v>0</v>
      </c>
      <c r="N252" s="0" t="str">
        <f aca="true">IF(AND(H252="",K252=""),"",TRIM(IF(AND(H252&lt;&gt;"",NOT(AND(LEN(H252)=10,MID(H252,5,1)="-",MID(H252,8,1)="-"))),"Fecha con formato invalido (usa AAAA-MM-DD). ","")&amp;IF(AND(H252&lt;&gt;"",COUNTIF($H$2:$H$367,H252)&gt;1),"Fecha repetida en otro dia. ","")&amp;IF(AND(H252&lt;&gt;"",H251&lt;&gt;"",H252&lt;=H251),"La fecha no es posterior a la del dia anterior. ","")&amp;IF(AND(H252&lt;&gt;"",ISNUMBER(A252),ISNUMBER(D251),ISNUMBER(C251),ABS(A252-IF(G251&gt;=$P$2,MIN(D251,C251),D251))&gt;0.005),"Bank roll inicial no sigue la regla del dia anterior (alguien sobrescribio la formula). ","")&amp;IF(AND(H252&lt;&gt;"",ISNUMBER(B252),ISNUMBER(A252),ABS(B252-A252/8)&gt;0.00001),"Stake distinto de Bank roll/8. ","")&amp;IF(AND(H252&lt;&gt;"",ISNUMBER(E252),ABS(E252)&gt;0.005),"Residuo distinto de 0. ","")&amp;IF(AND(K252&lt;&gt;"",OR(NOT(ISNUMBER(K252)),N(K252)&lt;0)),"Saldo L2 no numerico o negativo. ","")&amp;IF(AND(H252&lt;&gt;"",H252&lt;TEXT(TODAY(),"yyyy-mm-dd"),G252&gt;=$P$2,K252="",OR(N(J252)&gt;0,N(M251)&gt;0)),"Falta cerrar el Saldo L2 de este dia. ","")&amp;IF(AND(H252&lt;&gt;"",SUMPRODUCT((Registros!$C$2:$C$3000=H252)*ISTEXT(Registros!$AP$2:$AP$3000))&gt;0),"Hay P/L guardado como texto en Registros (no suma). ","")))</f>
        <v/>
      </c>
    </row>
    <row r="253" customFormat="false" ht="15" hidden="false" customHeight="true" outlineLevel="0" collapsed="false">
      <c r="A253" s="13" t="n">
        <f aca="false">IF(D252="","",IF(G252&gt;=$P$2,MIN(D252,C252),D252))</f>
        <v>8</v>
      </c>
      <c r="B253" s="13" t="n">
        <f aca="false">IF(A253="","",A253/8)</f>
        <v>1</v>
      </c>
      <c r="C253" s="13" t="n">
        <f aca="false">IF(OR(A253="",B253=""),"",A253+B253)</f>
        <v>9</v>
      </c>
      <c r="D253" s="13" t="n">
        <f aca="false">IF(A253="","",A253+SUMIFS(Registros!$AP:$AP,Registros!$C:$C,H253))</f>
        <v>8</v>
      </c>
      <c r="E253" s="13" t="n">
        <f aca="false">IF(A253="","",ROUND(A253-8*B253,2))</f>
        <v>0</v>
      </c>
      <c r="F253" s="13" t="n">
        <f aca="false">IF(OR(D253="",C253=""),"",D253-C253)</f>
        <v>-1</v>
      </c>
      <c r="G253" s="20" t="n">
        <f aca="false">IF(G252="","",G252+1)</f>
        <v>252</v>
      </c>
      <c r="H253" s="15"/>
      <c r="I253" s="14"/>
      <c r="J253" s="16" t="str">
        <f aca="false">IF(OR(H253="",D253="",C253="",G253&lt;$P$2),"",MAX(0,ROUND(D253-C253,2)))</f>
        <v/>
      </c>
      <c r="K253" s="17"/>
      <c r="L253" s="16" t="str">
        <f aca="false">IF(NOT(ISNUMBER(K253)),"",ROUND(K253-N(M252)-N(J253),2))</f>
        <v/>
      </c>
      <c r="M253" s="16" t="n">
        <f aca="false">IF(ISNUMBER(K253),K253,N(M252))</f>
        <v>0</v>
      </c>
      <c r="N253" s="0" t="str">
        <f aca="true">IF(AND(H253="",K253=""),"",TRIM(IF(AND(H253&lt;&gt;"",NOT(AND(LEN(H253)=10,MID(H253,5,1)="-",MID(H253,8,1)="-"))),"Fecha con formato invalido (usa AAAA-MM-DD). ","")&amp;IF(AND(H253&lt;&gt;"",COUNTIF($H$2:$H$367,H253)&gt;1),"Fecha repetida en otro dia. ","")&amp;IF(AND(H253&lt;&gt;"",H252&lt;&gt;"",H253&lt;=H252),"La fecha no es posterior a la del dia anterior. ","")&amp;IF(AND(H253&lt;&gt;"",ISNUMBER(A253),ISNUMBER(D252),ISNUMBER(C252),ABS(A253-IF(G252&gt;=$P$2,MIN(D252,C252),D252))&gt;0.005),"Bank roll inicial no sigue la regla del dia anterior (alguien sobrescribio la formula). ","")&amp;IF(AND(H253&lt;&gt;"",ISNUMBER(B253),ISNUMBER(A253),ABS(B253-A253/8)&gt;0.00001),"Stake distinto de Bank roll/8. ","")&amp;IF(AND(H253&lt;&gt;"",ISNUMBER(E253),ABS(E253)&gt;0.005),"Residuo distinto de 0. ","")&amp;IF(AND(K253&lt;&gt;"",OR(NOT(ISNUMBER(K253)),N(K253)&lt;0)),"Saldo L2 no numerico o negativo. ","")&amp;IF(AND(H253&lt;&gt;"",H253&lt;TEXT(TODAY(),"yyyy-mm-dd"),G253&gt;=$P$2,K253="",OR(N(J253)&gt;0,N(M252)&gt;0)),"Falta cerrar el Saldo L2 de este dia. ","")&amp;IF(AND(H253&lt;&gt;"",SUMPRODUCT((Registros!$C$2:$C$3000=H253)*ISTEXT(Registros!$AP$2:$AP$3000))&gt;0),"Hay P/L guardado como texto en Registros (no suma). ","")))</f>
        <v/>
      </c>
    </row>
    <row r="254" customFormat="false" ht="15" hidden="false" customHeight="true" outlineLevel="0" collapsed="false">
      <c r="A254" s="13" t="n">
        <f aca="false">IF(D253="","",IF(G253&gt;=$P$2,MIN(D253,C253),D253))</f>
        <v>8</v>
      </c>
      <c r="B254" s="13" t="n">
        <f aca="false">IF(A254="","",A254/8)</f>
        <v>1</v>
      </c>
      <c r="C254" s="13" t="n">
        <f aca="false">IF(OR(A254="",B254=""),"",A254+B254)</f>
        <v>9</v>
      </c>
      <c r="D254" s="13" t="n">
        <f aca="false">IF(A254="","",A254+SUMIFS(Registros!$AP:$AP,Registros!$C:$C,H254))</f>
        <v>8</v>
      </c>
      <c r="E254" s="13" t="n">
        <f aca="false">IF(A254="","",ROUND(A254-8*B254,2))</f>
        <v>0</v>
      </c>
      <c r="F254" s="13" t="n">
        <f aca="false">IF(OR(D254="",C254=""),"",D254-C254)</f>
        <v>-1</v>
      </c>
      <c r="G254" s="20" t="n">
        <f aca="false">IF(G253="","",G253+1)</f>
        <v>253</v>
      </c>
      <c r="H254" s="15"/>
      <c r="I254" s="14"/>
      <c r="J254" s="16" t="str">
        <f aca="false">IF(OR(H254="",D254="",C254="",G254&lt;$P$2),"",MAX(0,ROUND(D254-C254,2)))</f>
        <v/>
      </c>
      <c r="K254" s="17"/>
      <c r="L254" s="16" t="str">
        <f aca="false">IF(NOT(ISNUMBER(K254)),"",ROUND(K254-N(M253)-N(J254),2))</f>
        <v/>
      </c>
      <c r="M254" s="16" t="n">
        <f aca="false">IF(ISNUMBER(K254),K254,N(M253))</f>
        <v>0</v>
      </c>
      <c r="N254" s="0" t="str">
        <f aca="true">IF(AND(H254="",K254=""),"",TRIM(IF(AND(H254&lt;&gt;"",NOT(AND(LEN(H254)=10,MID(H254,5,1)="-",MID(H254,8,1)="-"))),"Fecha con formato invalido (usa AAAA-MM-DD). ","")&amp;IF(AND(H254&lt;&gt;"",COUNTIF($H$2:$H$367,H254)&gt;1),"Fecha repetida en otro dia. ","")&amp;IF(AND(H254&lt;&gt;"",H253&lt;&gt;"",H254&lt;=H253),"La fecha no es posterior a la del dia anterior. ","")&amp;IF(AND(H254&lt;&gt;"",ISNUMBER(A254),ISNUMBER(D253),ISNUMBER(C253),ABS(A254-IF(G253&gt;=$P$2,MIN(D253,C253),D253))&gt;0.005),"Bank roll inicial no sigue la regla del dia anterior (alguien sobrescribio la formula). ","")&amp;IF(AND(H254&lt;&gt;"",ISNUMBER(B254),ISNUMBER(A254),ABS(B254-A254/8)&gt;0.00001),"Stake distinto de Bank roll/8. ","")&amp;IF(AND(H254&lt;&gt;"",ISNUMBER(E254),ABS(E254)&gt;0.005),"Residuo distinto de 0. ","")&amp;IF(AND(K254&lt;&gt;"",OR(NOT(ISNUMBER(K254)),N(K254)&lt;0)),"Saldo L2 no numerico o negativo. ","")&amp;IF(AND(H254&lt;&gt;"",H254&lt;TEXT(TODAY(),"yyyy-mm-dd"),G254&gt;=$P$2,K254="",OR(N(J254)&gt;0,N(M253)&gt;0)),"Falta cerrar el Saldo L2 de este dia. ","")&amp;IF(AND(H254&lt;&gt;"",SUMPRODUCT((Registros!$C$2:$C$3000=H254)*ISTEXT(Registros!$AP$2:$AP$3000))&gt;0),"Hay P/L guardado como texto en Registros (no suma). ","")))</f>
        <v/>
      </c>
    </row>
    <row r="255" customFormat="false" ht="15" hidden="false" customHeight="true" outlineLevel="0" collapsed="false">
      <c r="A255" s="13" t="n">
        <f aca="false">IF(D254="","",IF(G254&gt;=$P$2,MIN(D254,C254),D254))</f>
        <v>8</v>
      </c>
      <c r="B255" s="13" t="n">
        <f aca="false">IF(A255="","",A255/8)</f>
        <v>1</v>
      </c>
      <c r="C255" s="13" t="n">
        <f aca="false">IF(OR(A255="",B255=""),"",A255+B255)</f>
        <v>9</v>
      </c>
      <c r="D255" s="13" t="n">
        <f aca="false">IF(A255="","",A255+SUMIFS(Registros!$AP:$AP,Registros!$C:$C,H255))</f>
        <v>8</v>
      </c>
      <c r="E255" s="13" t="n">
        <f aca="false">IF(A255="","",ROUND(A255-8*B255,2))</f>
        <v>0</v>
      </c>
      <c r="F255" s="13" t="n">
        <f aca="false">IF(OR(D255="",C255=""),"",D255-C255)</f>
        <v>-1</v>
      </c>
      <c r="G255" s="20" t="n">
        <f aca="false">IF(G254="","",G254+1)</f>
        <v>254</v>
      </c>
      <c r="H255" s="15"/>
      <c r="I255" s="14"/>
      <c r="J255" s="16" t="str">
        <f aca="false">IF(OR(H255="",D255="",C255="",G255&lt;$P$2),"",MAX(0,ROUND(D255-C255,2)))</f>
        <v/>
      </c>
      <c r="K255" s="17"/>
      <c r="L255" s="16" t="str">
        <f aca="false">IF(NOT(ISNUMBER(K255)),"",ROUND(K255-N(M254)-N(J255),2))</f>
        <v/>
      </c>
      <c r="M255" s="16" t="n">
        <f aca="false">IF(ISNUMBER(K255),K255,N(M254))</f>
        <v>0</v>
      </c>
      <c r="N255" s="0" t="str">
        <f aca="true">IF(AND(H255="",K255=""),"",TRIM(IF(AND(H255&lt;&gt;"",NOT(AND(LEN(H255)=10,MID(H255,5,1)="-",MID(H255,8,1)="-"))),"Fecha con formato invalido (usa AAAA-MM-DD). ","")&amp;IF(AND(H255&lt;&gt;"",COUNTIF($H$2:$H$367,H255)&gt;1),"Fecha repetida en otro dia. ","")&amp;IF(AND(H255&lt;&gt;"",H254&lt;&gt;"",H255&lt;=H254),"La fecha no es posterior a la del dia anterior. ","")&amp;IF(AND(H255&lt;&gt;"",ISNUMBER(A255),ISNUMBER(D254),ISNUMBER(C254),ABS(A255-IF(G254&gt;=$P$2,MIN(D254,C254),D254))&gt;0.005),"Bank roll inicial no sigue la regla del dia anterior (alguien sobrescribio la formula). ","")&amp;IF(AND(H255&lt;&gt;"",ISNUMBER(B255),ISNUMBER(A255),ABS(B255-A255/8)&gt;0.00001),"Stake distinto de Bank roll/8. ","")&amp;IF(AND(H255&lt;&gt;"",ISNUMBER(E255),ABS(E255)&gt;0.005),"Residuo distinto de 0. ","")&amp;IF(AND(K255&lt;&gt;"",OR(NOT(ISNUMBER(K255)),N(K255)&lt;0)),"Saldo L2 no numerico o negativo. ","")&amp;IF(AND(H255&lt;&gt;"",H255&lt;TEXT(TODAY(),"yyyy-mm-dd"),G255&gt;=$P$2,K255="",OR(N(J255)&gt;0,N(M254)&gt;0)),"Falta cerrar el Saldo L2 de este dia. ","")&amp;IF(AND(H255&lt;&gt;"",SUMPRODUCT((Registros!$C$2:$C$3000=H255)*ISTEXT(Registros!$AP$2:$AP$3000))&gt;0),"Hay P/L guardado como texto en Registros (no suma). ","")))</f>
        <v/>
      </c>
    </row>
    <row r="256" customFormat="false" ht="15" hidden="false" customHeight="true" outlineLevel="0" collapsed="false">
      <c r="A256" s="13" t="n">
        <f aca="false">IF(D255="","",IF(G255&gt;=$P$2,MIN(D255,C255),D255))</f>
        <v>8</v>
      </c>
      <c r="B256" s="13" t="n">
        <f aca="false">IF(A256="","",A256/8)</f>
        <v>1</v>
      </c>
      <c r="C256" s="13" t="n">
        <f aca="false">IF(OR(A256="",B256=""),"",A256+B256)</f>
        <v>9</v>
      </c>
      <c r="D256" s="13" t="n">
        <f aca="false">IF(A256="","",A256+SUMIFS(Registros!$AP:$AP,Registros!$C:$C,H256))</f>
        <v>8</v>
      </c>
      <c r="E256" s="13" t="n">
        <f aca="false">IF(A256="","",ROUND(A256-8*B256,2))</f>
        <v>0</v>
      </c>
      <c r="F256" s="13" t="n">
        <f aca="false">IF(OR(D256="",C256=""),"",D256-C256)</f>
        <v>-1</v>
      </c>
      <c r="G256" s="20" t="n">
        <f aca="false">IF(G255="","",G255+1)</f>
        <v>255</v>
      </c>
      <c r="H256" s="15"/>
      <c r="I256" s="14"/>
      <c r="J256" s="16" t="str">
        <f aca="false">IF(OR(H256="",D256="",C256="",G256&lt;$P$2),"",MAX(0,ROUND(D256-C256,2)))</f>
        <v/>
      </c>
      <c r="K256" s="17"/>
      <c r="L256" s="16" t="str">
        <f aca="false">IF(NOT(ISNUMBER(K256)),"",ROUND(K256-N(M255)-N(J256),2))</f>
        <v/>
      </c>
      <c r="M256" s="16" t="n">
        <f aca="false">IF(ISNUMBER(K256),K256,N(M255))</f>
        <v>0</v>
      </c>
      <c r="N256" s="0" t="str">
        <f aca="true">IF(AND(H256="",K256=""),"",TRIM(IF(AND(H256&lt;&gt;"",NOT(AND(LEN(H256)=10,MID(H256,5,1)="-",MID(H256,8,1)="-"))),"Fecha con formato invalido (usa AAAA-MM-DD). ","")&amp;IF(AND(H256&lt;&gt;"",COUNTIF($H$2:$H$367,H256)&gt;1),"Fecha repetida en otro dia. ","")&amp;IF(AND(H256&lt;&gt;"",H255&lt;&gt;"",H256&lt;=H255),"La fecha no es posterior a la del dia anterior. ","")&amp;IF(AND(H256&lt;&gt;"",ISNUMBER(A256),ISNUMBER(D255),ISNUMBER(C255),ABS(A256-IF(G255&gt;=$P$2,MIN(D255,C255),D255))&gt;0.005),"Bank roll inicial no sigue la regla del dia anterior (alguien sobrescribio la formula). ","")&amp;IF(AND(H256&lt;&gt;"",ISNUMBER(B256),ISNUMBER(A256),ABS(B256-A256/8)&gt;0.00001),"Stake distinto de Bank roll/8. ","")&amp;IF(AND(H256&lt;&gt;"",ISNUMBER(E256),ABS(E256)&gt;0.005),"Residuo distinto de 0. ","")&amp;IF(AND(K256&lt;&gt;"",OR(NOT(ISNUMBER(K256)),N(K256)&lt;0)),"Saldo L2 no numerico o negativo. ","")&amp;IF(AND(H256&lt;&gt;"",H256&lt;TEXT(TODAY(),"yyyy-mm-dd"),G256&gt;=$P$2,K256="",OR(N(J256)&gt;0,N(M255)&gt;0)),"Falta cerrar el Saldo L2 de este dia. ","")&amp;IF(AND(H256&lt;&gt;"",SUMPRODUCT((Registros!$C$2:$C$3000=H256)*ISTEXT(Registros!$AP$2:$AP$3000))&gt;0),"Hay P/L guardado como texto en Registros (no suma). ","")))</f>
        <v/>
      </c>
    </row>
    <row r="257" customFormat="false" ht="15" hidden="false" customHeight="true" outlineLevel="0" collapsed="false">
      <c r="A257" s="13" t="n">
        <f aca="false">IF(D256="","",IF(G256&gt;=$P$2,MIN(D256,C256),D256))</f>
        <v>8</v>
      </c>
      <c r="B257" s="13" t="n">
        <f aca="false">IF(A257="","",A257/8)</f>
        <v>1</v>
      </c>
      <c r="C257" s="13" t="n">
        <f aca="false">IF(OR(A257="",B257=""),"",A257+B257)</f>
        <v>9</v>
      </c>
      <c r="D257" s="13" t="n">
        <f aca="false">IF(A257="","",A257+SUMIFS(Registros!$AP:$AP,Registros!$C:$C,H257))</f>
        <v>8</v>
      </c>
      <c r="E257" s="13" t="n">
        <f aca="false">IF(A257="","",ROUND(A257-8*B257,2))</f>
        <v>0</v>
      </c>
      <c r="F257" s="13" t="n">
        <f aca="false">IF(OR(D257="",C257=""),"",D257-C257)</f>
        <v>-1</v>
      </c>
      <c r="G257" s="20" t="n">
        <f aca="false">IF(G256="","",G256+1)</f>
        <v>256</v>
      </c>
      <c r="H257" s="15"/>
      <c r="I257" s="14"/>
      <c r="J257" s="16" t="str">
        <f aca="false">IF(OR(H257="",D257="",C257="",G257&lt;$P$2),"",MAX(0,ROUND(D257-C257,2)))</f>
        <v/>
      </c>
      <c r="K257" s="17"/>
      <c r="L257" s="16" t="str">
        <f aca="false">IF(NOT(ISNUMBER(K257)),"",ROUND(K257-N(M256)-N(J257),2))</f>
        <v/>
      </c>
      <c r="M257" s="16" t="n">
        <f aca="false">IF(ISNUMBER(K257),K257,N(M256))</f>
        <v>0</v>
      </c>
      <c r="N257" s="0" t="str">
        <f aca="true">IF(AND(H257="",K257=""),"",TRIM(IF(AND(H257&lt;&gt;"",NOT(AND(LEN(H257)=10,MID(H257,5,1)="-",MID(H257,8,1)="-"))),"Fecha con formato invalido (usa AAAA-MM-DD). ","")&amp;IF(AND(H257&lt;&gt;"",COUNTIF($H$2:$H$367,H257)&gt;1),"Fecha repetida en otro dia. ","")&amp;IF(AND(H257&lt;&gt;"",H256&lt;&gt;"",H257&lt;=H256),"La fecha no es posterior a la del dia anterior. ","")&amp;IF(AND(H257&lt;&gt;"",ISNUMBER(A257),ISNUMBER(D256),ISNUMBER(C256),ABS(A257-IF(G256&gt;=$P$2,MIN(D256,C256),D256))&gt;0.005),"Bank roll inicial no sigue la regla del dia anterior (alguien sobrescribio la formula). ","")&amp;IF(AND(H257&lt;&gt;"",ISNUMBER(B257),ISNUMBER(A257),ABS(B257-A257/8)&gt;0.00001),"Stake distinto de Bank roll/8. ","")&amp;IF(AND(H257&lt;&gt;"",ISNUMBER(E257),ABS(E257)&gt;0.005),"Residuo distinto de 0. ","")&amp;IF(AND(K257&lt;&gt;"",OR(NOT(ISNUMBER(K257)),N(K257)&lt;0)),"Saldo L2 no numerico o negativo. ","")&amp;IF(AND(H257&lt;&gt;"",H257&lt;TEXT(TODAY(),"yyyy-mm-dd"),G257&gt;=$P$2,K257="",OR(N(J257)&gt;0,N(M256)&gt;0)),"Falta cerrar el Saldo L2 de este dia. ","")&amp;IF(AND(H257&lt;&gt;"",SUMPRODUCT((Registros!$C$2:$C$3000=H257)*ISTEXT(Registros!$AP$2:$AP$3000))&gt;0),"Hay P/L guardado como texto en Registros (no suma). ","")))</f>
        <v/>
      </c>
    </row>
    <row r="258" customFormat="false" ht="15" hidden="false" customHeight="true" outlineLevel="0" collapsed="false">
      <c r="A258" s="13" t="n">
        <f aca="false">IF(D257="","",IF(G257&gt;=$P$2,MIN(D257,C257),D257))</f>
        <v>8</v>
      </c>
      <c r="B258" s="13" t="n">
        <f aca="false">IF(A258="","",A258/8)</f>
        <v>1</v>
      </c>
      <c r="C258" s="13" t="n">
        <f aca="false">IF(OR(A258="",B258=""),"",A258+B258)</f>
        <v>9</v>
      </c>
      <c r="D258" s="13" t="n">
        <f aca="false">IF(A258="","",A258+SUMIFS(Registros!$AP:$AP,Registros!$C:$C,H258))</f>
        <v>8</v>
      </c>
      <c r="E258" s="13" t="n">
        <f aca="false">IF(A258="","",ROUND(A258-8*B258,2))</f>
        <v>0</v>
      </c>
      <c r="F258" s="13" t="n">
        <f aca="false">IF(OR(D258="",C258=""),"",D258-C258)</f>
        <v>-1</v>
      </c>
      <c r="G258" s="20" t="n">
        <f aca="false">IF(G257="","",G257+1)</f>
        <v>257</v>
      </c>
      <c r="H258" s="15"/>
      <c r="I258" s="14"/>
      <c r="J258" s="16" t="str">
        <f aca="false">IF(OR(H258="",D258="",C258="",G258&lt;$P$2),"",MAX(0,ROUND(D258-C258,2)))</f>
        <v/>
      </c>
      <c r="K258" s="17"/>
      <c r="L258" s="16" t="str">
        <f aca="false">IF(NOT(ISNUMBER(K258)),"",ROUND(K258-N(M257)-N(J258),2))</f>
        <v/>
      </c>
      <c r="M258" s="16" t="n">
        <f aca="false">IF(ISNUMBER(K258),K258,N(M257))</f>
        <v>0</v>
      </c>
      <c r="N258" s="0" t="str">
        <f aca="true">IF(AND(H258="",K258=""),"",TRIM(IF(AND(H258&lt;&gt;"",NOT(AND(LEN(H258)=10,MID(H258,5,1)="-",MID(H258,8,1)="-"))),"Fecha con formato invalido (usa AAAA-MM-DD). ","")&amp;IF(AND(H258&lt;&gt;"",COUNTIF($H$2:$H$367,H258)&gt;1),"Fecha repetida en otro dia. ","")&amp;IF(AND(H258&lt;&gt;"",H257&lt;&gt;"",H258&lt;=H257),"La fecha no es posterior a la del dia anterior. ","")&amp;IF(AND(H258&lt;&gt;"",ISNUMBER(A258),ISNUMBER(D257),ISNUMBER(C257),ABS(A258-IF(G257&gt;=$P$2,MIN(D257,C257),D257))&gt;0.005),"Bank roll inicial no sigue la regla del dia anterior (alguien sobrescribio la formula). ","")&amp;IF(AND(H258&lt;&gt;"",ISNUMBER(B258),ISNUMBER(A258),ABS(B258-A258/8)&gt;0.00001),"Stake distinto de Bank roll/8. ","")&amp;IF(AND(H258&lt;&gt;"",ISNUMBER(E258),ABS(E258)&gt;0.005),"Residuo distinto de 0. ","")&amp;IF(AND(K258&lt;&gt;"",OR(NOT(ISNUMBER(K258)),N(K258)&lt;0)),"Saldo L2 no numerico o negativo. ","")&amp;IF(AND(H258&lt;&gt;"",H258&lt;TEXT(TODAY(),"yyyy-mm-dd"),G258&gt;=$P$2,K258="",OR(N(J258)&gt;0,N(M257)&gt;0)),"Falta cerrar el Saldo L2 de este dia. ","")&amp;IF(AND(H258&lt;&gt;"",SUMPRODUCT((Registros!$C$2:$C$3000=H258)*ISTEXT(Registros!$AP$2:$AP$3000))&gt;0),"Hay P/L guardado como texto en Registros (no suma). ","")))</f>
        <v/>
      </c>
    </row>
    <row r="259" customFormat="false" ht="15" hidden="false" customHeight="true" outlineLevel="0" collapsed="false">
      <c r="A259" s="13" t="n">
        <f aca="false">IF(D258="","",IF(G258&gt;=$P$2,MIN(D258,C258),D258))</f>
        <v>8</v>
      </c>
      <c r="B259" s="13" t="n">
        <f aca="false">IF(A259="","",A259/8)</f>
        <v>1</v>
      </c>
      <c r="C259" s="13" t="n">
        <f aca="false">IF(OR(A259="",B259=""),"",A259+B259)</f>
        <v>9</v>
      </c>
      <c r="D259" s="13" t="n">
        <f aca="false">IF(A259="","",A259+SUMIFS(Registros!$AP:$AP,Registros!$C:$C,H259))</f>
        <v>8</v>
      </c>
      <c r="E259" s="13" t="n">
        <f aca="false">IF(A259="","",ROUND(A259-8*B259,2))</f>
        <v>0</v>
      </c>
      <c r="F259" s="13" t="n">
        <f aca="false">IF(OR(D259="",C259=""),"",D259-C259)</f>
        <v>-1</v>
      </c>
      <c r="G259" s="20" t="n">
        <f aca="false">IF(G258="","",G258+1)</f>
        <v>258</v>
      </c>
      <c r="H259" s="15"/>
      <c r="I259" s="14"/>
      <c r="J259" s="16" t="str">
        <f aca="false">IF(OR(H259="",D259="",C259="",G259&lt;$P$2),"",MAX(0,ROUND(D259-C259,2)))</f>
        <v/>
      </c>
      <c r="K259" s="17"/>
      <c r="L259" s="16" t="str">
        <f aca="false">IF(NOT(ISNUMBER(K259)),"",ROUND(K259-N(M258)-N(J259),2))</f>
        <v/>
      </c>
      <c r="M259" s="16" t="n">
        <f aca="false">IF(ISNUMBER(K259),K259,N(M258))</f>
        <v>0</v>
      </c>
      <c r="N259" s="0" t="str">
        <f aca="true">IF(AND(H259="",K259=""),"",TRIM(IF(AND(H259&lt;&gt;"",NOT(AND(LEN(H259)=10,MID(H259,5,1)="-",MID(H259,8,1)="-"))),"Fecha con formato invalido (usa AAAA-MM-DD). ","")&amp;IF(AND(H259&lt;&gt;"",COUNTIF($H$2:$H$367,H259)&gt;1),"Fecha repetida en otro dia. ","")&amp;IF(AND(H259&lt;&gt;"",H258&lt;&gt;"",H259&lt;=H258),"La fecha no es posterior a la del dia anterior. ","")&amp;IF(AND(H259&lt;&gt;"",ISNUMBER(A259),ISNUMBER(D258),ISNUMBER(C258),ABS(A259-IF(G258&gt;=$P$2,MIN(D258,C258),D258))&gt;0.005),"Bank roll inicial no sigue la regla del dia anterior (alguien sobrescribio la formula). ","")&amp;IF(AND(H259&lt;&gt;"",ISNUMBER(B259),ISNUMBER(A259),ABS(B259-A259/8)&gt;0.00001),"Stake distinto de Bank roll/8. ","")&amp;IF(AND(H259&lt;&gt;"",ISNUMBER(E259),ABS(E259)&gt;0.005),"Residuo distinto de 0. ","")&amp;IF(AND(K259&lt;&gt;"",OR(NOT(ISNUMBER(K259)),N(K259)&lt;0)),"Saldo L2 no numerico o negativo. ","")&amp;IF(AND(H259&lt;&gt;"",H259&lt;TEXT(TODAY(),"yyyy-mm-dd"),G259&gt;=$P$2,K259="",OR(N(J259)&gt;0,N(M258)&gt;0)),"Falta cerrar el Saldo L2 de este dia. ","")&amp;IF(AND(H259&lt;&gt;"",SUMPRODUCT((Registros!$C$2:$C$3000=H259)*ISTEXT(Registros!$AP$2:$AP$3000))&gt;0),"Hay P/L guardado como texto en Registros (no suma). ","")))</f>
        <v/>
      </c>
    </row>
    <row r="260" customFormat="false" ht="15" hidden="false" customHeight="true" outlineLevel="0" collapsed="false">
      <c r="A260" s="13" t="n">
        <f aca="false">IF(D259="","",IF(G259&gt;=$P$2,MIN(D259,C259),D259))</f>
        <v>8</v>
      </c>
      <c r="B260" s="13" t="n">
        <f aca="false">IF(A260="","",A260/8)</f>
        <v>1</v>
      </c>
      <c r="C260" s="13" t="n">
        <f aca="false">IF(OR(A260="",B260=""),"",A260+B260)</f>
        <v>9</v>
      </c>
      <c r="D260" s="13" t="n">
        <f aca="false">IF(A260="","",A260+SUMIFS(Registros!$AP:$AP,Registros!$C:$C,H260))</f>
        <v>8</v>
      </c>
      <c r="E260" s="13" t="n">
        <f aca="false">IF(A260="","",ROUND(A260-8*B260,2))</f>
        <v>0</v>
      </c>
      <c r="F260" s="13" t="n">
        <f aca="false">IF(OR(D260="",C260=""),"",D260-C260)</f>
        <v>-1</v>
      </c>
      <c r="G260" s="20" t="n">
        <f aca="false">IF(G259="","",G259+1)</f>
        <v>259</v>
      </c>
      <c r="H260" s="15"/>
      <c r="I260" s="14"/>
      <c r="J260" s="16" t="str">
        <f aca="false">IF(OR(H260="",D260="",C260="",G260&lt;$P$2),"",MAX(0,ROUND(D260-C260,2)))</f>
        <v/>
      </c>
      <c r="K260" s="17"/>
      <c r="L260" s="16" t="str">
        <f aca="false">IF(NOT(ISNUMBER(K260)),"",ROUND(K260-N(M259)-N(J260),2))</f>
        <v/>
      </c>
      <c r="M260" s="16" t="n">
        <f aca="false">IF(ISNUMBER(K260),K260,N(M259))</f>
        <v>0</v>
      </c>
      <c r="N260" s="0" t="str">
        <f aca="true">IF(AND(H260="",K260=""),"",TRIM(IF(AND(H260&lt;&gt;"",NOT(AND(LEN(H260)=10,MID(H260,5,1)="-",MID(H260,8,1)="-"))),"Fecha con formato invalido (usa AAAA-MM-DD). ","")&amp;IF(AND(H260&lt;&gt;"",COUNTIF($H$2:$H$367,H260)&gt;1),"Fecha repetida en otro dia. ","")&amp;IF(AND(H260&lt;&gt;"",H259&lt;&gt;"",H260&lt;=H259),"La fecha no es posterior a la del dia anterior. ","")&amp;IF(AND(H260&lt;&gt;"",ISNUMBER(A260),ISNUMBER(D259),ISNUMBER(C259),ABS(A260-IF(G259&gt;=$P$2,MIN(D259,C259),D259))&gt;0.005),"Bank roll inicial no sigue la regla del dia anterior (alguien sobrescribio la formula). ","")&amp;IF(AND(H260&lt;&gt;"",ISNUMBER(B260),ISNUMBER(A260),ABS(B260-A260/8)&gt;0.00001),"Stake distinto de Bank roll/8. ","")&amp;IF(AND(H260&lt;&gt;"",ISNUMBER(E260),ABS(E260)&gt;0.005),"Residuo distinto de 0. ","")&amp;IF(AND(K260&lt;&gt;"",OR(NOT(ISNUMBER(K260)),N(K260)&lt;0)),"Saldo L2 no numerico o negativo. ","")&amp;IF(AND(H260&lt;&gt;"",H260&lt;TEXT(TODAY(),"yyyy-mm-dd"),G260&gt;=$P$2,K260="",OR(N(J260)&gt;0,N(M259)&gt;0)),"Falta cerrar el Saldo L2 de este dia. ","")&amp;IF(AND(H260&lt;&gt;"",SUMPRODUCT((Registros!$C$2:$C$3000=H260)*ISTEXT(Registros!$AP$2:$AP$3000))&gt;0),"Hay P/L guardado como texto en Registros (no suma). ","")))</f>
        <v/>
      </c>
    </row>
    <row r="261" customFormat="false" ht="15" hidden="false" customHeight="true" outlineLevel="0" collapsed="false">
      <c r="A261" s="13" t="n">
        <f aca="false">IF(D260="","",IF(G260&gt;=$P$2,MIN(D260,C260),D260))</f>
        <v>8</v>
      </c>
      <c r="B261" s="13" t="n">
        <f aca="false">IF(A261="","",A261/8)</f>
        <v>1</v>
      </c>
      <c r="C261" s="13" t="n">
        <f aca="false">IF(OR(A261="",B261=""),"",A261+B261)</f>
        <v>9</v>
      </c>
      <c r="D261" s="13" t="n">
        <f aca="false">IF(A261="","",A261+SUMIFS(Registros!$AP:$AP,Registros!$C:$C,H261))</f>
        <v>8</v>
      </c>
      <c r="E261" s="13" t="n">
        <f aca="false">IF(A261="","",ROUND(A261-8*B261,2))</f>
        <v>0</v>
      </c>
      <c r="F261" s="13" t="n">
        <f aca="false">IF(OR(D261="",C261=""),"",D261-C261)</f>
        <v>-1</v>
      </c>
      <c r="G261" s="20" t="n">
        <f aca="false">IF(G260="","",G260+1)</f>
        <v>260</v>
      </c>
      <c r="H261" s="15"/>
      <c r="I261" s="14"/>
      <c r="J261" s="16" t="str">
        <f aca="false">IF(OR(H261="",D261="",C261="",G261&lt;$P$2),"",MAX(0,ROUND(D261-C261,2)))</f>
        <v/>
      </c>
      <c r="K261" s="17"/>
      <c r="L261" s="16" t="str">
        <f aca="false">IF(NOT(ISNUMBER(K261)),"",ROUND(K261-N(M260)-N(J261),2))</f>
        <v/>
      </c>
      <c r="M261" s="16" t="n">
        <f aca="false">IF(ISNUMBER(K261),K261,N(M260))</f>
        <v>0</v>
      </c>
      <c r="N261" s="0" t="str">
        <f aca="true">IF(AND(H261="",K261=""),"",TRIM(IF(AND(H261&lt;&gt;"",NOT(AND(LEN(H261)=10,MID(H261,5,1)="-",MID(H261,8,1)="-"))),"Fecha con formato invalido (usa AAAA-MM-DD). ","")&amp;IF(AND(H261&lt;&gt;"",COUNTIF($H$2:$H$367,H261)&gt;1),"Fecha repetida en otro dia. ","")&amp;IF(AND(H261&lt;&gt;"",H260&lt;&gt;"",H261&lt;=H260),"La fecha no es posterior a la del dia anterior. ","")&amp;IF(AND(H261&lt;&gt;"",ISNUMBER(A261),ISNUMBER(D260),ISNUMBER(C260),ABS(A261-IF(G260&gt;=$P$2,MIN(D260,C260),D260))&gt;0.005),"Bank roll inicial no sigue la regla del dia anterior (alguien sobrescribio la formula). ","")&amp;IF(AND(H261&lt;&gt;"",ISNUMBER(B261),ISNUMBER(A261),ABS(B261-A261/8)&gt;0.00001),"Stake distinto de Bank roll/8. ","")&amp;IF(AND(H261&lt;&gt;"",ISNUMBER(E261),ABS(E261)&gt;0.005),"Residuo distinto de 0. ","")&amp;IF(AND(K261&lt;&gt;"",OR(NOT(ISNUMBER(K261)),N(K261)&lt;0)),"Saldo L2 no numerico o negativo. ","")&amp;IF(AND(H261&lt;&gt;"",H261&lt;TEXT(TODAY(),"yyyy-mm-dd"),G261&gt;=$P$2,K261="",OR(N(J261)&gt;0,N(M260)&gt;0)),"Falta cerrar el Saldo L2 de este dia. ","")&amp;IF(AND(H261&lt;&gt;"",SUMPRODUCT((Registros!$C$2:$C$3000=H261)*ISTEXT(Registros!$AP$2:$AP$3000))&gt;0),"Hay P/L guardado como texto en Registros (no suma). ","")))</f>
        <v/>
      </c>
    </row>
    <row r="262" customFormat="false" ht="15" hidden="false" customHeight="true" outlineLevel="0" collapsed="false">
      <c r="A262" s="13" t="n">
        <f aca="false">IF(D261="","",IF(G261&gt;=$P$2,MIN(D261,C261),D261))</f>
        <v>8</v>
      </c>
      <c r="B262" s="13" t="n">
        <f aca="false">IF(A262="","",A262/8)</f>
        <v>1</v>
      </c>
      <c r="C262" s="13" t="n">
        <f aca="false">IF(OR(A262="",B262=""),"",A262+B262)</f>
        <v>9</v>
      </c>
      <c r="D262" s="13" t="n">
        <f aca="false">IF(A262="","",A262+SUMIFS(Registros!$AP:$AP,Registros!$C:$C,H262))</f>
        <v>8</v>
      </c>
      <c r="E262" s="13" t="n">
        <f aca="false">IF(A262="","",ROUND(A262-8*B262,2))</f>
        <v>0</v>
      </c>
      <c r="F262" s="13" t="n">
        <f aca="false">IF(OR(D262="",C262=""),"",D262-C262)</f>
        <v>-1</v>
      </c>
      <c r="G262" s="20" t="n">
        <f aca="false">IF(G261="","",G261+1)</f>
        <v>261</v>
      </c>
      <c r="H262" s="15"/>
      <c r="I262" s="14"/>
      <c r="J262" s="16" t="str">
        <f aca="false">IF(OR(H262="",D262="",C262="",G262&lt;$P$2),"",MAX(0,ROUND(D262-C262,2)))</f>
        <v/>
      </c>
      <c r="K262" s="17"/>
      <c r="L262" s="16" t="str">
        <f aca="false">IF(NOT(ISNUMBER(K262)),"",ROUND(K262-N(M261)-N(J262),2))</f>
        <v/>
      </c>
      <c r="M262" s="16" t="n">
        <f aca="false">IF(ISNUMBER(K262),K262,N(M261))</f>
        <v>0</v>
      </c>
      <c r="N262" s="0" t="str">
        <f aca="true">IF(AND(H262="",K262=""),"",TRIM(IF(AND(H262&lt;&gt;"",NOT(AND(LEN(H262)=10,MID(H262,5,1)="-",MID(H262,8,1)="-"))),"Fecha con formato invalido (usa AAAA-MM-DD). ","")&amp;IF(AND(H262&lt;&gt;"",COUNTIF($H$2:$H$367,H262)&gt;1),"Fecha repetida en otro dia. ","")&amp;IF(AND(H262&lt;&gt;"",H261&lt;&gt;"",H262&lt;=H261),"La fecha no es posterior a la del dia anterior. ","")&amp;IF(AND(H262&lt;&gt;"",ISNUMBER(A262),ISNUMBER(D261),ISNUMBER(C261),ABS(A262-IF(G261&gt;=$P$2,MIN(D261,C261),D261))&gt;0.005),"Bank roll inicial no sigue la regla del dia anterior (alguien sobrescribio la formula). ","")&amp;IF(AND(H262&lt;&gt;"",ISNUMBER(B262),ISNUMBER(A262),ABS(B262-A262/8)&gt;0.00001),"Stake distinto de Bank roll/8. ","")&amp;IF(AND(H262&lt;&gt;"",ISNUMBER(E262),ABS(E262)&gt;0.005),"Residuo distinto de 0. ","")&amp;IF(AND(K262&lt;&gt;"",OR(NOT(ISNUMBER(K262)),N(K262)&lt;0)),"Saldo L2 no numerico o negativo. ","")&amp;IF(AND(H262&lt;&gt;"",H262&lt;TEXT(TODAY(),"yyyy-mm-dd"),G262&gt;=$P$2,K262="",OR(N(J262)&gt;0,N(M261)&gt;0)),"Falta cerrar el Saldo L2 de este dia. ","")&amp;IF(AND(H262&lt;&gt;"",SUMPRODUCT((Registros!$C$2:$C$3000=H262)*ISTEXT(Registros!$AP$2:$AP$3000))&gt;0),"Hay P/L guardado como texto en Registros (no suma). ","")))</f>
        <v/>
      </c>
    </row>
    <row r="263" customFormat="false" ht="15" hidden="false" customHeight="true" outlineLevel="0" collapsed="false">
      <c r="A263" s="13" t="n">
        <f aca="false">IF(D262="","",IF(G262&gt;=$P$2,MIN(D262,C262),D262))</f>
        <v>8</v>
      </c>
      <c r="B263" s="13" t="n">
        <f aca="false">IF(A263="","",A263/8)</f>
        <v>1</v>
      </c>
      <c r="C263" s="13" t="n">
        <f aca="false">IF(OR(A263="",B263=""),"",A263+B263)</f>
        <v>9</v>
      </c>
      <c r="D263" s="13" t="n">
        <f aca="false">IF(A263="","",A263+SUMIFS(Registros!$AP:$AP,Registros!$C:$C,H263))</f>
        <v>8</v>
      </c>
      <c r="E263" s="13" t="n">
        <f aca="false">IF(A263="","",ROUND(A263-8*B263,2))</f>
        <v>0</v>
      </c>
      <c r="F263" s="13" t="n">
        <f aca="false">IF(OR(D263="",C263=""),"",D263-C263)</f>
        <v>-1</v>
      </c>
      <c r="G263" s="20" t="n">
        <f aca="false">IF(G262="","",G262+1)</f>
        <v>262</v>
      </c>
      <c r="H263" s="15"/>
      <c r="I263" s="14"/>
      <c r="J263" s="16" t="str">
        <f aca="false">IF(OR(H263="",D263="",C263="",G263&lt;$P$2),"",MAX(0,ROUND(D263-C263,2)))</f>
        <v/>
      </c>
      <c r="K263" s="17"/>
      <c r="L263" s="16" t="str">
        <f aca="false">IF(NOT(ISNUMBER(K263)),"",ROUND(K263-N(M262)-N(J263),2))</f>
        <v/>
      </c>
      <c r="M263" s="16" t="n">
        <f aca="false">IF(ISNUMBER(K263),K263,N(M262))</f>
        <v>0</v>
      </c>
      <c r="N263" s="0" t="str">
        <f aca="true">IF(AND(H263="",K263=""),"",TRIM(IF(AND(H263&lt;&gt;"",NOT(AND(LEN(H263)=10,MID(H263,5,1)="-",MID(H263,8,1)="-"))),"Fecha con formato invalido (usa AAAA-MM-DD). ","")&amp;IF(AND(H263&lt;&gt;"",COUNTIF($H$2:$H$367,H263)&gt;1),"Fecha repetida en otro dia. ","")&amp;IF(AND(H263&lt;&gt;"",H262&lt;&gt;"",H263&lt;=H262),"La fecha no es posterior a la del dia anterior. ","")&amp;IF(AND(H263&lt;&gt;"",ISNUMBER(A263),ISNUMBER(D262),ISNUMBER(C262),ABS(A263-IF(G262&gt;=$P$2,MIN(D262,C262),D262))&gt;0.005),"Bank roll inicial no sigue la regla del dia anterior (alguien sobrescribio la formula). ","")&amp;IF(AND(H263&lt;&gt;"",ISNUMBER(B263),ISNUMBER(A263),ABS(B263-A263/8)&gt;0.00001),"Stake distinto de Bank roll/8. ","")&amp;IF(AND(H263&lt;&gt;"",ISNUMBER(E263),ABS(E263)&gt;0.005),"Residuo distinto de 0. ","")&amp;IF(AND(K263&lt;&gt;"",OR(NOT(ISNUMBER(K263)),N(K263)&lt;0)),"Saldo L2 no numerico o negativo. ","")&amp;IF(AND(H263&lt;&gt;"",H263&lt;TEXT(TODAY(),"yyyy-mm-dd"),G263&gt;=$P$2,K263="",OR(N(J263)&gt;0,N(M262)&gt;0)),"Falta cerrar el Saldo L2 de este dia. ","")&amp;IF(AND(H263&lt;&gt;"",SUMPRODUCT((Registros!$C$2:$C$3000=H263)*ISTEXT(Registros!$AP$2:$AP$3000))&gt;0),"Hay P/L guardado como texto en Registros (no suma). ","")))</f>
        <v/>
      </c>
    </row>
    <row r="264" customFormat="false" ht="15" hidden="false" customHeight="true" outlineLevel="0" collapsed="false">
      <c r="A264" s="13" t="n">
        <f aca="false">IF(D263="","",IF(G263&gt;=$P$2,MIN(D263,C263),D263))</f>
        <v>8</v>
      </c>
      <c r="B264" s="13" t="n">
        <f aca="false">IF(A264="","",A264/8)</f>
        <v>1</v>
      </c>
      <c r="C264" s="13" t="n">
        <f aca="false">IF(OR(A264="",B264=""),"",A264+B264)</f>
        <v>9</v>
      </c>
      <c r="D264" s="13" t="n">
        <f aca="false">IF(A264="","",A264+SUMIFS(Registros!$AP:$AP,Registros!$C:$C,H264))</f>
        <v>8</v>
      </c>
      <c r="E264" s="13" t="n">
        <f aca="false">IF(A264="","",ROUND(A264-8*B264,2))</f>
        <v>0</v>
      </c>
      <c r="F264" s="13" t="n">
        <f aca="false">IF(OR(D264="",C264=""),"",D264-C264)</f>
        <v>-1</v>
      </c>
      <c r="G264" s="20" t="n">
        <f aca="false">IF(G263="","",G263+1)</f>
        <v>263</v>
      </c>
      <c r="H264" s="15"/>
      <c r="I264" s="14"/>
      <c r="J264" s="16" t="str">
        <f aca="false">IF(OR(H264="",D264="",C264="",G264&lt;$P$2),"",MAX(0,ROUND(D264-C264,2)))</f>
        <v/>
      </c>
      <c r="K264" s="17"/>
      <c r="L264" s="16" t="str">
        <f aca="false">IF(NOT(ISNUMBER(K264)),"",ROUND(K264-N(M263)-N(J264),2))</f>
        <v/>
      </c>
      <c r="M264" s="16" t="n">
        <f aca="false">IF(ISNUMBER(K264),K264,N(M263))</f>
        <v>0</v>
      </c>
      <c r="N264" s="0" t="str">
        <f aca="true">IF(AND(H264="",K264=""),"",TRIM(IF(AND(H264&lt;&gt;"",NOT(AND(LEN(H264)=10,MID(H264,5,1)="-",MID(H264,8,1)="-"))),"Fecha con formato invalido (usa AAAA-MM-DD). ","")&amp;IF(AND(H264&lt;&gt;"",COUNTIF($H$2:$H$367,H264)&gt;1),"Fecha repetida en otro dia. ","")&amp;IF(AND(H264&lt;&gt;"",H263&lt;&gt;"",H264&lt;=H263),"La fecha no es posterior a la del dia anterior. ","")&amp;IF(AND(H264&lt;&gt;"",ISNUMBER(A264),ISNUMBER(D263),ISNUMBER(C263),ABS(A264-IF(G263&gt;=$P$2,MIN(D263,C263),D263))&gt;0.005),"Bank roll inicial no sigue la regla del dia anterior (alguien sobrescribio la formula). ","")&amp;IF(AND(H264&lt;&gt;"",ISNUMBER(B264),ISNUMBER(A264),ABS(B264-A264/8)&gt;0.00001),"Stake distinto de Bank roll/8. ","")&amp;IF(AND(H264&lt;&gt;"",ISNUMBER(E264),ABS(E264)&gt;0.005),"Residuo distinto de 0. ","")&amp;IF(AND(K264&lt;&gt;"",OR(NOT(ISNUMBER(K264)),N(K264)&lt;0)),"Saldo L2 no numerico o negativo. ","")&amp;IF(AND(H264&lt;&gt;"",H264&lt;TEXT(TODAY(),"yyyy-mm-dd"),G264&gt;=$P$2,K264="",OR(N(J264)&gt;0,N(M263)&gt;0)),"Falta cerrar el Saldo L2 de este dia. ","")&amp;IF(AND(H264&lt;&gt;"",SUMPRODUCT((Registros!$C$2:$C$3000=H264)*ISTEXT(Registros!$AP$2:$AP$3000))&gt;0),"Hay P/L guardado como texto en Registros (no suma). ","")))</f>
        <v/>
      </c>
    </row>
    <row r="265" customFormat="false" ht="15" hidden="false" customHeight="true" outlineLevel="0" collapsed="false">
      <c r="A265" s="13" t="n">
        <f aca="false">IF(D264="","",IF(G264&gt;=$P$2,MIN(D264,C264),D264))</f>
        <v>8</v>
      </c>
      <c r="B265" s="13" t="n">
        <f aca="false">IF(A265="","",A265/8)</f>
        <v>1</v>
      </c>
      <c r="C265" s="13" t="n">
        <f aca="false">IF(OR(A265="",B265=""),"",A265+B265)</f>
        <v>9</v>
      </c>
      <c r="D265" s="13" t="n">
        <f aca="false">IF(A265="","",A265+SUMIFS(Registros!$AP:$AP,Registros!$C:$C,H265))</f>
        <v>8</v>
      </c>
      <c r="E265" s="13" t="n">
        <f aca="false">IF(A265="","",ROUND(A265-8*B265,2))</f>
        <v>0</v>
      </c>
      <c r="F265" s="13" t="n">
        <f aca="false">IF(OR(D265="",C265=""),"",D265-C265)</f>
        <v>-1</v>
      </c>
      <c r="G265" s="20" t="n">
        <f aca="false">IF(G264="","",G264+1)</f>
        <v>264</v>
      </c>
      <c r="H265" s="15"/>
      <c r="I265" s="14"/>
      <c r="J265" s="16" t="str">
        <f aca="false">IF(OR(H265="",D265="",C265="",G265&lt;$P$2),"",MAX(0,ROUND(D265-C265,2)))</f>
        <v/>
      </c>
      <c r="K265" s="17"/>
      <c r="L265" s="16" t="str">
        <f aca="false">IF(NOT(ISNUMBER(K265)),"",ROUND(K265-N(M264)-N(J265),2))</f>
        <v/>
      </c>
      <c r="M265" s="16" t="n">
        <f aca="false">IF(ISNUMBER(K265),K265,N(M264))</f>
        <v>0</v>
      </c>
      <c r="N265" s="0" t="str">
        <f aca="true">IF(AND(H265="",K265=""),"",TRIM(IF(AND(H265&lt;&gt;"",NOT(AND(LEN(H265)=10,MID(H265,5,1)="-",MID(H265,8,1)="-"))),"Fecha con formato invalido (usa AAAA-MM-DD). ","")&amp;IF(AND(H265&lt;&gt;"",COUNTIF($H$2:$H$367,H265)&gt;1),"Fecha repetida en otro dia. ","")&amp;IF(AND(H265&lt;&gt;"",H264&lt;&gt;"",H265&lt;=H264),"La fecha no es posterior a la del dia anterior. ","")&amp;IF(AND(H265&lt;&gt;"",ISNUMBER(A265),ISNUMBER(D264),ISNUMBER(C264),ABS(A265-IF(G264&gt;=$P$2,MIN(D264,C264),D264))&gt;0.005),"Bank roll inicial no sigue la regla del dia anterior (alguien sobrescribio la formula). ","")&amp;IF(AND(H265&lt;&gt;"",ISNUMBER(B265),ISNUMBER(A265),ABS(B265-A265/8)&gt;0.00001),"Stake distinto de Bank roll/8. ","")&amp;IF(AND(H265&lt;&gt;"",ISNUMBER(E265),ABS(E265)&gt;0.005),"Residuo distinto de 0. ","")&amp;IF(AND(K265&lt;&gt;"",OR(NOT(ISNUMBER(K265)),N(K265)&lt;0)),"Saldo L2 no numerico o negativo. ","")&amp;IF(AND(H265&lt;&gt;"",H265&lt;TEXT(TODAY(),"yyyy-mm-dd"),G265&gt;=$P$2,K265="",OR(N(J265)&gt;0,N(M264)&gt;0)),"Falta cerrar el Saldo L2 de este dia. ","")&amp;IF(AND(H265&lt;&gt;"",SUMPRODUCT((Registros!$C$2:$C$3000=H265)*ISTEXT(Registros!$AP$2:$AP$3000))&gt;0),"Hay P/L guardado como texto en Registros (no suma). ","")))</f>
        <v/>
      </c>
    </row>
    <row r="266" customFormat="false" ht="15" hidden="false" customHeight="true" outlineLevel="0" collapsed="false">
      <c r="A266" s="13" t="n">
        <f aca="false">IF(D265="","",IF(G265&gt;=$P$2,MIN(D265,C265),D265))</f>
        <v>8</v>
      </c>
      <c r="B266" s="13" t="n">
        <f aca="false">IF(A266="","",A266/8)</f>
        <v>1</v>
      </c>
      <c r="C266" s="13" t="n">
        <f aca="false">IF(OR(A266="",B266=""),"",A266+B266)</f>
        <v>9</v>
      </c>
      <c r="D266" s="13" t="n">
        <f aca="false">IF(A266="","",A266+SUMIFS(Registros!$AP:$AP,Registros!$C:$C,H266))</f>
        <v>8</v>
      </c>
      <c r="E266" s="13" t="n">
        <f aca="false">IF(A266="","",ROUND(A266-8*B266,2))</f>
        <v>0</v>
      </c>
      <c r="F266" s="13" t="n">
        <f aca="false">IF(OR(D266="",C266=""),"",D266-C266)</f>
        <v>-1</v>
      </c>
      <c r="G266" s="20" t="n">
        <f aca="false">IF(G265="","",G265+1)</f>
        <v>265</v>
      </c>
      <c r="H266" s="15"/>
      <c r="I266" s="14"/>
      <c r="J266" s="16" t="str">
        <f aca="false">IF(OR(H266="",D266="",C266="",G266&lt;$P$2),"",MAX(0,ROUND(D266-C266,2)))</f>
        <v/>
      </c>
      <c r="K266" s="17"/>
      <c r="L266" s="16" t="str">
        <f aca="false">IF(NOT(ISNUMBER(K266)),"",ROUND(K266-N(M265)-N(J266),2))</f>
        <v/>
      </c>
      <c r="M266" s="16" t="n">
        <f aca="false">IF(ISNUMBER(K266),K266,N(M265))</f>
        <v>0</v>
      </c>
      <c r="N266" s="0" t="str">
        <f aca="true">IF(AND(H266="",K266=""),"",TRIM(IF(AND(H266&lt;&gt;"",NOT(AND(LEN(H266)=10,MID(H266,5,1)="-",MID(H266,8,1)="-"))),"Fecha con formato invalido (usa AAAA-MM-DD). ","")&amp;IF(AND(H266&lt;&gt;"",COUNTIF($H$2:$H$367,H266)&gt;1),"Fecha repetida en otro dia. ","")&amp;IF(AND(H266&lt;&gt;"",H265&lt;&gt;"",H266&lt;=H265),"La fecha no es posterior a la del dia anterior. ","")&amp;IF(AND(H266&lt;&gt;"",ISNUMBER(A266),ISNUMBER(D265),ISNUMBER(C265),ABS(A266-IF(G265&gt;=$P$2,MIN(D265,C265),D265))&gt;0.005),"Bank roll inicial no sigue la regla del dia anterior (alguien sobrescribio la formula). ","")&amp;IF(AND(H266&lt;&gt;"",ISNUMBER(B266),ISNUMBER(A266),ABS(B266-A266/8)&gt;0.00001),"Stake distinto de Bank roll/8. ","")&amp;IF(AND(H266&lt;&gt;"",ISNUMBER(E266),ABS(E266)&gt;0.005),"Residuo distinto de 0. ","")&amp;IF(AND(K266&lt;&gt;"",OR(NOT(ISNUMBER(K266)),N(K266)&lt;0)),"Saldo L2 no numerico o negativo. ","")&amp;IF(AND(H266&lt;&gt;"",H266&lt;TEXT(TODAY(),"yyyy-mm-dd"),G266&gt;=$P$2,K266="",OR(N(J266)&gt;0,N(M265)&gt;0)),"Falta cerrar el Saldo L2 de este dia. ","")&amp;IF(AND(H266&lt;&gt;"",SUMPRODUCT((Registros!$C$2:$C$3000=H266)*ISTEXT(Registros!$AP$2:$AP$3000))&gt;0),"Hay P/L guardado como texto en Registros (no suma). ","")))</f>
        <v/>
      </c>
    </row>
    <row r="267" customFormat="false" ht="15" hidden="false" customHeight="true" outlineLevel="0" collapsed="false">
      <c r="A267" s="13" t="n">
        <f aca="false">IF(D266="","",IF(G266&gt;=$P$2,MIN(D266,C266),D266))</f>
        <v>8</v>
      </c>
      <c r="B267" s="13" t="n">
        <f aca="false">IF(A267="","",A267/8)</f>
        <v>1</v>
      </c>
      <c r="C267" s="13" t="n">
        <f aca="false">IF(OR(A267="",B267=""),"",A267+B267)</f>
        <v>9</v>
      </c>
      <c r="D267" s="13" t="n">
        <f aca="false">IF(A267="","",A267+SUMIFS(Registros!$AP:$AP,Registros!$C:$C,H267))</f>
        <v>8</v>
      </c>
      <c r="E267" s="13" t="n">
        <f aca="false">IF(A267="","",ROUND(A267-8*B267,2))</f>
        <v>0</v>
      </c>
      <c r="F267" s="13" t="n">
        <f aca="false">IF(OR(D267="",C267=""),"",D267-C267)</f>
        <v>-1</v>
      </c>
      <c r="G267" s="20" t="n">
        <f aca="false">IF(G266="","",G266+1)</f>
        <v>266</v>
      </c>
      <c r="H267" s="15"/>
      <c r="I267" s="14"/>
      <c r="J267" s="16" t="str">
        <f aca="false">IF(OR(H267="",D267="",C267="",G267&lt;$P$2),"",MAX(0,ROUND(D267-C267,2)))</f>
        <v/>
      </c>
      <c r="K267" s="17"/>
      <c r="L267" s="16" t="str">
        <f aca="false">IF(NOT(ISNUMBER(K267)),"",ROUND(K267-N(M266)-N(J267),2))</f>
        <v/>
      </c>
      <c r="M267" s="16" t="n">
        <f aca="false">IF(ISNUMBER(K267),K267,N(M266))</f>
        <v>0</v>
      </c>
      <c r="N267" s="0" t="str">
        <f aca="true">IF(AND(H267="",K267=""),"",TRIM(IF(AND(H267&lt;&gt;"",NOT(AND(LEN(H267)=10,MID(H267,5,1)="-",MID(H267,8,1)="-"))),"Fecha con formato invalido (usa AAAA-MM-DD). ","")&amp;IF(AND(H267&lt;&gt;"",COUNTIF($H$2:$H$367,H267)&gt;1),"Fecha repetida en otro dia. ","")&amp;IF(AND(H267&lt;&gt;"",H266&lt;&gt;"",H267&lt;=H266),"La fecha no es posterior a la del dia anterior. ","")&amp;IF(AND(H267&lt;&gt;"",ISNUMBER(A267),ISNUMBER(D266),ISNUMBER(C266),ABS(A267-IF(G266&gt;=$P$2,MIN(D266,C266),D266))&gt;0.005),"Bank roll inicial no sigue la regla del dia anterior (alguien sobrescribio la formula). ","")&amp;IF(AND(H267&lt;&gt;"",ISNUMBER(B267),ISNUMBER(A267),ABS(B267-A267/8)&gt;0.00001),"Stake distinto de Bank roll/8. ","")&amp;IF(AND(H267&lt;&gt;"",ISNUMBER(E267),ABS(E267)&gt;0.005),"Residuo distinto de 0. ","")&amp;IF(AND(K267&lt;&gt;"",OR(NOT(ISNUMBER(K267)),N(K267)&lt;0)),"Saldo L2 no numerico o negativo. ","")&amp;IF(AND(H267&lt;&gt;"",H267&lt;TEXT(TODAY(),"yyyy-mm-dd"),G267&gt;=$P$2,K267="",OR(N(J267)&gt;0,N(M266)&gt;0)),"Falta cerrar el Saldo L2 de este dia. ","")&amp;IF(AND(H267&lt;&gt;"",SUMPRODUCT((Registros!$C$2:$C$3000=H267)*ISTEXT(Registros!$AP$2:$AP$3000))&gt;0),"Hay P/L guardado como texto en Registros (no suma). ","")))</f>
        <v/>
      </c>
    </row>
    <row r="268" customFormat="false" ht="15" hidden="false" customHeight="true" outlineLevel="0" collapsed="false">
      <c r="A268" s="13" t="n">
        <f aca="false">IF(D267="","",IF(G267&gt;=$P$2,MIN(D267,C267),D267))</f>
        <v>8</v>
      </c>
      <c r="B268" s="13" t="n">
        <f aca="false">IF(A268="","",A268/8)</f>
        <v>1</v>
      </c>
      <c r="C268" s="13" t="n">
        <f aca="false">IF(OR(A268="",B268=""),"",A268+B268)</f>
        <v>9</v>
      </c>
      <c r="D268" s="13" t="n">
        <f aca="false">IF(A268="","",A268+SUMIFS(Registros!$AP:$AP,Registros!$C:$C,H268))</f>
        <v>8</v>
      </c>
      <c r="E268" s="13" t="n">
        <f aca="false">IF(A268="","",ROUND(A268-8*B268,2))</f>
        <v>0</v>
      </c>
      <c r="F268" s="13" t="n">
        <f aca="false">IF(OR(D268="",C268=""),"",D268-C268)</f>
        <v>-1</v>
      </c>
      <c r="G268" s="20" t="n">
        <f aca="false">IF(G267="","",G267+1)</f>
        <v>267</v>
      </c>
      <c r="H268" s="15"/>
      <c r="I268" s="14"/>
      <c r="J268" s="16" t="str">
        <f aca="false">IF(OR(H268="",D268="",C268="",G268&lt;$P$2),"",MAX(0,ROUND(D268-C268,2)))</f>
        <v/>
      </c>
      <c r="K268" s="17"/>
      <c r="L268" s="16" t="str">
        <f aca="false">IF(NOT(ISNUMBER(K268)),"",ROUND(K268-N(M267)-N(J268),2))</f>
        <v/>
      </c>
      <c r="M268" s="16" t="n">
        <f aca="false">IF(ISNUMBER(K268),K268,N(M267))</f>
        <v>0</v>
      </c>
      <c r="N268" s="0" t="str">
        <f aca="true">IF(AND(H268="",K268=""),"",TRIM(IF(AND(H268&lt;&gt;"",NOT(AND(LEN(H268)=10,MID(H268,5,1)="-",MID(H268,8,1)="-"))),"Fecha con formato invalido (usa AAAA-MM-DD). ","")&amp;IF(AND(H268&lt;&gt;"",COUNTIF($H$2:$H$367,H268)&gt;1),"Fecha repetida en otro dia. ","")&amp;IF(AND(H268&lt;&gt;"",H267&lt;&gt;"",H268&lt;=H267),"La fecha no es posterior a la del dia anterior. ","")&amp;IF(AND(H268&lt;&gt;"",ISNUMBER(A268),ISNUMBER(D267),ISNUMBER(C267),ABS(A268-IF(G267&gt;=$P$2,MIN(D267,C267),D267))&gt;0.005),"Bank roll inicial no sigue la regla del dia anterior (alguien sobrescribio la formula). ","")&amp;IF(AND(H268&lt;&gt;"",ISNUMBER(B268),ISNUMBER(A268),ABS(B268-A268/8)&gt;0.00001),"Stake distinto de Bank roll/8. ","")&amp;IF(AND(H268&lt;&gt;"",ISNUMBER(E268),ABS(E268)&gt;0.005),"Residuo distinto de 0. ","")&amp;IF(AND(K268&lt;&gt;"",OR(NOT(ISNUMBER(K268)),N(K268)&lt;0)),"Saldo L2 no numerico o negativo. ","")&amp;IF(AND(H268&lt;&gt;"",H268&lt;TEXT(TODAY(),"yyyy-mm-dd"),G268&gt;=$P$2,K268="",OR(N(J268)&gt;0,N(M267)&gt;0)),"Falta cerrar el Saldo L2 de este dia. ","")&amp;IF(AND(H268&lt;&gt;"",SUMPRODUCT((Registros!$C$2:$C$3000=H268)*ISTEXT(Registros!$AP$2:$AP$3000))&gt;0),"Hay P/L guardado como texto en Registros (no suma). ","")))</f>
        <v/>
      </c>
    </row>
    <row r="269" customFormat="false" ht="15" hidden="false" customHeight="true" outlineLevel="0" collapsed="false">
      <c r="A269" s="13" t="n">
        <f aca="false">IF(D268="","",IF(G268&gt;=$P$2,MIN(D268,C268),D268))</f>
        <v>8</v>
      </c>
      <c r="B269" s="13" t="n">
        <f aca="false">IF(A269="","",A269/8)</f>
        <v>1</v>
      </c>
      <c r="C269" s="13" t="n">
        <f aca="false">IF(OR(A269="",B269=""),"",A269+B269)</f>
        <v>9</v>
      </c>
      <c r="D269" s="13" t="n">
        <f aca="false">IF(A269="","",A269+SUMIFS(Registros!$AP:$AP,Registros!$C:$C,H269))</f>
        <v>8</v>
      </c>
      <c r="E269" s="13" t="n">
        <f aca="false">IF(A269="","",ROUND(A269-8*B269,2))</f>
        <v>0</v>
      </c>
      <c r="F269" s="13" t="n">
        <f aca="false">IF(OR(D269="",C269=""),"",D269-C269)</f>
        <v>-1</v>
      </c>
      <c r="G269" s="20" t="n">
        <f aca="false">IF(G268="","",G268+1)</f>
        <v>268</v>
      </c>
      <c r="H269" s="15"/>
      <c r="I269" s="14"/>
      <c r="J269" s="16" t="str">
        <f aca="false">IF(OR(H269="",D269="",C269="",G269&lt;$P$2),"",MAX(0,ROUND(D269-C269,2)))</f>
        <v/>
      </c>
      <c r="K269" s="17"/>
      <c r="L269" s="16" t="str">
        <f aca="false">IF(NOT(ISNUMBER(K269)),"",ROUND(K269-N(M268)-N(J269),2))</f>
        <v/>
      </c>
      <c r="M269" s="16" t="n">
        <f aca="false">IF(ISNUMBER(K269),K269,N(M268))</f>
        <v>0</v>
      </c>
      <c r="N269" s="0" t="str">
        <f aca="true">IF(AND(H269="",K269=""),"",TRIM(IF(AND(H269&lt;&gt;"",NOT(AND(LEN(H269)=10,MID(H269,5,1)="-",MID(H269,8,1)="-"))),"Fecha con formato invalido (usa AAAA-MM-DD). ","")&amp;IF(AND(H269&lt;&gt;"",COUNTIF($H$2:$H$367,H269)&gt;1),"Fecha repetida en otro dia. ","")&amp;IF(AND(H269&lt;&gt;"",H268&lt;&gt;"",H269&lt;=H268),"La fecha no es posterior a la del dia anterior. ","")&amp;IF(AND(H269&lt;&gt;"",ISNUMBER(A269),ISNUMBER(D268),ISNUMBER(C268),ABS(A269-IF(G268&gt;=$P$2,MIN(D268,C268),D268))&gt;0.005),"Bank roll inicial no sigue la regla del dia anterior (alguien sobrescribio la formula). ","")&amp;IF(AND(H269&lt;&gt;"",ISNUMBER(B269),ISNUMBER(A269),ABS(B269-A269/8)&gt;0.00001),"Stake distinto de Bank roll/8. ","")&amp;IF(AND(H269&lt;&gt;"",ISNUMBER(E269),ABS(E269)&gt;0.005),"Residuo distinto de 0. ","")&amp;IF(AND(K269&lt;&gt;"",OR(NOT(ISNUMBER(K269)),N(K269)&lt;0)),"Saldo L2 no numerico o negativo. ","")&amp;IF(AND(H269&lt;&gt;"",H269&lt;TEXT(TODAY(),"yyyy-mm-dd"),G269&gt;=$P$2,K269="",OR(N(J269)&gt;0,N(M268)&gt;0)),"Falta cerrar el Saldo L2 de este dia. ","")&amp;IF(AND(H269&lt;&gt;"",SUMPRODUCT((Registros!$C$2:$C$3000=H269)*ISTEXT(Registros!$AP$2:$AP$3000))&gt;0),"Hay P/L guardado como texto en Registros (no suma). ","")))</f>
        <v/>
      </c>
    </row>
    <row r="270" customFormat="false" ht="15" hidden="false" customHeight="true" outlineLevel="0" collapsed="false">
      <c r="A270" s="13" t="n">
        <f aca="false">IF(D269="","",IF(G269&gt;=$P$2,MIN(D269,C269),D269))</f>
        <v>8</v>
      </c>
      <c r="B270" s="13" t="n">
        <f aca="false">IF(A270="","",A270/8)</f>
        <v>1</v>
      </c>
      <c r="C270" s="13" t="n">
        <f aca="false">IF(OR(A270="",B270=""),"",A270+B270)</f>
        <v>9</v>
      </c>
      <c r="D270" s="13" t="n">
        <f aca="false">IF(A270="","",A270+SUMIFS(Registros!$AP:$AP,Registros!$C:$C,H270))</f>
        <v>8</v>
      </c>
      <c r="E270" s="13" t="n">
        <f aca="false">IF(A270="","",ROUND(A270-8*B270,2))</f>
        <v>0</v>
      </c>
      <c r="F270" s="13" t="n">
        <f aca="false">IF(OR(D270="",C270=""),"",D270-C270)</f>
        <v>-1</v>
      </c>
      <c r="G270" s="20" t="n">
        <f aca="false">IF(G269="","",G269+1)</f>
        <v>269</v>
      </c>
      <c r="H270" s="15"/>
      <c r="I270" s="14"/>
      <c r="J270" s="16" t="str">
        <f aca="false">IF(OR(H270="",D270="",C270="",G270&lt;$P$2),"",MAX(0,ROUND(D270-C270,2)))</f>
        <v/>
      </c>
      <c r="K270" s="17"/>
      <c r="L270" s="16" t="str">
        <f aca="false">IF(NOT(ISNUMBER(K270)),"",ROUND(K270-N(M269)-N(J270),2))</f>
        <v/>
      </c>
      <c r="M270" s="16" t="n">
        <f aca="false">IF(ISNUMBER(K270),K270,N(M269))</f>
        <v>0</v>
      </c>
      <c r="N270" s="0" t="str">
        <f aca="true">IF(AND(H270="",K270=""),"",TRIM(IF(AND(H270&lt;&gt;"",NOT(AND(LEN(H270)=10,MID(H270,5,1)="-",MID(H270,8,1)="-"))),"Fecha con formato invalido (usa AAAA-MM-DD). ","")&amp;IF(AND(H270&lt;&gt;"",COUNTIF($H$2:$H$367,H270)&gt;1),"Fecha repetida en otro dia. ","")&amp;IF(AND(H270&lt;&gt;"",H269&lt;&gt;"",H270&lt;=H269),"La fecha no es posterior a la del dia anterior. ","")&amp;IF(AND(H270&lt;&gt;"",ISNUMBER(A270),ISNUMBER(D269),ISNUMBER(C269),ABS(A270-IF(G269&gt;=$P$2,MIN(D269,C269),D269))&gt;0.005),"Bank roll inicial no sigue la regla del dia anterior (alguien sobrescribio la formula). ","")&amp;IF(AND(H270&lt;&gt;"",ISNUMBER(B270),ISNUMBER(A270),ABS(B270-A270/8)&gt;0.00001),"Stake distinto de Bank roll/8. ","")&amp;IF(AND(H270&lt;&gt;"",ISNUMBER(E270),ABS(E270)&gt;0.005),"Residuo distinto de 0. ","")&amp;IF(AND(K270&lt;&gt;"",OR(NOT(ISNUMBER(K270)),N(K270)&lt;0)),"Saldo L2 no numerico o negativo. ","")&amp;IF(AND(H270&lt;&gt;"",H270&lt;TEXT(TODAY(),"yyyy-mm-dd"),G270&gt;=$P$2,K270="",OR(N(J270)&gt;0,N(M269)&gt;0)),"Falta cerrar el Saldo L2 de este dia. ","")&amp;IF(AND(H270&lt;&gt;"",SUMPRODUCT((Registros!$C$2:$C$3000=H270)*ISTEXT(Registros!$AP$2:$AP$3000))&gt;0),"Hay P/L guardado como texto en Registros (no suma). ","")))</f>
        <v/>
      </c>
    </row>
    <row r="271" customFormat="false" ht="15" hidden="false" customHeight="true" outlineLevel="0" collapsed="false">
      <c r="A271" s="13" t="n">
        <f aca="false">IF(D270="","",IF(G270&gt;=$P$2,MIN(D270,C270),D270))</f>
        <v>8</v>
      </c>
      <c r="B271" s="13" t="n">
        <f aca="false">IF(A271="","",A271/8)</f>
        <v>1</v>
      </c>
      <c r="C271" s="13" t="n">
        <f aca="false">IF(OR(A271="",B271=""),"",A271+B271)</f>
        <v>9</v>
      </c>
      <c r="D271" s="13" t="n">
        <f aca="false">IF(A271="","",A271+SUMIFS(Registros!$AP:$AP,Registros!$C:$C,H271))</f>
        <v>8</v>
      </c>
      <c r="E271" s="13" t="n">
        <f aca="false">IF(A271="","",ROUND(A271-8*B271,2))</f>
        <v>0</v>
      </c>
      <c r="F271" s="13" t="n">
        <f aca="false">IF(OR(D271="",C271=""),"",D271-C271)</f>
        <v>-1</v>
      </c>
      <c r="G271" s="20" t="n">
        <f aca="false">IF(G270="","",G270+1)</f>
        <v>270</v>
      </c>
      <c r="H271" s="15"/>
      <c r="I271" s="14"/>
      <c r="J271" s="16" t="str">
        <f aca="false">IF(OR(H271="",D271="",C271="",G271&lt;$P$2),"",MAX(0,ROUND(D271-C271,2)))</f>
        <v/>
      </c>
      <c r="K271" s="17"/>
      <c r="L271" s="16" t="str">
        <f aca="false">IF(NOT(ISNUMBER(K271)),"",ROUND(K271-N(M270)-N(J271),2))</f>
        <v/>
      </c>
      <c r="M271" s="16" t="n">
        <f aca="false">IF(ISNUMBER(K271),K271,N(M270))</f>
        <v>0</v>
      </c>
      <c r="N271" s="0" t="str">
        <f aca="true">IF(AND(H271="",K271=""),"",TRIM(IF(AND(H271&lt;&gt;"",NOT(AND(LEN(H271)=10,MID(H271,5,1)="-",MID(H271,8,1)="-"))),"Fecha con formato invalido (usa AAAA-MM-DD). ","")&amp;IF(AND(H271&lt;&gt;"",COUNTIF($H$2:$H$367,H271)&gt;1),"Fecha repetida en otro dia. ","")&amp;IF(AND(H271&lt;&gt;"",H270&lt;&gt;"",H271&lt;=H270),"La fecha no es posterior a la del dia anterior. ","")&amp;IF(AND(H271&lt;&gt;"",ISNUMBER(A271),ISNUMBER(D270),ISNUMBER(C270),ABS(A271-IF(G270&gt;=$P$2,MIN(D270,C270),D270))&gt;0.005),"Bank roll inicial no sigue la regla del dia anterior (alguien sobrescribio la formula). ","")&amp;IF(AND(H271&lt;&gt;"",ISNUMBER(B271),ISNUMBER(A271),ABS(B271-A271/8)&gt;0.00001),"Stake distinto de Bank roll/8. ","")&amp;IF(AND(H271&lt;&gt;"",ISNUMBER(E271),ABS(E271)&gt;0.005),"Residuo distinto de 0. ","")&amp;IF(AND(K271&lt;&gt;"",OR(NOT(ISNUMBER(K271)),N(K271)&lt;0)),"Saldo L2 no numerico o negativo. ","")&amp;IF(AND(H271&lt;&gt;"",H271&lt;TEXT(TODAY(),"yyyy-mm-dd"),G271&gt;=$P$2,K271="",OR(N(J271)&gt;0,N(M270)&gt;0)),"Falta cerrar el Saldo L2 de este dia. ","")&amp;IF(AND(H271&lt;&gt;"",SUMPRODUCT((Registros!$C$2:$C$3000=H271)*ISTEXT(Registros!$AP$2:$AP$3000))&gt;0),"Hay P/L guardado como texto en Registros (no suma). ","")))</f>
        <v/>
      </c>
    </row>
    <row r="272" customFormat="false" ht="15" hidden="false" customHeight="true" outlineLevel="0" collapsed="false">
      <c r="A272" s="13" t="n">
        <f aca="false">IF(D271="","",IF(G271&gt;=$P$2,MIN(D271,C271),D271))</f>
        <v>8</v>
      </c>
      <c r="B272" s="13" t="n">
        <f aca="false">IF(A272="","",A272/8)</f>
        <v>1</v>
      </c>
      <c r="C272" s="13" t="n">
        <f aca="false">IF(OR(A272="",B272=""),"",A272+B272)</f>
        <v>9</v>
      </c>
      <c r="D272" s="13" t="n">
        <f aca="false">IF(A272="","",A272+SUMIFS(Registros!$AP:$AP,Registros!$C:$C,H272))</f>
        <v>8</v>
      </c>
      <c r="E272" s="13" t="n">
        <f aca="false">IF(A272="","",ROUND(A272-8*B272,2))</f>
        <v>0</v>
      </c>
      <c r="F272" s="13" t="n">
        <f aca="false">IF(OR(D272="",C272=""),"",D272-C272)</f>
        <v>-1</v>
      </c>
      <c r="G272" s="20" t="n">
        <f aca="false">IF(G271="","",G271+1)</f>
        <v>271</v>
      </c>
      <c r="H272" s="15"/>
      <c r="I272" s="14"/>
      <c r="J272" s="16" t="str">
        <f aca="false">IF(OR(H272="",D272="",C272="",G272&lt;$P$2),"",MAX(0,ROUND(D272-C272,2)))</f>
        <v/>
      </c>
      <c r="K272" s="17"/>
      <c r="L272" s="16" t="str">
        <f aca="false">IF(NOT(ISNUMBER(K272)),"",ROUND(K272-N(M271)-N(J272),2))</f>
        <v/>
      </c>
      <c r="M272" s="16" t="n">
        <f aca="false">IF(ISNUMBER(K272),K272,N(M271))</f>
        <v>0</v>
      </c>
      <c r="N272" s="0" t="str">
        <f aca="true">IF(AND(H272="",K272=""),"",TRIM(IF(AND(H272&lt;&gt;"",NOT(AND(LEN(H272)=10,MID(H272,5,1)="-",MID(H272,8,1)="-"))),"Fecha con formato invalido (usa AAAA-MM-DD). ","")&amp;IF(AND(H272&lt;&gt;"",COUNTIF($H$2:$H$367,H272)&gt;1),"Fecha repetida en otro dia. ","")&amp;IF(AND(H272&lt;&gt;"",H271&lt;&gt;"",H272&lt;=H271),"La fecha no es posterior a la del dia anterior. ","")&amp;IF(AND(H272&lt;&gt;"",ISNUMBER(A272),ISNUMBER(D271),ISNUMBER(C271),ABS(A272-IF(G271&gt;=$P$2,MIN(D271,C271),D271))&gt;0.005),"Bank roll inicial no sigue la regla del dia anterior (alguien sobrescribio la formula). ","")&amp;IF(AND(H272&lt;&gt;"",ISNUMBER(B272),ISNUMBER(A272),ABS(B272-A272/8)&gt;0.00001),"Stake distinto de Bank roll/8. ","")&amp;IF(AND(H272&lt;&gt;"",ISNUMBER(E272),ABS(E272)&gt;0.005),"Residuo distinto de 0. ","")&amp;IF(AND(K272&lt;&gt;"",OR(NOT(ISNUMBER(K272)),N(K272)&lt;0)),"Saldo L2 no numerico o negativo. ","")&amp;IF(AND(H272&lt;&gt;"",H272&lt;TEXT(TODAY(),"yyyy-mm-dd"),G272&gt;=$P$2,K272="",OR(N(J272)&gt;0,N(M271)&gt;0)),"Falta cerrar el Saldo L2 de este dia. ","")&amp;IF(AND(H272&lt;&gt;"",SUMPRODUCT((Registros!$C$2:$C$3000=H272)*ISTEXT(Registros!$AP$2:$AP$3000))&gt;0),"Hay P/L guardado como texto en Registros (no suma). ","")))</f>
        <v/>
      </c>
    </row>
    <row r="273" customFormat="false" ht="15" hidden="false" customHeight="true" outlineLevel="0" collapsed="false">
      <c r="A273" s="13" t="n">
        <f aca="false">IF(D272="","",IF(G272&gt;=$P$2,MIN(D272,C272),D272))</f>
        <v>8</v>
      </c>
      <c r="B273" s="13" t="n">
        <f aca="false">IF(A273="","",A273/8)</f>
        <v>1</v>
      </c>
      <c r="C273" s="13" t="n">
        <f aca="false">IF(OR(A273="",B273=""),"",A273+B273)</f>
        <v>9</v>
      </c>
      <c r="D273" s="13" t="n">
        <f aca="false">IF(A273="","",A273+SUMIFS(Registros!$AP:$AP,Registros!$C:$C,H273))</f>
        <v>8</v>
      </c>
      <c r="E273" s="13" t="n">
        <f aca="false">IF(A273="","",ROUND(A273-8*B273,2))</f>
        <v>0</v>
      </c>
      <c r="F273" s="13" t="n">
        <f aca="false">IF(OR(D273="",C273=""),"",D273-C273)</f>
        <v>-1</v>
      </c>
      <c r="G273" s="20" t="n">
        <f aca="false">IF(G272="","",G272+1)</f>
        <v>272</v>
      </c>
      <c r="H273" s="15"/>
      <c r="I273" s="14"/>
      <c r="J273" s="16" t="str">
        <f aca="false">IF(OR(H273="",D273="",C273="",G273&lt;$P$2),"",MAX(0,ROUND(D273-C273,2)))</f>
        <v/>
      </c>
      <c r="K273" s="17"/>
      <c r="L273" s="16" t="str">
        <f aca="false">IF(NOT(ISNUMBER(K273)),"",ROUND(K273-N(M272)-N(J273),2))</f>
        <v/>
      </c>
      <c r="M273" s="16" t="n">
        <f aca="false">IF(ISNUMBER(K273),K273,N(M272))</f>
        <v>0</v>
      </c>
      <c r="N273" s="0" t="str">
        <f aca="true">IF(AND(H273="",K273=""),"",TRIM(IF(AND(H273&lt;&gt;"",NOT(AND(LEN(H273)=10,MID(H273,5,1)="-",MID(H273,8,1)="-"))),"Fecha con formato invalido (usa AAAA-MM-DD). ","")&amp;IF(AND(H273&lt;&gt;"",COUNTIF($H$2:$H$367,H273)&gt;1),"Fecha repetida en otro dia. ","")&amp;IF(AND(H273&lt;&gt;"",H272&lt;&gt;"",H273&lt;=H272),"La fecha no es posterior a la del dia anterior. ","")&amp;IF(AND(H273&lt;&gt;"",ISNUMBER(A273),ISNUMBER(D272),ISNUMBER(C272),ABS(A273-IF(G272&gt;=$P$2,MIN(D272,C272),D272))&gt;0.005),"Bank roll inicial no sigue la regla del dia anterior (alguien sobrescribio la formula). ","")&amp;IF(AND(H273&lt;&gt;"",ISNUMBER(B273),ISNUMBER(A273),ABS(B273-A273/8)&gt;0.00001),"Stake distinto de Bank roll/8. ","")&amp;IF(AND(H273&lt;&gt;"",ISNUMBER(E273),ABS(E273)&gt;0.005),"Residuo distinto de 0. ","")&amp;IF(AND(K273&lt;&gt;"",OR(NOT(ISNUMBER(K273)),N(K273)&lt;0)),"Saldo L2 no numerico o negativo. ","")&amp;IF(AND(H273&lt;&gt;"",H273&lt;TEXT(TODAY(),"yyyy-mm-dd"),G273&gt;=$P$2,K273="",OR(N(J273)&gt;0,N(M272)&gt;0)),"Falta cerrar el Saldo L2 de este dia. ","")&amp;IF(AND(H273&lt;&gt;"",SUMPRODUCT((Registros!$C$2:$C$3000=H273)*ISTEXT(Registros!$AP$2:$AP$3000))&gt;0),"Hay P/L guardado como texto en Registros (no suma). ","")))</f>
        <v/>
      </c>
    </row>
    <row r="274" customFormat="false" ht="15" hidden="false" customHeight="true" outlineLevel="0" collapsed="false">
      <c r="A274" s="13" t="n">
        <f aca="false">IF(D273="","",IF(G273&gt;=$P$2,MIN(D273,C273),D273))</f>
        <v>8</v>
      </c>
      <c r="B274" s="13" t="n">
        <f aca="false">IF(A274="","",A274/8)</f>
        <v>1</v>
      </c>
      <c r="C274" s="13" t="n">
        <f aca="false">IF(OR(A274="",B274=""),"",A274+B274)</f>
        <v>9</v>
      </c>
      <c r="D274" s="13" t="n">
        <f aca="false">IF(A274="","",A274+SUMIFS(Registros!$AP:$AP,Registros!$C:$C,H274))</f>
        <v>8</v>
      </c>
      <c r="E274" s="13" t="n">
        <f aca="false">IF(A274="","",ROUND(A274-8*B274,2))</f>
        <v>0</v>
      </c>
      <c r="F274" s="13" t="n">
        <f aca="false">IF(OR(D274="",C274=""),"",D274-C274)</f>
        <v>-1</v>
      </c>
      <c r="G274" s="20" t="n">
        <f aca="false">IF(G273="","",G273+1)</f>
        <v>273</v>
      </c>
      <c r="H274" s="15"/>
      <c r="I274" s="14"/>
      <c r="J274" s="16" t="str">
        <f aca="false">IF(OR(H274="",D274="",C274="",G274&lt;$P$2),"",MAX(0,ROUND(D274-C274,2)))</f>
        <v/>
      </c>
      <c r="K274" s="17"/>
      <c r="L274" s="16" t="str">
        <f aca="false">IF(NOT(ISNUMBER(K274)),"",ROUND(K274-N(M273)-N(J274),2))</f>
        <v/>
      </c>
      <c r="M274" s="16" t="n">
        <f aca="false">IF(ISNUMBER(K274),K274,N(M273))</f>
        <v>0</v>
      </c>
      <c r="N274" s="0" t="str">
        <f aca="true">IF(AND(H274="",K274=""),"",TRIM(IF(AND(H274&lt;&gt;"",NOT(AND(LEN(H274)=10,MID(H274,5,1)="-",MID(H274,8,1)="-"))),"Fecha con formato invalido (usa AAAA-MM-DD). ","")&amp;IF(AND(H274&lt;&gt;"",COUNTIF($H$2:$H$367,H274)&gt;1),"Fecha repetida en otro dia. ","")&amp;IF(AND(H274&lt;&gt;"",H273&lt;&gt;"",H274&lt;=H273),"La fecha no es posterior a la del dia anterior. ","")&amp;IF(AND(H274&lt;&gt;"",ISNUMBER(A274),ISNUMBER(D273),ISNUMBER(C273),ABS(A274-IF(G273&gt;=$P$2,MIN(D273,C273),D273))&gt;0.005),"Bank roll inicial no sigue la regla del dia anterior (alguien sobrescribio la formula). ","")&amp;IF(AND(H274&lt;&gt;"",ISNUMBER(B274),ISNUMBER(A274),ABS(B274-A274/8)&gt;0.00001),"Stake distinto de Bank roll/8. ","")&amp;IF(AND(H274&lt;&gt;"",ISNUMBER(E274),ABS(E274)&gt;0.005),"Residuo distinto de 0. ","")&amp;IF(AND(K274&lt;&gt;"",OR(NOT(ISNUMBER(K274)),N(K274)&lt;0)),"Saldo L2 no numerico o negativo. ","")&amp;IF(AND(H274&lt;&gt;"",H274&lt;TEXT(TODAY(),"yyyy-mm-dd"),G274&gt;=$P$2,K274="",OR(N(J274)&gt;0,N(M273)&gt;0)),"Falta cerrar el Saldo L2 de este dia. ","")&amp;IF(AND(H274&lt;&gt;"",SUMPRODUCT((Registros!$C$2:$C$3000=H274)*ISTEXT(Registros!$AP$2:$AP$3000))&gt;0),"Hay P/L guardado como texto en Registros (no suma). ","")))</f>
        <v/>
      </c>
    </row>
    <row r="275" customFormat="false" ht="15" hidden="false" customHeight="true" outlineLevel="0" collapsed="false">
      <c r="A275" s="13" t="n">
        <f aca="false">IF(D274="","",IF(G274&gt;=$P$2,MIN(D274,C274),D274))</f>
        <v>8</v>
      </c>
      <c r="B275" s="13" t="n">
        <f aca="false">IF(A275="","",A275/8)</f>
        <v>1</v>
      </c>
      <c r="C275" s="13" t="n">
        <f aca="false">IF(OR(A275="",B275=""),"",A275+B275)</f>
        <v>9</v>
      </c>
      <c r="D275" s="13" t="n">
        <f aca="false">IF(A275="","",A275+SUMIFS(Registros!$AP:$AP,Registros!$C:$C,H275))</f>
        <v>8</v>
      </c>
      <c r="E275" s="13" t="n">
        <f aca="false">IF(A275="","",ROUND(A275-8*B275,2))</f>
        <v>0</v>
      </c>
      <c r="F275" s="13" t="n">
        <f aca="false">IF(OR(D275="",C275=""),"",D275-C275)</f>
        <v>-1</v>
      </c>
      <c r="G275" s="20" t="n">
        <f aca="false">IF(G274="","",G274+1)</f>
        <v>274</v>
      </c>
      <c r="H275" s="15"/>
      <c r="I275" s="14"/>
      <c r="J275" s="16" t="str">
        <f aca="false">IF(OR(H275="",D275="",C275="",G275&lt;$P$2),"",MAX(0,ROUND(D275-C275,2)))</f>
        <v/>
      </c>
      <c r="K275" s="17"/>
      <c r="L275" s="16" t="str">
        <f aca="false">IF(NOT(ISNUMBER(K275)),"",ROUND(K275-N(M274)-N(J275),2))</f>
        <v/>
      </c>
      <c r="M275" s="16" t="n">
        <f aca="false">IF(ISNUMBER(K275),K275,N(M274))</f>
        <v>0</v>
      </c>
      <c r="N275" s="0" t="str">
        <f aca="true">IF(AND(H275="",K275=""),"",TRIM(IF(AND(H275&lt;&gt;"",NOT(AND(LEN(H275)=10,MID(H275,5,1)="-",MID(H275,8,1)="-"))),"Fecha con formato invalido (usa AAAA-MM-DD). ","")&amp;IF(AND(H275&lt;&gt;"",COUNTIF($H$2:$H$367,H275)&gt;1),"Fecha repetida en otro dia. ","")&amp;IF(AND(H275&lt;&gt;"",H274&lt;&gt;"",H275&lt;=H274),"La fecha no es posterior a la del dia anterior. ","")&amp;IF(AND(H275&lt;&gt;"",ISNUMBER(A275),ISNUMBER(D274),ISNUMBER(C274),ABS(A275-IF(G274&gt;=$P$2,MIN(D274,C274),D274))&gt;0.005),"Bank roll inicial no sigue la regla del dia anterior (alguien sobrescribio la formula). ","")&amp;IF(AND(H275&lt;&gt;"",ISNUMBER(B275),ISNUMBER(A275),ABS(B275-A275/8)&gt;0.00001),"Stake distinto de Bank roll/8. ","")&amp;IF(AND(H275&lt;&gt;"",ISNUMBER(E275),ABS(E275)&gt;0.005),"Residuo distinto de 0. ","")&amp;IF(AND(K275&lt;&gt;"",OR(NOT(ISNUMBER(K275)),N(K275)&lt;0)),"Saldo L2 no numerico o negativo. ","")&amp;IF(AND(H275&lt;&gt;"",H275&lt;TEXT(TODAY(),"yyyy-mm-dd"),G275&gt;=$P$2,K275="",OR(N(J275)&gt;0,N(M274)&gt;0)),"Falta cerrar el Saldo L2 de este dia. ","")&amp;IF(AND(H275&lt;&gt;"",SUMPRODUCT((Registros!$C$2:$C$3000=H275)*ISTEXT(Registros!$AP$2:$AP$3000))&gt;0),"Hay P/L guardado como texto en Registros (no suma). ","")))</f>
        <v/>
      </c>
    </row>
    <row r="276" customFormat="false" ht="15" hidden="false" customHeight="true" outlineLevel="0" collapsed="false">
      <c r="A276" s="13" t="n">
        <f aca="false">IF(D275="","",IF(G275&gt;=$P$2,MIN(D275,C275),D275))</f>
        <v>8</v>
      </c>
      <c r="B276" s="13" t="n">
        <f aca="false">IF(A276="","",A276/8)</f>
        <v>1</v>
      </c>
      <c r="C276" s="13" t="n">
        <f aca="false">IF(OR(A276="",B276=""),"",A276+B276)</f>
        <v>9</v>
      </c>
      <c r="D276" s="13" t="n">
        <f aca="false">IF(A276="","",A276+SUMIFS(Registros!$AP:$AP,Registros!$C:$C,H276))</f>
        <v>8</v>
      </c>
      <c r="E276" s="13" t="n">
        <f aca="false">IF(A276="","",ROUND(A276-8*B276,2))</f>
        <v>0</v>
      </c>
      <c r="F276" s="13" t="n">
        <f aca="false">IF(OR(D276="",C276=""),"",D276-C276)</f>
        <v>-1</v>
      </c>
      <c r="G276" s="20" t="n">
        <f aca="false">IF(G275="","",G275+1)</f>
        <v>275</v>
      </c>
      <c r="H276" s="15"/>
      <c r="I276" s="14"/>
      <c r="J276" s="16" t="str">
        <f aca="false">IF(OR(H276="",D276="",C276="",G276&lt;$P$2),"",MAX(0,ROUND(D276-C276,2)))</f>
        <v/>
      </c>
      <c r="K276" s="17"/>
      <c r="L276" s="16" t="str">
        <f aca="false">IF(NOT(ISNUMBER(K276)),"",ROUND(K276-N(M275)-N(J276),2))</f>
        <v/>
      </c>
      <c r="M276" s="16" t="n">
        <f aca="false">IF(ISNUMBER(K276),K276,N(M275))</f>
        <v>0</v>
      </c>
      <c r="N276" s="0" t="str">
        <f aca="true">IF(AND(H276="",K276=""),"",TRIM(IF(AND(H276&lt;&gt;"",NOT(AND(LEN(H276)=10,MID(H276,5,1)="-",MID(H276,8,1)="-"))),"Fecha con formato invalido (usa AAAA-MM-DD). ","")&amp;IF(AND(H276&lt;&gt;"",COUNTIF($H$2:$H$367,H276)&gt;1),"Fecha repetida en otro dia. ","")&amp;IF(AND(H276&lt;&gt;"",H275&lt;&gt;"",H276&lt;=H275),"La fecha no es posterior a la del dia anterior. ","")&amp;IF(AND(H276&lt;&gt;"",ISNUMBER(A276),ISNUMBER(D275),ISNUMBER(C275),ABS(A276-IF(G275&gt;=$P$2,MIN(D275,C275),D275))&gt;0.005),"Bank roll inicial no sigue la regla del dia anterior (alguien sobrescribio la formula). ","")&amp;IF(AND(H276&lt;&gt;"",ISNUMBER(B276),ISNUMBER(A276),ABS(B276-A276/8)&gt;0.00001),"Stake distinto de Bank roll/8. ","")&amp;IF(AND(H276&lt;&gt;"",ISNUMBER(E276),ABS(E276)&gt;0.005),"Residuo distinto de 0. ","")&amp;IF(AND(K276&lt;&gt;"",OR(NOT(ISNUMBER(K276)),N(K276)&lt;0)),"Saldo L2 no numerico o negativo. ","")&amp;IF(AND(H276&lt;&gt;"",H276&lt;TEXT(TODAY(),"yyyy-mm-dd"),G276&gt;=$P$2,K276="",OR(N(J276)&gt;0,N(M275)&gt;0)),"Falta cerrar el Saldo L2 de este dia. ","")&amp;IF(AND(H276&lt;&gt;"",SUMPRODUCT((Registros!$C$2:$C$3000=H276)*ISTEXT(Registros!$AP$2:$AP$3000))&gt;0),"Hay P/L guardado como texto en Registros (no suma). ","")))</f>
        <v/>
      </c>
    </row>
    <row r="277" customFormat="false" ht="15" hidden="false" customHeight="true" outlineLevel="0" collapsed="false">
      <c r="A277" s="13" t="n">
        <f aca="false">IF(D276="","",IF(G276&gt;=$P$2,MIN(D276,C276),D276))</f>
        <v>8</v>
      </c>
      <c r="B277" s="13" t="n">
        <f aca="false">IF(A277="","",A277/8)</f>
        <v>1</v>
      </c>
      <c r="C277" s="13" t="n">
        <f aca="false">IF(OR(A277="",B277=""),"",A277+B277)</f>
        <v>9</v>
      </c>
      <c r="D277" s="13" t="n">
        <f aca="false">IF(A277="","",A277+SUMIFS(Registros!$AP:$AP,Registros!$C:$C,H277))</f>
        <v>8</v>
      </c>
      <c r="E277" s="13" t="n">
        <f aca="false">IF(A277="","",ROUND(A277-8*B277,2))</f>
        <v>0</v>
      </c>
      <c r="F277" s="13" t="n">
        <f aca="false">IF(OR(D277="",C277=""),"",D277-C277)</f>
        <v>-1</v>
      </c>
      <c r="G277" s="20" t="n">
        <f aca="false">IF(G276="","",G276+1)</f>
        <v>276</v>
      </c>
      <c r="H277" s="15"/>
      <c r="I277" s="14"/>
      <c r="J277" s="16" t="str">
        <f aca="false">IF(OR(H277="",D277="",C277="",G277&lt;$P$2),"",MAX(0,ROUND(D277-C277,2)))</f>
        <v/>
      </c>
      <c r="K277" s="17"/>
      <c r="L277" s="16" t="str">
        <f aca="false">IF(NOT(ISNUMBER(K277)),"",ROUND(K277-N(M276)-N(J277),2))</f>
        <v/>
      </c>
      <c r="M277" s="16" t="n">
        <f aca="false">IF(ISNUMBER(K277),K277,N(M276))</f>
        <v>0</v>
      </c>
      <c r="N277" s="0" t="str">
        <f aca="true">IF(AND(H277="",K277=""),"",TRIM(IF(AND(H277&lt;&gt;"",NOT(AND(LEN(H277)=10,MID(H277,5,1)="-",MID(H277,8,1)="-"))),"Fecha con formato invalido (usa AAAA-MM-DD). ","")&amp;IF(AND(H277&lt;&gt;"",COUNTIF($H$2:$H$367,H277)&gt;1),"Fecha repetida en otro dia. ","")&amp;IF(AND(H277&lt;&gt;"",H276&lt;&gt;"",H277&lt;=H276),"La fecha no es posterior a la del dia anterior. ","")&amp;IF(AND(H277&lt;&gt;"",ISNUMBER(A277),ISNUMBER(D276),ISNUMBER(C276),ABS(A277-IF(G276&gt;=$P$2,MIN(D276,C276),D276))&gt;0.005),"Bank roll inicial no sigue la regla del dia anterior (alguien sobrescribio la formula). ","")&amp;IF(AND(H277&lt;&gt;"",ISNUMBER(B277),ISNUMBER(A277),ABS(B277-A277/8)&gt;0.00001),"Stake distinto de Bank roll/8. ","")&amp;IF(AND(H277&lt;&gt;"",ISNUMBER(E277),ABS(E277)&gt;0.005),"Residuo distinto de 0. ","")&amp;IF(AND(K277&lt;&gt;"",OR(NOT(ISNUMBER(K277)),N(K277)&lt;0)),"Saldo L2 no numerico o negativo. ","")&amp;IF(AND(H277&lt;&gt;"",H277&lt;TEXT(TODAY(),"yyyy-mm-dd"),G277&gt;=$P$2,K277="",OR(N(J277)&gt;0,N(M276)&gt;0)),"Falta cerrar el Saldo L2 de este dia. ","")&amp;IF(AND(H277&lt;&gt;"",SUMPRODUCT((Registros!$C$2:$C$3000=H277)*ISTEXT(Registros!$AP$2:$AP$3000))&gt;0),"Hay P/L guardado como texto en Registros (no suma). ","")))</f>
        <v/>
      </c>
    </row>
    <row r="278" customFormat="false" ht="15" hidden="false" customHeight="true" outlineLevel="0" collapsed="false">
      <c r="A278" s="13" t="n">
        <f aca="false">IF(D277="","",IF(G277&gt;=$P$2,MIN(D277,C277),D277))</f>
        <v>8</v>
      </c>
      <c r="B278" s="13" t="n">
        <f aca="false">IF(A278="","",A278/8)</f>
        <v>1</v>
      </c>
      <c r="C278" s="13" t="n">
        <f aca="false">IF(OR(A278="",B278=""),"",A278+B278)</f>
        <v>9</v>
      </c>
      <c r="D278" s="13" t="n">
        <f aca="false">IF(A278="","",A278+SUMIFS(Registros!$AP:$AP,Registros!$C:$C,H278))</f>
        <v>8</v>
      </c>
      <c r="E278" s="13" t="n">
        <f aca="false">IF(A278="","",ROUND(A278-8*B278,2))</f>
        <v>0</v>
      </c>
      <c r="F278" s="13" t="n">
        <f aca="false">IF(OR(D278="",C278=""),"",D278-C278)</f>
        <v>-1</v>
      </c>
      <c r="G278" s="20" t="n">
        <f aca="false">IF(G277="","",G277+1)</f>
        <v>277</v>
      </c>
      <c r="H278" s="15"/>
      <c r="I278" s="14"/>
      <c r="J278" s="16" t="str">
        <f aca="false">IF(OR(H278="",D278="",C278="",G278&lt;$P$2),"",MAX(0,ROUND(D278-C278,2)))</f>
        <v/>
      </c>
      <c r="K278" s="17"/>
      <c r="L278" s="16" t="str">
        <f aca="false">IF(NOT(ISNUMBER(K278)),"",ROUND(K278-N(M277)-N(J278),2))</f>
        <v/>
      </c>
      <c r="M278" s="16" t="n">
        <f aca="false">IF(ISNUMBER(K278),K278,N(M277))</f>
        <v>0</v>
      </c>
      <c r="N278" s="0" t="str">
        <f aca="true">IF(AND(H278="",K278=""),"",TRIM(IF(AND(H278&lt;&gt;"",NOT(AND(LEN(H278)=10,MID(H278,5,1)="-",MID(H278,8,1)="-"))),"Fecha con formato invalido (usa AAAA-MM-DD). ","")&amp;IF(AND(H278&lt;&gt;"",COUNTIF($H$2:$H$367,H278)&gt;1),"Fecha repetida en otro dia. ","")&amp;IF(AND(H278&lt;&gt;"",H277&lt;&gt;"",H278&lt;=H277),"La fecha no es posterior a la del dia anterior. ","")&amp;IF(AND(H278&lt;&gt;"",ISNUMBER(A278),ISNUMBER(D277),ISNUMBER(C277),ABS(A278-IF(G277&gt;=$P$2,MIN(D277,C277),D277))&gt;0.005),"Bank roll inicial no sigue la regla del dia anterior (alguien sobrescribio la formula). ","")&amp;IF(AND(H278&lt;&gt;"",ISNUMBER(B278),ISNUMBER(A278),ABS(B278-A278/8)&gt;0.00001),"Stake distinto de Bank roll/8. ","")&amp;IF(AND(H278&lt;&gt;"",ISNUMBER(E278),ABS(E278)&gt;0.005),"Residuo distinto de 0. ","")&amp;IF(AND(K278&lt;&gt;"",OR(NOT(ISNUMBER(K278)),N(K278)&lt;0)),"Saldo L2 no numerico o negativo. ","")&amp;IF(AND(H278&lt;&gt;"",H278&lt;TEXT(TODAY(),"yyyy-mm-dd"),G278&gt;=$P$2,K278="",OR(N(J278)&gt;0,N(M277)&gt;0)),"Falta cerrar el Saldo L2 de este dia. ","")&amp;IF(AND(H278&lt;&gt;"",SUMPRODUCT((Registros!$C$2:$C$3000=H278)*ISTEXT(Registros!$AP$2:$AP$3000))&gt;0),"Hay P/L guardado como texto en Registros (no suma). ","")))</f>
        <v/>
      </c>
    </row>
    <row r="279" customFormat="false" ht="15" hidden="false" customHeight="true" outlineLevel="0" collapsed="false">
      <c r="A279" s="13" t="n">
        <f aca="false">IF(D278="","",IF(G278&gt;=$P$2,MIN(D278,C278),D278))</f>
        <v>8</v>
      </c>
      <c r="B279" s="13" t="n">
        <f aca="false">IF(A279="","",A279/8)</f>
        <v>1</v>
      </c>
      <c r="C279" s="13" t="n">
        <f aca="false">IF(OR(A279="",B279=""),"",A279+B279)</f>
        <v>9</v>
      </c>
      <c r="D279" s="13" t="n">
        <f aca="false">IF(A279="","",A279+SUMIFS(Registros!$AP:$AP,Registros!$C:$C,H279))</f>
        <v>8</v>
      </c>
      <c r="E279" s="13" t="n">
        <f aca="false">IF(A279="","",ROUND(A279-8*B279,2))</f>
        <v>0</v>
      </c>
      <c r="F279" s="13" t="n">
        <f aca="false">IF(OR(D279="",C279=""),"",D279-C279)</f>
        <v>-1</v>
      </c>
      <c r="G279" s="20" t="n">
        <f aca="false">IF(G278="","",G278+1)</f>
        <v>278</v>
      </c>
      <c r="H279" s="15"/>
      <c r="I279" s="14"/>
      <c r="J279" s="16" t="str">
        <f aca="false">IF(OR(H279="",D279="",C279="",G279&lt;$P$2),"",MAX(0,ROUND(D279-C279,2)))</f>
        <v/>
      </c>
      <c r="K279" s="17"/>
      <c r="L279" s="16" t="str">
        <f aca="false">IF(NOT(ISNUMBER(K279)),"",ROUND(K279-N(M278)-N(J279),2))</f>
        <v/>
      </c>
      <c r="M279" s="16" t="n">
        <f aca="false">IF(ISNUMBER(K279),K279,N(M278))</f>
        <v>0</v>
      </c>
      <c r="N279" s="0" t="str">
        <f aca="true">IF(AND(H279="",K279=""),"",TRIM(IF(AND(H279&lt;&gt;"",NOT(AND(LEN(H279)=10,MID(H279,5,1)="-",MID(H279,8,1)="-"))),"Fecha con formato invalido (usa AAAA-MM-DD). ","")&amp;IF(AND(H279&lt;&gt;"",COUNTIF($H$2:$H$367,H279)&gt;1),"Fecha repetida en otro dia. ","")&amp;IF(AND(H279&lt;&gt;"",H278&lt;&gt;"",H279&lt;=H278),"La fecha no es posterior a la del dia anterior. ","")&amp;IF(AND(H279&lt;&gt;"",ISNUMBER(A279),ISNUMBER(D278),ISNUMBER(C278),ABS(A279-IF(G278&gt;=$P$2,MIN(D278,C278),D278))&gt;0.005),"Bank roll inicial no sigue la regla del dia anterior (alguien sobrescribio la formula). ","")&amp;IF(AND(H279&lt;&gt;"",ISNUMBER(B279),ISNUMBER(A279),ABS(B279-A279/8)&gt;0.00001),"Stake distinto de Bank roll/8. ","")&amp;IF(AND(H279&lt;&gt;"",ISNUMBER(E279),ABS(E279)&gt;0.005),"Residuo distinto de 0. ","")&amp;IF(AND(K279&lt;&gt;"",OR(NOT(ISNUMBER(K279)),N(K279)&lt;0)),"Saldo L2 no numerico o negativo. ","")&amp;IF(AND(H279&lt;&gt;"",H279&lt;TEXT(TODAY(),"yyyy-mm-dd"),G279&gt;=$P$2,K279="",OR(N(J279)&gt;0,N(M278)&gt;0)),"Falta cerrar el Saldo L2 de este dia. ","")&amp;IF(AND(H279&lt;&gt;"",SUMPRODUCT((Registros!$C$2:$C$3000=H279)*ISTEXT(Registros!$AP$2:$AP$3000))&gt;0),"Hay P/L guardado como texto en Registros (no suma). ","")))</f>
        <v/>
      </c>
    </row>
    <row r="280" customFormat="false" ht="15" hidden="false" customHeight="true" outlineLevel="0" collapsed="false">
      <c r="A280" s="13" t="n">
        <f aca="false">IF(D279="","",IF(G279&gt;=$P$2,MIN(D279,C279),D279))</f>
        <v>8</v>
      </c>
      <c r="B280" s="13" t="n">
        <f aca="false">IF(A280="","",A280/8)</f>
        <v>1</v>
      </c>
      <c r="C280" s="13" t="n">
        <f aca="false">IF(OR(A280="",B280=""),"",A280+B280)</f>
        <v>9</v>
      </c>
      <c r="D280" s="13" t="n">
        <f aca="false">IF(A280="","",A280+SUMIFS(Registros!$AP:$AP,Registros!$C:$C,H280))</f>
        <v>8</v>
      </c>
      <c r="E280" s="13" t="n">
        <f aca="false">IF(A280="","",ROUND(A280-8*B280,2))</f>
        <v>0</v>
      </c>
      <c r="F280" s="13" t="n">
        <f aca="false">IF(OR(D280="",C280=""),"",D280-C280)</f>
        <v>-1</v>
      </c>
      <c r="G280" s="20" t="n">
        <f aca="false">IF(G279="","",G279+1)</f>
        <v>279</v>
      </c>
      <c r="H280" s="15"/>
      <c r="I280" s="14"/>
      <c r="J280" s="16" t="str">
        <f aca="false">IF(OR(H280="",D280="",C280="",G280&lt;$P$2),"",MAX(0,ROUND(D280-C280,2)))</f>
        <v/>
      </c>
      <c r="K280" s="17"/>
      <c r="L280" s="16" t="str">
        <f aca="false">IF(NOT(ISNUMBER(K280)),"",ROUND(K280-N(M279)-N(J280),2))</f>
        <v/>
      </c>
      <c r="M280" s="16" t="n">
        <f aca="false">IF(ISNUMBER(K280),K280,N(M279))</f>
        <v>0</v>
      </c>
      <c r="N280" s="0" t="str">
        <f aca="true">IF(AND(H280="",K280=""),"",TRIM(IF(AND(H280&lt;&gt;"",NOT(AND(LEN(H280)=10,MID(H280,5,1)="-",MID(H280,8,1)="-"))),"Fecha con formato invalido (usa AAAA-MM-DD). ","")&amp;IF(AND(H280&lt;&gt;"",COUNTIF($H$2:$H$367,H280)&gt;1),"Fecha repetida en otro dia. ","")&amp;IF(AND(H280&lt;&gt;"",H279&lt;&gt;"",H280&lt;=H279),"La fecha no es posterior a la del dia anterior. ","")&amp;IF(AND(H280&lt;&gt;"",ISNUMBER(A280),ISNUMBER(D279),ISNUMBER(C279),ABS(A280-IF(G279&gt;=$P$2,MIN(D279,C279),D279))&gt;0.005),"Bank roll inicial no sigue la regla del dia anterior (alguien sobrescribio la formula). ","")&amp;IF(AND(H280&lt;&gt;"",ISNUMBER(B280),ISNUMBER(A280),ABS(B280-A280/8)&gt;0.00001),"Stake distinto de Bank roll/8. ","")&amp;IF(AND(H280&lt;&gt;"",ISNUMBER(E280),ABS(E280)&gt;0.005),"Residuo distinto de 0. ","")&amp;IF(AND(K280&lt;&gt;"",OR(NOT(ISNUMBER(K280)),N(K280)&lt;0)),"Saldo L2 no numerico o negativo. ","")&amp;IF(AND(H280&lt;&gt;"",H280&lt;TEXT(TODAY(),"yyyy-mm-dd"),G280&gt;=$P$2,K280="",OR(N(J280)&gt;0,N(M279)&gt;0)),"Falta cerrar el Saldo L2 de este dia. ","")&amp;IF(AND(H280&lt;&gt;"",SUMPRODUCT((Registros!$C$2:$C$3000=H280)*ISTEXT(Registros!$AP$2:$AP$3000))&gt;0),"Hay P/L guardado como texto en Registros (no suma). ","")))</f>
        <v/>
      </c>
    </row>
    <row r="281" customFormat="false" ht="15" hidden="false" customHeight="true" outlineLevel="0" collapsed="false">
      <c r="A281" s="13" t="n">
        <f aca="false">IF(D280="","",IF(G280&gt;=$P$2,MIN(D280,C280),D280))</f>
        <v>8</v>
      </c>
      <c r="B281" s="13" t="n">
        <f aca="false">IF(A281="","",A281/8)</f>
        <v>1</v>
      </c>
      <c r="C281" s="13" t="n">
        <f aca="false">IF(OR(A281="",B281=""),"",A281+B281)</f>
        <v>9</v>
      </c>
      <c r="D281" s="13" t="n">
        <f aca="false">IF(A281="","",A281+SUMIFS(Registros!$AP:$AP,Registros!$C:$C,H281))</f>
        <v>8</v>
      </c>
      <c r="E281" s="13" t="n">
        <f aca="false">IF(A281="","",ROUND(A281-8*B281,2))</f>
        <v>0</v>
      </c>
      <c r="F281" s="13" t="n">
        <f aca="false">IF(OR(D281="",C281=""),"",D281-C281)</f>
        <v>-1</v>
      </c>
      <c r="G281" s="20" t="n">
        <f aca="false">IF(G280="","",G280+1)</f>
        <v>280</v>
      </c>
      <c r="H281" s="15"/>
      <c r="I281" s="14"/>
      <c r="J281" s="16" t="str">
        <f aca="false">IF(OR(H281="",D281="",C281="",G281&lt;$P$2),"",MAX(0,ROUND(D281-C281,2)))</f>
        <v/>
      </c>
      <c r="K281" s="17"/>
      <c r="L281" s="16" t="str">
        <f aca="false">IF(NOT(ISNUMBER(K281)),"",ROUND(K281-N(M280)-N(J281),2))</f>
        <v/>
      </c>
      <c r="M281" s="16" t="n">
        <f aca="false">IF(ISNUMBER(K281),K281,N(M280))</f>
        <v>0</v>
      </c>
      <c r="N281" s="0" t="str">
        <f aca="true">IF(AND(H281="",K281=""),"",TRIM(IF(AND(H281&lt;&gt;"",NOT(AND(LEN(H281)=10,MID(H281,5,1)="-",MID(H281,8,1)="-"))),"Fecha con formato invalido (usa AAAA-MM-DD). ","")&amp;IF(AND(H281&lt;&gt;"",COUNTIF($H$2:$H$367,H281)&gt;1),"Fecha repetida en otro dia. ","")&amp;IF(AND(H281&lt;&gt;"",H280&lt;&gt;"",H281&lt;=H280),"La fecha no es posterior a la del dia anterior. ","")&amp;IF(AND(H281&lt;&gt;"",ISNUMBER(A281),ISNUMBER(D280),ISNUMBER(C280),ABS(A281-IF(G280&gt;=$P$2,MIN(D280,C280),D280))&gt;0.005),"Bank roll inicial no sigue la regla del dia anterior (alguien sobrescribio la formula). ","")&amp;IF(AND(H281&lt;&gt;"",ISNUMBER(B281),ISNUMBER(A281),ABS(B281-A281/8)&gt;0.00001),"Stake distinto de Bank roll/8. ","")&amp;IF(AND(H281&lt;&gt;"",ISNUMBER(E281),ABS(E281)&gt;0.005),"Residuo distinto de 0. ","")&amp;IF(AND(K281&lt;&gt;"",OR(NOT(ISNUMBER(K281)),N(K281)&lt;0)),"Saldo L2 no numerico o negativo. ","")&amp;IF(AND(H281&lt;&gt;"",H281&lt;TEXT(TODAY(),"yyyy-mm-dd"),G281&gt;=$P$2,K281="",OR(N(J281)&gt;0,N(M280)&gt;0)),"Falta cerrar el Saldo L2 de este dia. ","")&amp;IF(AND(H281&lt;&gt;"",SUMPRODUCT((Registros!$C$2:$C$3000=H281)*ISTEXT(Registros!$AP$2:$AP$3000))&gt;0),"Hay P/L guardado como texto en Registros (no suma). ","")))</f>
        <v/>
      </c>
    </row>
    <row r="282" customFormat="false" ht="15" hidden="false" customHeight="true" outlineLevel="0" collapsed="false">
      <c r="A282" s="13" t="n">
        <f aca="false">IF(D281="","",IF(G281&gt;=$P$2,MIN(D281,C281),D281))</f>
        <v>8</v>
      </c>
      <c r="B282" s="13" t="n">
        <f aca="false">IF(A282="","",A282/8)</f>
        <v>1</v>
      </c>
      <c r="C282" s="13" t="n">
        <f aca="false">IF(OR(A282="",B282=""),"",A282+B282)</f>
        <v>9</v>
      </c>
      <c r="D282" s="13" t="n">
        <f aca="false">IF(A282="","",A282+SUMIFS(Registros!$AP:$AP,Registros!$C:$C,H282))</f>
        <v>8</v>
      </c>
      <c r="E282" s="13" t="n">
        <f aca="false">IF(A282="","",ROUND(A282-8*B282,2))</f>
        <v>0</v>
      </c>
      <c r="F282" s="13" t="n">
        <f aca="false">IF(OR(D282="",C282=""),"",D282-C282)</f>
        <v>-1</v>
      </c>
      <c r="G282" s="20" t="n">
        <f aca="false">IF(G281="","",G281+1)</f>
        <v>281</v>
      </c>
      <c r="H282" s="15"/>
      <c r="I282" s="14"/>
      <c r="J282" s="16" t="str">
        <f aca="false">IF(OR(H282="",D282="",C282="",G282&lt;$P$2),"",MAX(0,ROUND(D282-C282,2)))</f>
        <v/>
      </c>
      <c r="K282" s="17"/>
      <c r="L282" s="16" t="str">
        <f aca="false">IF(NOT(ISNUMBER(K282)),"",ROUND(K282-N(M281)-N(J282),2))</f>
        <v/>
      </c>
      <c r="M282" s="16" t="n">
        <f aca="false">IF(ISNUMBER(K282),K282,N(M281))</f>
        <v>0</v>
      </c>
      <c r="N282" s="0" t="str">
        <f aca="true">IF(AND(H282="",K282=""),"",TRIM(IF(AND(H282&lt;&gt;"",NOT(AND(LEN(H282)=10,MID(H282,5,1)="-",MID(H282,8,1)="-"))),"Fecha con formato invalido (usa AAAA-MM-DD). ","")&amp;IF(AND(H282&lt;&gt;"",COUNTIF($H$2:$H$367,H282)&gt;1),"Fecha repetida en otro dia. ","")&amp;IF(AND(H282&lt;&gt;"",H281&lt;&gt;"",H282&lt;=H281),"La fecha no es posterior a la del dia anterior. ","")&amp;IF(AND(H282&lt;&gt;"",ISNUMBER(A282),ISNUMBER(D281),ISNUMBER(C281),ABS(A282-IF(G281&gt;=$P$2,MIN(D281,C281),D281))&gt;0.005),"Bank roll inicial no sigue la regla del dia anterior (alguien sobrescribio la formula). ","")&amp;IF(AND(H282&lt;&gt;"",ISNUMBER(B282),ISNUMBER(A282),ABS(B282-A282/8)&gt;0.00001),"Stake distinto de Bank roll/8. ","")&amp;IF(AND(H282&lt;&gt;"",ISNUMBER(E282),ABS(E282)&gt;0.005),"Residuo distinto de 0. ","")&amp;IF(AND(K282&lt;&gt;"",OR(NOT(ISNUMBER(K282)),N(K282)&lt;0)),"Saldo L2 no numerico o negativo. ","")&amp;IF(AND(H282&lt;&gt;"",H282&lt;TEXT(TODAY(),"yyyy-mm-dd"),G282&gt;=$P$2,K282="",OR(N(J282)&gt;0,N(M281)&gt;0)),"Falta cerrar el Saldo L2 de este dia. ","")&amp;IF(AND(H282&lt;&gt;"",SUMPRODUCT((Registros!$C$2:$C$3000=H282)*ISTEXT(Registros!$AP$2:$AP$3000))&gt;0),"Hay P/L guardado como texto en Registros (no suma). ","")))</f>
        <v/>
      </c>
    </row>
    <row r="283" customFormat="false" ht="15" hidden="false" customHeight="true" outlineLevel="0" collapsed="false">
      <c r="A283" s="13" t="n">
        <f aca="false">IF(D282="","",IF(G282&gt;=$P$2,MIN(D282,C282),D282))</f>
        <v>8</v>
      </c>
      <c r="B283" s="13" t="n">
        <f aca="false">IF(A283="","",A283/8)</f>
        <v>1</v>
      </c>
      <c r="C283" s="13" t="n">
        <f aca="false">IF(OR(A283="",B283=""),"",A283+B283)</f>
        <v>9</v>
      </c>
      <c r="D283" s="13" t="n">
        <f aca="false">IF(A283="","",A283+SUMIFS(Registros!$AP:$AP,Registros!$C:$C,H283))</f>
        <v>8</v>
      </c>
      <c r="E283" s="13" t="n">
        <f aca="false">IF(A283="","",ROUND(A283-8*B283,2))</f>
        <v>0</v>
      </c>
      <c r="F283" s="13" t="n">
        <f aca="false">IF(OR(D283="",C283=""),"",D283-C283)</f>
        <v>-1</v>
      </c>
      <c r="G283" s="20" t="n">
        <f aca="false">IF(G282="","",G282+1)</f>
        <v>282</v>
      </c>
      <c r="H283" s="15"/>
      <c r="I283" s="14"/>
      <c r="J283" s="16" t="str">
        <f aca="false">IF(OR(H283="",D283="",C283="",G283&lt;$P$2),"",MAX(0,ROUND(D283-C283,2)))</f>
        <v/>
      </c>
      <c r="K283" s="17"/>
      <c r="L283" s="16" t="str">
        <f aca="false">IF(NOT(ISNUMBER(K283)),"",ROUND(K283-N(M282)-N(J283),2))</f>
        <v/>
      </c>
      <c r="M283" s="16" t="n">
        <f aca="false">IF(ISNUMBER(K283),K283,N(M282))</f>
        <v>0</v>
      </c>
      <c r="N283" s="0" t="str">
        <f aca="true">IF(AND(H283="",K283=""),"",TRIM(IF(AND(H283&lt;&gt;"",NOT(AND(LEN(H283)=10,MID(H283,5,1)="-",MID(H283,8,1)="-"))),"Fecha con formato invalido (usa AAAA-MM-DD). ","")&amp;IF(AND(H283&lt;&gt;"",COUNTIF($H$2:$H$367,H283)&gt;1),"Fecha repetida en otro dia. ","")&amp;IF(AND(H283&lt;&gt;"",H282&lt;&gt;"",H283&lt;=H282),"La fecha no es posterior a la del dia anterior. ","")&amp;IF(AND(H283&lt;&gt;"",ISNUMBER(A283),ISNUMBER(D282),ISNUMBER(C282),ABS(A283-IF(G282&gt;=$P$2,MIN(D282,C282),D282))&gt;0.005),"Bank roll inicial no sigue la regla del dia anterior (alguien sobrescribio la formula). ","")&amp;IF(AND(H283&lt;&gt;"",ISNUMBER(B283),ISNUMBER(A283),ABS(B283-A283/8)&gt;0.00001),"Stake distinto de Bank roll/8. ","")&amp;IF(AND(H283&lt;&gt;"",ISNUMBER(E283),ABS(E283)&gt;0.005),"Residuo distinto de 0. ","")&amp;IF(AND(K283&lt;&gt;"",OR(NOT(ISNUMBER(K283)),N(K283)&lt;0)),"Saldo L2 no numerico o negativo. ","")&amp;IF(AND(H283&lt;&gt;"",H283&lt;TEXT(TODAY(),"yyyy-mm-dd"),G283&gt;=$P$2,K283="",OR(N(J283)&gt;0,N(M282)&gt;0)),"Falta cerrar el Saldo L2 de este dia. ","")&amp;IF(AND(H283&lt;&gt;"",SUMPRODUCT((Registros!$C$2:$C$3000=H283)*ISTEXT(Registros!$AP$2:$AP$3000))&gt;0),"Hay P/L guardado como texto en Registros (no suma). ","")))</f>
        <v/>
      </c>
    </row>
    <row r="284" customFormat="false" ht="15" hidden="false" customHeight="true" outlineLevel="0" collapsed="false">
      <c r="A284" s="13" t="n">
        <f aca="false">IF(D283="","",IF(G283&gt;=$P$2,MIN(D283,C283),D283))</f>
        <v>8</v>
      </c>
      <c r="B284" s="13" t="n">
        <f aca="false">IF(A284="","",A284/8)</f>
        <v>1</v>
      </c>
      <c r="C284" s="13" t="n">
        <f aca="false">IF(OR(A284="",B284=""),"",A284+B284)</f>
        <v>9</v>
      </c>
      <c r="D284" s="13" t="n">
        <f aca="false">IF(A284="","",A284+SUMIFS(Registros!$AP:$AP,Registros!$C:$C,H284))</f>
        <v>8</v>
      </c>
      <c r="E284" s="13" t="n">
        <f aca="false">IF(A284="","",ROUND(A284-8*B284,2))</f>
        <v>0</v>
      </c>
      <c r="F284" s="13" t="n">
        <f aca="false">IF(OR(D284="",C284=""),"",D284-C284)</f>
        <v>-1</v>
      </c>
      <c r="G284" s="20" t="n">
        <f aca="false">IF(G283="","",G283+1)</f>
        <v>283</v>
      </c>
      <c r="H284" s="15"/>
      <c r="I284" s="14"/>
      <c r="J284" s="16" t="str">
        <f aca="false">IF(OR(H284="",D284="",C284="",G284&lt;$P$2),"",MAX(0,ROUND(D284-C284,2)))</f>
        <v/>
      </c>
      <c r="K284" s="17"/>
      <c r="L284" s="16" t="str">
        <f aca="false">IF(NOT(ISNUMBER(K284)),"",ROUND(K284-N(M283)-N(J284),2))</f>
        <v/>
      </c>
      <c r="M284" s="16" t="n">
        <f aca="false">IF(ISNUMBER(K284),K284,N(M283))</f>
        <v>0</v>
      </c>
      <c r="N284" s="0" t="str">
        <f aca="true">IF(AND(H284="",K284=""),"",TRIM(IF(AND(H284&lt;&gt;"",NOT(AND(LEN(H284)=10,MID(H284,5,1)="-",MID(H284,8,1)="-"))),"Fecha con formato invalido (usa AAAA-MM-DD). ","")&amp;IF(AND(H284&lt;&gt;"",COUNTIF($H$2:$H$367,H284)&gt;1),"Fecha repetida en otro dia. ","")&amp;IF(AND(H284&lt;&gt;"",H283&lt;&gt;"",H284&lt;=H283),"La fecha no es posterior a la del dia anterior. ","")&amp;IF(AND(H284&lt;&gt;"",ISNUMBER(A284),ISNUMBER(D283),ISNUMBER(C283),ABS(A284-IF(G283&gt;=$P$2,MIN(D283,C283),D283))&gt;0.005),"Bank roll inicial no sigue la regla del dia anterior (alguien sobrescribio la formula). ","")&amp;IF(AND(H284&lt;&gt;"",ISNUMBER(B284),ISNUMBER(A284),ABS(B284-A284/8)&gt;0.00001),"Stake distinto de Bank roll/8. ","")&amp;IF(AND(H284&lt;&gt;"",ISNUMBER(E284),ABS(E284)&gt;0.005),"Residuo distinto de 0. ","")&amp;IF(AND(K284&lt;&gt;"",OR(NOT(ISNUMBER(K284)),N(K284)&lt;0)),"Saldo L2 no numerico o negativo. ","")&amp;IF(AND(H284&lt;&gt;"",H284&lt;TEXT(TODAY(),"yyyy-mm-dd"),G284&gt;=$P$2,K284="",OR(N(J284)&gt;0,N(M283)&gt;0)),"Falta cerrar el Saldo L2 de este dia. ","")&amp;IF(AND(H284&lt;&gt;"",SUMPRODUCT((Registros!$C$2:$C$3000=H284)*ISTEXT(Registros!$AP$2:$AP$3000))&gt;0),"Hay P/L guardado como texto en Registros (no suma). ","")))</f>
        <v/>
      </c>
    </row>
    <row r="285" customFormat="false" ht="15" hidden="false" customHeight="true" outlineLevel="0" collapsed="false">
      <c r="A285" s="13" t="n">
        <f aca="false">IF(D284="","",IF(G284&gt;=$P$2,MIN(D284,C284),D284))</f>
        <v>8</v>
      </c>
      <c r="B285" s="13" t="n">
        <f aca="false">IF(A285="","",A285/8)</f>
        <v>1</v>
      </c>
      <c r="C285" s="13" t="n">
        <f aca="false">IF(OR(A285="",B285=""),"",A285+B285)</f>
        <v>9</v>
      </c>
      <c r="D285" s="13" t="n">
        <f aca="false">IF(A285="","",A285+SUMIFS(Registros!$AP:$AP,Registros!$C:$C,H285))</f>
        <v>8</v>
      </c>
      <c r="E285" s="13" t="n">
        <f aca="false">IF(A285="","",ROUND(A285-8*B285,2))</f>
        <v>0</v>
      </c>
      <c r="F285" s="13" t="n">
        <f aca="false">IF(OR(D285="",C285=""),"",D285-C285)</f>
        <v>-1</v>
      </c>
      <c r="G285" s="20" t="n">
        <f aca="false">IF(G284="","",G284+1)</f>
        <v>284</v>
      </c>
      <c r="H285" s="15"/>
      <c r="I285" s="14"/>
      <c r="J285" s="16" t="str">
        <f aca="false">IF(OR(H285="",D285="",C285="",G285&lt;$P$2),"",MAX(0,ROUND(D285-C285,2)))</f>
        <v/>
      </c>
      <c r="K285" s="17"/>
      <c r="L285" s="16" t="str">
        <f aca="false">IF(NOT(ISNUMBER(K285)),"",ROUND(K285-N(M284)-N(J285),2))</f>
        <v/>
      </c>
      <c r="M285" s="16" t="n">
        <f aca="false">IF(ISNUMBER(K285),K285,N(M284))</f>
        <v>0</v>
      </c>
      <c r="N285" s="0" t="str">
        <f aca="true">IF(AND(H285="",K285=""),"",TRIM(IF(AND(H285&lt;&gt;"",NOT(AND(LEN(H285)=10,MID(H285,5,1)="-",MID(H285,8,1)="-"))),"Fecha con formato invalido (usa AAAA-MM-DD). ","")&amp;IF(AND(H285&lt;&gt;"",COUNTIF($H$2:$H$367,H285)&gt;1),"Fecha repetida en otro dia. ","")&amp;IF(AND(H285&lt;&gt;"",H284&lt;&gt;"",H285&lt;=H284),"La fecha no es posterior a la del dia anterior. ","")&amp;IF(AND(H285&lt;&gt;"",ISNUMBER(A285),ISNUMBER(D284),ISNUMBER(C284),ABS(A285-IF(G284&gt;=$P$2,MIN(D284,C284),D284))&gt;0.005),"Bank roll inicial no sigue la regla del dia anterior (alguien sobrescribio la formula). ","")&amp;IF(AND(H285&lt;&gt;"",ISNUMBER(B285),ISNUMBER(A285),ABS(B285-A285/8)&gt;0.00001),"Stake distinto de Bank roll/8. ","")&amp;IF(AND(H285&lt;&gt;"",ISNUMBER(E285),ABS(E285)&gt;0.005),"Residuo distinto de 0. ","")&amp;IF(AND(K285&lt;&gt;"",OR(NOT(ISNUMBER(K285)),N(K285)&lt;0)),"Saldo L2 no numerico o negativo. ","")&amp;IF(AND(H285&lt;&gt;"",H285&lt;TEXT(TODAY(),"yyyy-mm-dd"),G285&gt;=$P$2,K285="",OR(N(J285)&gt;0,N(M284)&gt;0)),"Falta cerrar el Saldo L2 de este dia. ","")&amp;IF(AND(H285&lt;&gt;"",SUMPRODUCT((Registros!$C$2:$C$3000=H285)*ISTEXT(Registros!$AP$2:$AP$3000))&gt;0),"Hay P/L guardado como texto en Registros (no suma). ","")))</f>
        <v/>
      </c>
    </row>
    <row r="286" customFormat="false" ht="15" hidden="false" customHeight="true" outlineLevel="0" collapsed="false">
      <c r="A286" s="13" t="n">
        <f aca="false">IF(D285="","",IF(G285&gt;=$P$2,MIN(D285,C285),D285))</f>
        <v>8</v>
      </c>
      <c r="B286" s="13" t="n">
        <f aca="false">IF(A286="","",A286/8)</f>
        <v>1</v>
      </c>
      <c r="C286" s="13" t="n">
        <f aca="false">IF(OR(A286="",B286=""),"",A286+B286)</f>
        <v>9</v>
      </c>
      <c r="D286" s="13" t="n">
        <f aca="false">IF(A286="","",A286+SUMIFS(Registros!$AP:$AP,Registros!$C:$C,H286))</f>
        <v>8</v>
      </c>
      <c r="E286" s="13" t="n">
        <f aca="false">IF(A286="","",ROUND(A286-8*B286,2))</f>
        <v>0</v>
      </c>
      <c r="F286" s="13" t="n">
        <f aca="false">IF(OR(D286="",C286=""),"",D286-C286)</f>
        <v>-1</v>
      </c>
      <c r="G286" s="20" t="n">
        <f aca="false">IF(G285="","",G285+1)</f>
        <v>285</v>
      </c>
      <c r="H286" s="15"/>
      <c r="I286" s="14"/>
      <c r="J286" s="16" t="str">
        <f aca="false">IF(OR(H286="",D286="",C286="",G286&lt;$P$2),"",MAX(0,ROUND(D286-C286,2)))</f>
        <v/>
      </c>
      <c r="K286" s="17"/>
      <c r="L286" s="16" t="str">
        <f aca="false">IF(NOT(ISNUMBER(K286)),"",ROUND(K286-N(M285)-N(J286),2))</f>
        <v/>
      </c>
      <c r="M286" s="16" t="n">
        <f aca="false">IF(ISNUMBER(K286),K286,N(M285))</f>
        <v>0</v>
      </c>
      <c r="N286" s="0" t="str">
        <f aca="true">IF(AND(H286="",K286=""),"",TRIM(IF(AND(H286&lt;&gt;"",NOT(AND(LEN(H286)=10,MID(H286,5,1)="-",MID(H286,8,1)="-"))),"Fecha con formato invalido (usa AAAA-MM-DD). ","")&amp;IF(AND(H286&lt;&gt;"",COUNTIF($H$2:$H$367,H286)&gt;1),"Fecha repetida en otro dia. ","")&amp;IF(AND(H286&lt;&gt;"",H285&lt;&gt;"",H286&lt;=H285),"La fecha no es posterior a la del dia anterior. ","")&amp;IF(AND(H286&lt;&gt;"",ISNUMBER(A286),ISNUMBER(D285),ISNUMBER(C285),ABS(A286-IF(G285&gt;=$P$2,MIN(D285,C285),D285))&gt;0.005),"Bank roll inicial no sigue la regla del dia anterior (alguien sobrescribio la formula). ","")&amp;IF(AND(H286&lt;&gt;"",ISNUMBER(B286),ISNUMBER(A286),ABS(B286-A286/8)&gt;0.00001),"Stake distinto de Bank roll/8. ","")&amp;IF(AND(H286&lt;&gt;"",ISNUMBER(E286),ABS(E286)&gt;0.005),"Residuo distinto de 0. ","")&amp;IF(AND(K286&lt;&gt;"",OR(NOT(ISNUMBER(K286)),N(K286)&lt;0)),"Saldo L2 no numerico o negativo. ","")&amp;IF(AND(H286&lt;&gt;"",H286&lt;TEXT(TODAY(),"yyyy-mm-dd"),G286&gt;=$P$2,K286="",OR(N(J286)&gt;0,N(M285)&gt;0)),"Falta cerrar el Saldo L2 de este dia. ","")&amp;IF(AND(H286&lt;&gt;"",SUMPRODUCT((Registros!$C$2:$C$3000=H286)*ISTEXT(Registros!$AP$2:$AP$3000))&gt;0),"Hay P/L guardado como texto en Registros (no suma). ","")))</f>
        <v/>
      </c>
    </row>
    <row r="287" customFormat="false" ht="15" hidden="false" customHeight="true" outlineLevel="0" collapsed="false">
      <c r="A287" s="13" t="n">
        <f aca="false">IF(D286="","",IF(G286&gt;=$P$2,MIN(D286,C286),D286))</f>
        <v>8</v>
      </c>
      <c r="B287" s="13" t="n">
        <f aca="false">IF(A287="","",A287/8)</f>
        <v>1</v>
      </c>
      <c r="C287" s="13" t="n">
        <f aca="false">IF(OR(A287="",B287=""),"",A287+B287)</f>
        <v>9</v>
      </c>
      <c r="D287" s="13" t="n">
        <f aca="false">IF(A287="","",A287+SUMIFS(Registros!$AP:$AP,Registros!$C:$C,H287))</f>
        <v>8</v>
      </c>
      <c r="E287" s="13" t="n">
        <f aca="false">IF(A287="","",ROUND(A287-8*B287,2))</f>
        <v>0</v>
      </c>
      <c r="F287" s="13" t="n">
        <f aca="false">IF(OR(D287="",C287=""),"",D287-C287)</f>
        <v>-1</v>
      </c>
      <c r="G287" s="20" t="n">
        <f aca="false">IF(G286="","",G286+1)</f>
        <v>286</v>
      </c>
      <c r="H287" s="15"/>
      <c r="I287" s="14"/>
      <c r="J287" s="16" t="str">
        <f aca="false">IF(OR(H287="",D287="",C287="",G287&lt;$P$2),"",MAX(0,ROUND(D287-C287,2)))</f>
        <v/>
      </c>
      <c r="K287" s="17"/>
      <c r="L287" s="16" t="str">
        <f aca="false">IF(NOT(ISNUMBER(K287)),"",ROUND(K287-N(M286)-N(J287),2))</f>
        <v/>
      </c>
      <c r="M287" s="16" t="n">
        <f aca="false">IF(ISNUMBER(K287),K287,N(M286))</f>
        <v>0</v>
      </c>
      <c r="N287" s="0" t="str">
        <f aca="true">IF(AND(H287="",K287=""),"",TRIM(IF(AND(H287&lt;&gt;"",NOT(AND(LEN(H287)=10,MID(H287,5,1)="-",MID(H287,8,1)="-"))),"Fecha con formato invalido (usa AAAA-MM-DD). ","")&amp;IF(AND(H287&lt;&gt;"",COUNTIF($H$2:$H$367,H287)&gt;1),"Fecha repetida en otro dia. ","")&amp;IF(AND(H287&lt;&gt;"",H286&lt;&gt;"",H287&lt;=H286),"La fecha no es posterior a la del dia anterior. ","")&amp;IF(AND(H287&lt;&gt;"",ISNUMBER(A287),ISNUMBER(D286),ISNUMBER(C286),ABS(A287-IF(G286&gt;=$P$2,MIN(D286,C286),D286))&gt;0.005),"Bank roll inicial no sigue la regla del dia anterior (alguien sobrescribio la formula). ","")&amp;IF(AND(H287&lt;&gt;"",ISNUMBER(B287),ISNUMBER(A287),ABS(B287-A287/8)&gt;0.00001),"Stake distinto de Bank roll/8. ","")&amp;IF(AND(H287&lt;&gt;"",ISNUMBER(E287),ABS(E287)&gt;0.005),"Residuo distinto de 0. ","")&amp;IF(AND(K287&lt;&gt;"",OR(NOT(ISNUMBER(K287)),N(K287)&lt;0)),"Saldo L2 no numerico o negativo. ","")&amp;IF(AND(H287&lt;&gt;"",H287&lt;TEXT(TODAY(),"yyyy-mm-dd"),G287&gt;=$P$2,K287="",OR(N(J287)&gt;0,N(M286)&gt;0)),"Falta cerrar el Saldo L2 de este dia. ","")&amp;IF(AND(H287&lt;&gt;"",SUMPRODUCT((Registros!$C$2:$C$3000=H287)*ISTEXT(Registros!$AP$2:$AP$3000))&gt;0),"Hay P/L guardado como texto en Registros (no suma). ","")))</f>
        <v/>
      </c>
    </row>
    <row r="288" customFormat="false" ht="15" hidden="false" customHeight="true" outlineLevel="0" collapsed="false">
      <c r="A288" s="13" t="n">
        <f aca="false">IF(D287="","",IF(G287&gt;=$P$2,MIN(D287,C287),D287))</f>
        <v>8</v>
      </c>
      <c r="B288" s="13" t="n">
        <f aca="false">IF(A288="","",A288/8)</f>
        <v>1</v>
      </c>
      <c r="C288" s="13" t="n">
        <f aca="false">IF(OR(A288="",B288=""),"",A288+B288)</f>
        <v>9</v>
      </c>
      <c r="D288" s="13" t="n">
        <f aca="false">IF(A288="","",A288+SUMIFS(Registros!$AP:$AP,Registros!$C:$C,H288))</f>
        <v>8</v>
      </c>
      <c r="E288" s="13" t="n">
        <f aca="false">IF(A288="","",ROUND(A288-8*B288,2))</f>
        <v>0</v>
      </c>
      <c r="F288" s="13" t="n">
        <f aca="false">IF(OR(D288="",C288=""),"",D288-C288)</f>
        <v>-1</v>
      </c>
      <c r="G288" s="20" t="n">
        <f aca="false">IF(G287="","",G287+1)</f>
        <v>287</v>
      </c>
      <c r="H288" s="15"/>
      <c r="I288" s="14"/>
      <c r="J288" s="16" t="str">
        <f aca="false">IF(OR(H288="",D288="",C288="",G288&lt;$P$2),"",MAX(0,ROUND(D288-C288,2)))</f>
        <v/>
      </c>
      <c r="K288" s="17"/>
      <c r="L288" s="16" t="str">
        <f aca="false">IF(NOT(ISNUMBER(K288)),"",ROUND(K288-N(M287)-N(J288),2))</f>
        <v/>
      </c>
      <c r="M288" s="16" t="n">
        <f aca="false">IF(ISNUMBER(K288),K288,N(M287))</f>
        <v>0</v>
      </c>
      <c r="N288" s="0" t="str">
        <f aca="true">IF(AND(H288="",K288=""),"",TRIM(IF(AND(H288&lt;&gt;"",NOT(AND(LEN(H288)=10,MID(H288,5,1)="-",MID(H288,8,1)="-"))),"Fecha con formato invalido (usa AAAA-MM-DD). ","")&amp;IF(AND(H288&lt;&gt;"",COUNTIF($H$2:$H$367,H288)&gt;1),"Fecha repetida en otro dia. ","")&amp;IF(AND(H288&lt;&gt;"",H287&lt;&gt;"",H288&lt;=H287),"La fecha no es posterior a la del dia anterior. ","")&amp;IF(AND(H288&lt;&gt;"",ISNUMBER(A288),ISNUMBER(D287),ISNUMBER(C287),ABS(A288-IF(G287&gt;=$P$2,MIN(D287,C287),D287))&gt;0.005),"Bank roll inicial no sigue la regla del dia anterior (alguien sobrescribio la formula). ","")&amp;IF(AND(H288&lt;&gt;"",ISNUMBER(B288),ISNUMBER(A288),ABS(B288-A288/8)&gt;0.00001),"Stake distinto de Bank roll/8. ","")&amp;IF(AND(H288&lt;&gt;"",ISNUMBER(E288),ABS(E288)&gt;0.005),"Residuo distinto de 0. ","")&amp;IF(AND(K288&lt;&gt;"",OR(NOT(ISNUMBER(K288)),N(K288)&lt;0)),"Saldo L2 no numerico o negativo. ","")&amp;IF(AND(H288&lt;&gt;"",H288&lt;TEXT(TODAY(),"yyyy-mm-dd"),G288&gt;=$P$2,K288="",OR(N(J288)&gt;0,N(M287)&gt;0)),"Falta cerrar el Saldo L2 de este dia. ","")&amp;IF(AND(H288&lt;&gt;"",SUMPRODUCT((Registros!$C$2:$C$3000=H288)*ISTEXT(Registros!$AP$2:$AP$3000))&gt;0),"Hay P/L guardado como texto en Registros (no suma). ","")))</f>
        <v/>
      </c>
    </row>
    <row r="289" customFormat="false" ht="15" hidden="false" customHeight="true" outlineLevel="0" collapsed="false">
      <c r="A289" s="13" t="n">
        <f aca="false">IF(D288="","",IF(G288&gt;=$P$2,MIN(D288,C288),D288))</f>
        <v>8</v>
      </c>
      <c r="B289" s="13" t="n">
        <f aca="false">IF(A289="","",A289/8)</f>
        <v>1</v>
      </c>
      <c r="C289" s="13" t="n">
        <f aca="false">IF(OR(A289="",B289=""),"",A289+B289)</f>
        <v>9</v>
      </c>
      <c r="D289" s="13" t="n">
        <f aca="false">IF(A289="","",A289+SUMIFS(Registros!$AP:$AP,Registros!$C:$C,H289))</f>
        <v>8</v>
      </c>
      <c r="E289" s="13" t="n">
        <f aca="false">IF(A289="","",ROUND(A289-8*B289,2))</f>
        <v>0</v>
      </c>
      <c r="F289" s="13" t="n">
        <f aca="false">IF(OR(D289="",C289=""),"",D289-C289)</f>
        <v>-1</v>
      </c>
      <c r="G289" s="20" t="n">
        <f aca="false">IF(G288="","",G288+1)</f>
        <v>288</v>
      </c>
      <c r="H289" s="15"/>
      <c r="I289" s="14"/>
      <c r="J289" s="16" t="str">
        <f aca="false">IF(OR(H289="",D289="",C289="",G289&lt;$P$2),"",MAX(0,ROUND(D289-C289,2)))</f>
        <v/>
      </c>
      <c r="K289" s="17"/>
      <c r="L289" s="16" t="str">
        <f aca="false">IF(NOT(ISNUMBER(K289)),"",ROUND(K289-N(M288)-N(J289),2))</f>
        <v/>
      </c>
      <c r="M289" s="16" t="n">
        <f aca="false">IF(ISNUMBER(K289),K289,N(M288))</f>
        <v>0</v>
      </c>
      <c r="N289" s="0" t="str">
        <f aca="true">IF(AND(H289="",K289=""),"",TRIM(IF(AND(H289&lt;&gt;"",NOT(AND(LEN(H289)=10,MID(H289,5,1)="-",MID(H289,8,1)="-"))),"Fecha con formato invalido (usa AAAA-MM-DD). ","")&amp;IF(AND(H289&lt;&gt;"",COUNTIF($H$2:$H$367,H289)&gt;1),"Fecha repetida en otro dia. ","")&amp;IF(AND(H289&lt;&gt;"",H288&lt;&gt;"",H289&lt;=H288),"La fecha no es posterior a la del dia anterior. ","")&amp;IF(AND(H289&lt;&gt;"",ISNUMBER(A289),ISNUMBER(D288),ISNUMBER(C288),ABS(A289-IF(G288&gt;=$P$2,MIN(D288,C288),D288))&gt;0.005),"Bank roll inicial no sigue la regla del dia anterior (alguien sobrescribio la formula). ","")&amp;IF(AND(H289&lt;&gt;"",ISNUMBER(B289),ISNUMBER(A289),ABS(B289-A289/8)&gt;0.00001),"Stake distinto de Bank roll/8. ","")&amp;IF(AND(H289&lt;&gt;"",ISNUMBER(E289),ABS(E289)&gt;0.005),"Residuo distinto de 0. ","")&amp;IF(AND(K289&lt;&gt;"",OR(NOT(ISNUMBER(K289)),N(K289)&lt;0)),"Saldo L2 no numerico o negativo. ","")&amp;IF(AND(H289&lt;&gt;"",H289&lt;TEXT(TODAY(),"yyyy-mm-dd"),G289&gt;=$P$2,K289="",OR(N(J289)&gt;0,N(M288)&gt;0)),"Falta cerrar el Saldo L2 de este dia. ","")&amp;IF(AND(H289&lt;&gt;"",SUMPRODUCT((Registros!$C$2:$C$3000=H289)*ISTEXT(Registros!$AP$2:$AP$3000))&gt;0),"Hay P/L guardado como texto en Registros (no suma). ","")))</f>
        <v/>
      </c>
    </row>
    <row r="290" customFormat="false" ht="15" hidden="false" customHeight="true" outlineLevel="0" collapsed="false">
      <c r="A290" s="13" t="n">
        <f aca="false">IF(D289="","",IF(G289&gt;=$P$2,MIN(D289,C289),D289))</f>
        <v>8</v>
      </c>
      <c r="B290" s="13" t="n">
        <f aca="false">IF(A290="","",A290/8)</f>
        <v>1</v>
      </c>
      <c r="C290" s="13" t="n">
        <f aca="false">IF(OR(A290="",B290=""),"",A290+B290)</f>
        <v>9</v>
      </c>
      <c r="D290" s="13" t="n">
        <f aca="false">IF(A290="","",A290+SUMIFS(Registros!$AP:$AP,Registros!$C:$C,H290))</f>
        <v>8</v>
      </c>
      <c r="E290" s="13" t="n">
        <f aca="false">IF(A290="","",ROUND(A290-8*B290,2))</f>
        <v>0</v>
      </c>
      <c r="F290" s="13" t="n">
        <f aca="false">IF(OR(D290="",C290=""),"",D290-C290)</f>
        <v>-1</v>
      </c>
      <c r="G290" s="20" t="n">
        <f aca="false">IF(G289="","",G289+1)</f>
        <v>289</v>
      </c>
      <c r="H290" s="15"/>
      <c r="I290" s="14"/>
      <c r="J290" s="16" t="str">
        <f aca="false">IF(OR(H290="",D290="",C290="",G290&lt;$P$2),"",MAX(0,ROUND(D290-C290,2)))</f>
        <v/>
      </c>
      <c r="K290" s="17"/>
      <c r="L290" s="16" t="str">
        <f aca="false">IF(NOT(ISNUMBER(K290)),"",ROUND(K290-N(M289)-N(J290),2))</f>
        <v/>
      </c>
      <c r="M290" s="16" t="n">
        <f aca="false">IF(ISNUMBER(K290),K290,N(M289))</f>
        <v>0</v>
      </c>
      <c r="N290" s="0" t="str">
        <f aca="true">IF(AND(H290="",K290=""),"",TRIM(IF(AND(H290&lt;&gt;"",NOT(AND(LEN(H290)=10,MID(H290,5,1)="-",MID(H290,8,1)="-"))),"Fecha con formato invalido (usa AAAA-MM-DD). ","")&amp;IF(AND(H290&lt;&gt;"",COUNTIF($H$2:$H$367,H290)&gt;1),"Fecha repetida en otro dia. ","")&amp;IF(AND(H290&lt;&gt;"",H289&lt;&gt;"",H290&lt;=H289),"La fecha no es posterior a la del dia anterior. ","")&amp;IF(AND(H290&lt;&gt;"",ISNUMBER(A290),ISNUMBER(D289),ISNUMBER(C289),ABS(A290-IF(G289&gt;=$P$2,MIN(D289,C289),D289))&gt;0.005),"Bank roll inicial no sigue la regla del dia anterior (alguien sobrescribio la formula). ","")&amp;IF(AND(H290&lt;&gt;"",ISNUMBER(B290),ISNUMBER(A290),ABS(B290-A290/8)&gt;0.00001),"Stake distinto de Bank roll/8. ","")&amp;IF(AND(H290&lt;&gt;"",ISNUMBER(E290),ABS(E290)&gt;0.005),"Residuo distinto de 0. ","")&amp;IF(AND(K290&lt;&gt;"",OR(NOT(ISNUMBER(K290)),N(K290)&lt;0)),"Saldo L2 no numerico o negativo. ","")&amp;IF(AND(H290&lt;&gt;"",H290&lt;TEXT(TODAY(),"yyyy-mm-dd"),G290&gt;=$P$2,K290="",OR(N(J290)&gt;0,N(M289)&gt;0)),"Falta cerrar el Saldo L2 de este dia. ","")&amp;IF(AND(H290&lt;&gt;"",SUMPRODUCT((Registros!$C$2:$C$3000=H290)*ISTEXT(Registros!$AP$2:$AP$3000))&gt;0),"Hay P/L guardado como texto en Registros (no suma). ","")))</f>
        <v/>
      </c>
    </row>
    <row r="291" customFormat="false" ht="15" hidden="false" customHeight="true" outlineLevel="0" collapsed="false">
      <c r="A291" s="13" t="n">
        <f aca="false">IF(D290="","",IF(G290&gt;=$P$2,MIN(D290,C290),D290))</f>
        <v>8</v>
      </c>
      <c r="B291" s="13" t="n">
        <f aca="false">IF(A291="","",A291/8)</f>
        <v>1</v>
      </c>
      <c r="C291" s="13" t="n">
        <f aca="false">IF(OR(A291="",B291=""),"",A291+B291)</f>
        <v>9</v>
      </c>
      <c r="D291" s="13" t="n">
        <f aca="false">IF(A291="","",A291+SUMIFS(Registros!$AP:$AP,Registros!$C:$C,H291))</f>
        <v>8</v>
      </c>
      <c r="E291" s="13" t="n">
        <f aca="false">IF(A291="","",ROUND(A291-8*B291,2))</f>
        <v>0</v>
      </c>
      <c r="F291" s="13" t="n">
        <f aca="false">IF(OR(D291="",C291=""),"",D291-C291)</f>
        <v>-1</v>
      </c>
      <c r="G291" s="20" t="n">
        <f aca="false">IF(G290="","",G290+1)</f>
        <v>290</v>
      </c>
      <c r="H291" s="15"/>
      <c r="I291" s="14"/>
      <c r="J291" s="16" t="str">
        <f aca="false">IF(OR(H291="",D291="",C291="",G291&lt;$P$2),"",MAX(0,ROUND(D291-C291,2)))</f>
        <v/>
      </c>
      <c r="K291" s="17"/>
      <c r="L291" s="16" t="str">
        <f aca="false">IF(NOT(ISNUMBER(K291)),"",ROUND(K291-N(M290)-N(J291),2))</f>
        <v/>
      </c>
      <c r="M291" s="16" t="n">
        <f aca="false">IF(ISNUMBER(K291),K291,N(M290))</f>
        <v>0</v>
      </c>
      <c r="N291" s="0" t="str">
        <f aca="true">IF(AND(H291="",K291=""),"",TRIM(IF(AND(H291&lt;&gt;"",NOT(AND(LEN(H291)=10,MID(H291,5,1)="-",MID(H291,8,1)="-"))),"Fecha con formato invalido (usa AAAA-MM-DD). ","")&amp;IF(AND(H291&lt;&gt;"",COUNTIF($H$2:$H$367,H291)&gt;1),"Fecha repetida en otro dia. ","")&amp;IF(AND(H291&lt;&gt;"",H290&lt;&gt;"",H291&lt;=H290),"La fecha no es posterior a la del dia anterior. ","")&amp;IF(AND(H291&lt;&gt;"",ISNUMBER(A291),ISNUMBER(D290),ISNUMBER(C290),ABS(A291-IF(G290&gt;=$P$2,MIN(D290,C290),D290))&gt;0.005),"Bank roll inicial no sigue la regla del dia anterior (alguien sobrescribio la formula). ","")&amp;IF(AND(H291&lt;&gt;"",ISNUMBER(B291),ISNUMBER(A291),ABS(B291-A291/8)&gt;0.00001),"Stake distinto de Bank roll/8. ","")&amp;IF(AND(H291&lt;&gt;"",ISNUMBER(E291),ABS(E291)&gt;0.005),"Residuo distinto de 0. ","")&amp;IF(AND(K291&lt;&gt;"",OR(NOT(ISNUMBER(K291)),N(K291)&lt;0)),"Saldo L2 no numerico o negativo. ","")&amp;IF(AND(H291&lt;&gt;"",H291&lt;TEXT(TODAY(),"yyyy-mm-dd"),G291&gt;=$P$2,K291="",OR(N(J291)&gt;0,N(M290)&gt;0)),"Falta cerrar el Saldo L2 de este dia. ","")&amp;IF(AND(H291&lt;&gt;"",SUMPRODUCT((Registros!$C$2:$C$3000=H291)*ISTEXT(Registros!$AP$2:$AP$3000))&gt;0),"Hay P/L guardado como texto en Registros (no suma). ","")))</f>
        <v/>
      </c>
    </row>
    <row r="292" customFormat="false" ht="15" hidden="false" customHeight="true" outlineLevel="0" collapsed="false">
      <c r="A292" s="13" t="n">
        <f aca="false">IF(D291="","",IF(G291&gt;=$P$2,MIN(D291,C291),D291))</f>
        <v>8</v>
      </c>
      <c r="B292" s="13" t="n">
        <f aca="false">IF(A292="","",A292/8)</f>
        <v>1</v>
      </c>
      <c r="C292" s="13" t="n">
        <f aca="false">IF(OR(A292="",B292=""),"",A292+B292)</f>
        <v>9</v>
      </c>
      <c r="D292" s="13" t="n">
        <f aca="false">IF(A292="","",A292+SUMIFS(Registros!$AP:$AP,Registros!$C:$C,H292))</f>
        <v>8</v>
      </c>
      <c r="E292" s="13" t="n">
        <f aca="false">IF(A292="","",ROUND(A292-8*B292,2))</f>
        <v>0</v>
      </c>
      <c r="F292" s="13" t="n">
        <f aca="false">IF(OR(D292="",C292=""),"",D292-C292)</f>
        <v>-1</v>
      </c>
      <c r="G292" s="20" t="n">
        <f aca="false">IF(G291="","",G291+1)</f>
        <v>291</v>
      </c>
      <c r="H292" s="15"/>
      <c r="I292" s="14"/>
      <c r="J292" s="16" t="str">
        <f aca="false">IF(OR(H292="",D292="",C292="",G292&lt;$P$2),"",MAX(0,ROUND(D292-C292,2)))</f>
        <v/>
      </c>
      <c r="K292" s="17"/>
      <c r="L292" s="16" t="str">
        <f aca="false">IF(NOT(ISNUMBER(K292)),"",ROUND(K292-N(M291)-N(J292),2))</f>
        <v/>
      </c>
      <c r="M292" s="16" t="n">
        <f aca="false">IF(ISNUMBER(K292),K292,N(M291))</f>
        <v>0</v>
      </c>
      <c r="N292" s="0" t="str">
        <f aca="true">IF(AND(H292="",K292=""),"",TRIM(IF(AND(H292&lt;&gt;"",NOT(AND(LEN(H292)=10,MID(H292,5,1)="-",MID(H292,8,1)="-"))),"Fecha con formato invalido (usa AAAA-MM-DD). ","")&amp;IF(AND(H292&lt;&gt;"",COUNTIF($H$2:$H$367,H292)&gt;1),"Fecha repetida en otro dia. ","")&amp;IF(AND(H292&lt;&gt;"",H291&lt;&gt;"",H292&lt;=H291),"La fecha no es posterior a la del dia anterior. ","")&amp;IF(AND(H292&lt;&gt;"",ISNUMBER(A292),ISNUMBER(D291),ISNUMBER(C291),ABS(A292-IF(G291&gt;=$P$2,MIN(D291,C291),D291))&gt;0.005),"Bank roll inicial no sigue la regla del dia anterior (alguien sobrescribio la formula). ","")&amp;IF(AND(H292&lt;&gt;"",ISNUMBER(B292),ISNUMBER(A292),ABS(B292-A292/8)&gt;0.00001),"Stake distinto de Bank roll/8. ","")&amp;IF(AND(H292&lt;&gt;"",ISNUMBER(E292),ABS(E292)&gt;0.005),"Residuo distinto de 0. ","")&amp;IF(AND(K292&lt;&gt;"",OR(NOT(ISNUMBER(K292)),N(K292)&lt;0)),"Saldo L2 no numerico o negativo. ","")&amp;IF(AND(H292&lt;&gt;"",H292&lt;TEXT(TODAY(),"yyyy-mm-dd"),G292&gt;=$P$2,K292="",OR(N(J292)&gt;0,N(M291)&gt;0)),"Falta cerrar el Saldo L2 de este dia. ","")&amp;IF(AND(H292&lt;&gt;"",SUMPRODUCT((Registros!$C$2:$C$3000=H292)*ISTEXT(Registros!$AP$2:$AP$3000))&gt;0),"Hay P/L guardado como texto en Registros (no suma). ","")))</f>
        <v/>
      </c>
    </row>
    <row r="293" customFormat="false" ht="15" hidden="false" customHeight="true" outlineLevel="0" collapsed="false">
      <c r="A293" s="13" t="n">
        <f aca="false">IF(D292="","",IF(G292&gt;=$P$2,MIN(D292,C292),D292))</f>
        <v>8</v>
      </c>
      <c r="B293" s="13" t="n">
        <f aca="false">IF(A293="","",A293/8)</f>
        <v>1</v>
      </c>
      <c r="C293" s="13" t="n">
        <f aca="false">IF(OR(A293="",B293=""),"",A293+B293)</f>
        <v>9</v>
      </c>
      <c r="D293" s="13" t="n">
        <f aca="false">IF(A293="","",A293+SUMIFS(Registros!$AP:$AP,Registros!$C:$C,H293))</f>
        <v>8</v>
      </c>
      <c r="E293" s="13" t="n">
        <f aca="false">IF(A293="","",ROUND(A293-8*B293,2))</f>
        <v>0</v>
      </c>
      <c r="F293" s="13" t="n">
        <f aca="false">IF(OR(D293="",C293=""),"",D293-C293)</f>
        <v>-1</v>
      </c>
      <c r="G293" s="20" t="n">
        <f aca="false">IF(G292="","",G292+1)</f>
        <v>292</v>
      </c>
      <c r="H293" s="15"/>
      <c r="I293" s="14"/>
      <c r="J293" s="16" t="str">
        <f aca="false">IF(OR(H293="",D293="",C293="",G293&lt;$P$2),"",MAX(0,ROUND(D293-C293,2)))</f>
        <v/>
      </c>
      <c r="K293" s="17"/>
      <c r="L293" s="16" t="str">
        <f aca="false">IF(NOT(ISNUMBER(K293)),"",ROUND(K293-N(M292)-N(J293),2))</f>
        <v/>
      </c>
      <c r="M293" s="16" t="n">
        <f aca="false">IF(ISNUMBER(K293),K293,N(M292))</f>
        <v>0</v>
      </c>
      <c r="N293" s="0" t="str">
        <f aca="true">IF(AND(H293="",K293=""),"",TRIM(IF(AND(H293&lt;&gt;"",NOT(AND(LEN(H293)=10,MID(H293,5,1)="-",MID(H293,8,1)="-"))),"Fecha con formato invalido (usa AAAA-MM-DD). ","")&amp;IF(AND(H293&lt;&gt;"",COUNTIF($H$2:$H$367,H293)&gt;1),"Fecha repetida en otro dia. ","")&amp;IF(AND(H293&lt;&gt;"",H292&lt;&gt;"",H293&lt;=H292),"La fecha no es posterior a la del dia anterior. ","")&amp;IF(AND(H293&lt;&gt;"",ISNUMBER(A293),ISNUMBER(D292),ISNUMBER(C292),ABS(A293-IF(G292&gt;=$P$2,MIN(D292,C292),D292))&gt;0.005),"Bank roll inicial no sigue la regla del dia anterior (alguien sobrescribio la formula). ","")&amp;IF(AND(H293&lt;&gt;"",ISNUMBER(B293),ISNUMBER(A293),ABS(B293-A293/8)&gt;0.00001),"Stake distinto de Bank roll/8. ","")&amp;IF(AND(H293&lt;&gt;"",ISNUMBER(E293),ABS(E293)&gt;0.005),"Residuo distinto de 0. ","")&amp;IF(AND(K293&lt;&gt;"",OR(NOT(ISNUMBER(K293)),N(K293)&lt;0)),"Saldo L2 no numerico o negativo. ","")&amp;IF(AND(H293&lt;&gt;"",H293&lt;TEXT(TODAY(),"yyyy-mm-dd"),G293&gt;=$P$2,K293="",OR(N(J293)&gt;0,N(M292)&gt;0)),"Falta cerrar el Saldo L2 de este dia. ","")&amp;IF(AND(H293&lt;&gt;"",SUMPRODUCT((Registros!$C$2:$C$3000=H293)*ISTEXT(Registros!$AP$2:$AP$3000))&gt;0),"Hay P/L guardado como texto en Registros (no suma). ","")))</f>
        <v/>
      </c>
    </row>
    <row r="294" customFormat="false" ht="15" hidden="false" customHeight="true" outlineLevel="0" collapsed="false">
      <c r="A294" s="13" t="n">
        <f aca="false">IF(D293="","",IF(G293&gt;=$P$2,MIN(D293,C293),D293))</f>
        <v>8</v>
      </c>
      <c r="B294" s="13" t="n">
        <f aca="false">IF(A294="","",A294/8)</f>
        <v>1</v>
      </c>
      <c r="C294" s="13" t="n">
        <f aca="false">IF(OR(A294="",B294=""),"",A294+B294)</f>
        <v>9</v>
      </c>
      <c r="D294" s="13" t="n">
        <f aca="false">IF(A294="","",A294+SUMIFS(Registros!$AP:$AP,Registros!$C:$C,H294))</f>
        <v>8</v>
      </c>
      <c r="E294" s="13" t="n">
        <f aca="false">IF(A294="","",ROUND(A294-8*B294,2))</f>
        <v>0</v>
      </c>
      <c r="F294" s="13" t="n">
        <f aca="false">IF(OR(D294="",C294=""),"",D294-C294)</f>
        <v>-1</v>
      </c>
      <c r="G294" s="20" t="n">
        <f aca="false">IF(G293="","",G293+1)</f>
        <v>293</v>
      </c>
      <c r="H294" s="15"/>
      <c r="I294" s="14"/>
      <c r="J294" s="16" t="str">
        <f aca="false">IF(OR(H294="",D294="",C294="",G294&lt;$P$2),"",MAX(0,ROUND(D294-C294,2)))</f>
        <v/>
      </c>
      <c r="K294" s="17"/>
      <c r="L294" s="16" t="str">
        <f aca="false">IF(NOT(ISNUMBER(K294)),"",ROUND(K294-N(M293)-N(J294),2))</f>
        <v/>
      </c>
      <c r="M294" s="16" t="n">
        <f aca="false">IF(ISNUMBER(K294),K294,N(M293))</f>
        <v>0</v>
      </c>
      <c r="N294" s="0" t="str">
        <f aca="true">IF(AND(H294="",K294=""),"",TRIM(IF(AND(H294&lt;&gt;"",NOT(AND(LEN(H294)=10,MID(H294,5,1)="-",MID(H294,8,1)="-"))),"Fecha con formato invalido (usa AAAA-MM-DD). ","")&amp;IF(AND(H294&lt;&gt;"",COUNTIF($H$2:$H$367,H294)&gt;1),"Fecha repetida en otro dia. ","")&amp;IF(AND(H294&lt;&gt;"",H293&lt;&gt;"",H294&lt;=H293),"La fecha no es posterior a la del dia anterior. ","")&amp;IF(AND(H294&lt;&gt;"",ISNUMBER(A294),ISNUMBER(D293),ISNUMBER(C293),ABS(A294-IF(G293&gt;=$P$2,MIN(D293,C293),D293))&gt;0.005),"Bank roll inicial no sigue la regla del dia anterior (alguien sobrescribio la formula). ","")&amp;IF(AND(H294&lt;&gt;"",ISNUMBER(B294),ISNUMBER(A294),ABS(B294-A294/8)&gt;0.00001),"Stake distinto de Bank roll/8. ","")&amp;IF(AND(H294&lt;&gt;"",ISNUMBER(E294),ABS(E294)&gt;0.005),"Residuo distinto de 0. ","")&amp;IF(AND(K294&lt;&gt;"",OR(NOT(ISNUMBER(K294)),N(K294)&lt;0)),"Saldo L2 no numerico o negativo. ","")&amp;IF(AND(H294&lt;&gt;"",H294&lt;TEXT(TODAY(),"yyyy-mm-dd"),G294&gt;=$P$2,K294="",OR(N(J294)&gt;0,N(M293)&gt;0)),"Falta cerrar el Saldo L2 de este dia. ","")&amp;IF(AND(H294&lt;&gt;"",SUMPRODUCT((Registros!$C$2:$C$3000=H294)*ISTEXT(Registros!$AP$2:$AP$3000))&gt;0),"Hay P/L guardado como texto en Registros (no suma). ","")))</f>
        <v/>
      </c>
    </row>
    <row r="295" customFormat="false" ht="15" hidden="false" customHeight="true" outlineLevel="0" collapsed="false">
      <c r="A295" s="13" t="n">
        <f aca="false">IF(D294="","",IF(G294&gt;=$P$2,MIN(D294,C294),D294))</f>
        <v>8</v>
      </c>
      <c r="B295" s="13" t="n">
        <f aca="false">IF(A295="","",A295/8)</f>
        <v>1</v>
      </c>
      <c r="C295" s="13" t="n">
        <f aca="false">IF(OR(A295="",B295=""),"",A295+B295)</f>
        <v>9</v>
      </c>
      <c r="D295" s="13" t="n">
        <f aca="false">IF(A295="","",A295+SUMIFS(Registros!$AP:$AP,Registros!$C:$C,H295))</f>
        <v>8</v>
      </c>
      <c r="E295" s="13" t="n">
        <f aca="false">IF(A295="","",ROUND(A295-8*B295,2))</f>
        <v>0</v>
      </c>
      <c r="F295" s="13" t="n">
        <f aca="false">IF(OR(D295="",C295=""),"",D295-C295)</f>
        <v>-1</v>
      </c>
      <c r="G295" s="20" t="n">
        <f aca="false">IF(G294="","",G294+1)</f>
        <v>294</v>
      </c>
      <c r="H295" s="15"/>
      <c r="I295" s="14"/>
      <c r="J295" s="16" t="str">
        <f aca="false">IF(OR(H295="",D295="",C295="",G295&lt;$P$2),"",MAX(0,ROUND(D295-C295,2)))</f>
        <v/>
      </c>
      <c r="K295" s="17"/>
      <c r="L295" s="16" t="str">
        <f aca="false">IF(NOT(ISNUMBER(K295)),"",ROUND(K295-N(M294)-N(J295),2))</f>
        <v/>
      </c>
      <c r="M295" s="16" t="n">
        <f aca="false">IF(ISNUMBER(K295),K295,N(M294))</f>
        <v>0</v>
      </c>
      <c r="N295" s="0" t="str">
        <f aca="true">IF(AND(H295="",K295=""),"",TRIM(IF(AND(H295&lt;&gt;"",NOT(AND(LEN(H295)=10,MID(H295,5,1)="-",MID(H295,8,1)="-"))),"Fecha con formato invalido (usa AAAA-MM-DD). ","")&amp;IF(AND(H295&lt;&gt;"",COUNTIF($H$2:$H$367,H295)&gt;1),"Fecha repetida en otro dia. ","")&amp;IF(AND(H295&lt;&gt;"",H294&lt;&gt;"",H295&lt;=H294),"La fecha no es posterior a la del dia anterior. ","")&amp;IF(AND(H295&lt;&gt;"",ISNUMBER(A295),ISNUMBER(D294),ISNUMBER(C294),ABS(A295-IF(G294&gt;=$P$2,MIN(D294,C294),D294))&gt;0.005),"Bank roll inicial no sigue la regla del dia anterior (alguien sobrescribio la formula). ","")&amp;IF(AND(H295&lt;&gt;"",ISNUMBER(B295),ISNUMBER(A295),ABS(B295-A295/8)&gt;0.00001),"Stake distinto de Bank roll/8. ","")&amp;IF(AND(H295&lt;&gt;"",ISNUMBER(E295),ABS(E295)&gt;0.005),"Residuo distinto de 0. ","")&amp;IF(AND(K295&lt;&gt;"",OR(NOT(ISNUMBER(K295)),N(K295)&lt;0)),"Saldo L2 no numerico o negativo. ","")&amp;IF(AND(H295&lt;&gt;"",H295&lt;TEXT(TODAY(),"yyyy-mm-dd"),G295&gt;=$P$2,K295="",OR(N(J295)&gt;0,N(M294)&gt;0)),"Falta cerrar el Saldo L2 de este dia. ","")&amp;IF(AND(H295&lt;&gt;"",SUMPRODUCT((Registros!$C$2:$C$3000=H295)*ISTEXT(Registros!$AP$2:$AP$3000))&gt;0),"Hay P/L guardado como texto en Registros (no suma). ","")))</f>
        <v/>
      </c>
    </row>
    <row r="296" customFormat="false" ht="15" hidden="false" customHeight="true" outlineLevel="0" collapsed="false">
      <c r="A296" s="13" t="n">
        <f aca="false">IF(D295="","",IF(G295&gt;=$P$2,MIN(D295,C295),D295))</f>
        <v>8</v>
      </c>
      <c r="B296" s="13" t="n">
        <f aca="false">IF(A296="","",A296/8)</f>
        <v>1</v>
      </c>
      <c r="C296" s="13" t="n">
        <f aca="false">IF(OR(A296="",B296=""),"",A296+B296)</f>
        <v>9</v>
      </c>
      <c r="D296" s="13" t="n">
        <f aca="false">IF(A296="","",A296+SUMIFS(Registros!$AP:$AP,Registros!$C:$C,H296))</f>
        <v>8</v>
      </c>
      <c r="E296" s="13" t="n">
        <f aca="false">IF(A296="","",ROUND(A296-8*B296,2))</f>
        <v>0</v>
      </c>
      <c r="F296" s="13" t="n">
        <f aca="false">IF(OR(D296="",C296=""),"",D296-C296)</f>
        <v>-1</v>
      </c>
      <c r="G296" s="20" t="n">
        <f aca="false">IF(G295="","",G295+1)</f>
        <v>295</v>
      </c>
      <c r="H296" s="15"/>
      <c r="I296" s="14"/>
      <c r="J296" s="16" t="str">
        <f aca="false">IF(OR(H296="",D296="",C296="",G296&lt;$P$2),"",MAX(0,ROUND(D296-C296,2)))</f>
        <v/>
      </c>
      <c r="K296" s="17"/>
      <c r="L296" s="16" t="str">
        <f aca="false">IF(NOT(ISNUMBER(K296)),"",ROUND(K296-N(M295)-N(J296),2))</f>
        <v/>
      </c>
      <c r="M296" s="16" t="n">
        <f aca="false">IF(ISNUMBER(K296),K296,N(M295))</f>
        <v>0</v>
      </c>
      <c r="N296" s="0" t="str">
        <f aca="true">IF(AND(H296="",K296=""),"",TRIM(IF(AND(H296&lt;&gt;"",NOT(AND(LEN(H296)=10,MID(H296,5,1)="-",MID(H296,8,1)="-"))),"Fecha con formato invalido (usa AAAA-MM-DD). ","")&amp;IF(AND(H296&lt;&gt;"",COUNTIF($H$2:$H$367,H296)&gt;1),"Fecha repetida en otro dia. ","")&amp;IF(AND(H296&lt;&gt;"",H295&lt;&gt;"",H296&lt;=H295),"La fecha no es posterior a la del dia anterior. ","")&amp;IF(AND(H296&lt;&gt;"",ISNUMBER(A296),ISNUMBER(D295),ISNUMBER(C295),ABS(A296-IF(G295&gt;=$P$2,MIN(D295,C295),D295))&gt;0.005),"Bank roll inicial no sigue la regla del dia anterior (alguien sobrescribio la formula). ","")&amp;IF(AND(H296&lt;&gt;"",ISNUMBER(B296),ISNUMBER(A296),ABS(B296-A296/8)&gt;0.00001),"Stake distinto de Bank roll/8. ","")&amp;IF(AND(H296&lt;&gt;"",ISNUMBER(E296),ABS(E296)&gt;0.005),"Residuo distinto de 0. ","")&amp;IF(AND(K296&lt;&gt;"",OR(NOT(ISNUMBER(K296)),N(K296)&lt;0)),"Saldo L2 no numerico o negativo. ","")&amp;IF(AND(H296&lt;&gt;"",H296&lt;TEXT(TODAY(),"yyyy-mm-dd"),G296&gt;=$P$2,K296="",OR(N(J296)&gt;0,N(M295)&gt;0)),"Falta cerrar el Saldo L2 de este dia. ","")&amp;IF(AND(H296&lt;&gt;"",SUMPRODUCT((Registros!$C$2:$C$3000=H296)*ISTEXT(Registros!$AP$2:$AP$3000))&gt;0),"Hay P/L guardado como texto en Registros (no suma). ","")))</f>
        <v/>
      </c>
    </row>
    <row r="297" customFormat="false" ht="15" hidden="false" customHeight="true" outlineLevel="0" collapsed="false">
      <c r="A297" s="13" t="n">
        <f aca="false">IF(D296="","",IF(G296&gt;=$P$2,MIN(D296,C296),D296))</f>
        <v>8</v>
      </c>
      <c r="B297" s="13" t="n">
        <f aca="false">IF(A297="","",A297/8)</f>
        <v>1</v>
      </c>
      <c r="C297" s="13" t="n">
        <f aca="false">IF(OR(A297="",B297=""),"",A297+B297)</f>
        <v>9</v>
      </c>
      <c r="D297" s="13" t="n">
        <f aca="false">IF(A297="","",A297+SUMIFS(Registros!$AP:$AP,Registros!$C:$C,H297))</f>
        <v>8</v>
      </c>
      <c r="E297" s="13" t="n">
        <f aca="false">IF(A297="","",ROUND(A297-8*B297,2))</f>
        <v>0</v>
      </c>
      <c r="F297" s="13" t="n">
        <f aca="false">IF(OR(D297="",C297=""),"",D297-C297)</f>
        <v>-1</v>
      </c>
      <c r="G297" s="20" t="n">
        <f aca="false">IF(G296="","",G296+1)</f>
        <v>296</v>
      </c>
      <c r="H297" s="15"/>
      <c r="I297" s="14"/>
      <c r="J297" s="16" t="str">
        <f aca="false">IF(OR(H297="",D297="",C297="",G297&lt;$P$2),"",MAX(0,ROUND(D297-C297,2)))</f>
        <v/>
      </c>
      <c r="K297" s="17"/>
      <c r="L297" s="16" t="str">
        <f aca="false">IF(NOT(ISNUMBER(K297)),"",ROUND(K297-N(M296)-N(J297),2))</f>
        <v/>
      </c>
      <c r="M297" s="16" t="n">
        <f aca="false">IF(ISNUMBER(K297),K297,N(M296))</f>
        <v>0</v>
      </c>
      <c r="N297" s="0" t="str">
        <f aca="true">IF(AND(H297="",K297=""),"",TRIM(IF(AND(H297&lt;&gt;"",NOT(AND(LEN(H297)=10,MID(H297,5,1)="-",MID(H297,8,1)="-"))),"Fecha con formato invalido (usa AAAA-MM-DD). ","")&amp;IF(AND(H297&lt;&gt;"",COUNTIF($H$2:$H$367,H297)&gt;1),"Fecha repetida en otro dia. ","")&amp;IF(AND(H297&lt;&gt;"",H296&lt;&gt;"",H297&lt;=H296),"La fecha no es posterior a la del dia anterior. ","")&amp;IF(AND(H297&lt;&gt;"",ISNUMBER(A297),ISNUMBER(D296),ISNUMBER(C296),ABS(A297-IF(G296&gt;=$P$2,MIN(D296,C296),D296))&gt;0.005),"Bank roll inicial no sigue la regla del dia anterior (alguien sobrescribio la formula). ","")&amp;IF(AND(H297&lt;&gt;"",ISNUMBER(B297),ISNUMBER(A297),ABS(B297-A297/8)&gt;0.00001),"Stake distinto de Bank roll/8. ","")&amp;IF(AND(H297&lt;&gt;"",ISNUMBER(E297),ABS(E297)&gt;0.005),"Residuo distinto de 0. ","")&amp;IF(AND(K297&lt;&gt;"",OR(NOT(ISNUMBER(K297)),N(K297)&lt;0)),"Saldo L2 no numerico o negativo. ","")&amp;IF(AND(H297&lt;&gt;"",H297&lt;TEXT(TODAY(),"yyyy-mm-dd"),G297&gt;=$P$2,K297="",OR(N(J297)&gt;0,N(M296)&gt;0)),"Falta cerrar el Saldo L2 de este dia. ","")&amp;IF(AND(H297&lt;&gt;"",SUMPRODUCT((Registros!$C$2:$C$3000=H297)*ISTEXT(Registros!$AP$2:$AP$3000))&gt;0),"Hay P/L guardado como texto en Registros (no suma). ","")))</f>
        <v/>
      </c>
    </row>
    <row r="298" customFormat="false" ht="15" hidden="false" customHeight="true" outlineLevel="0" collapsed="false">
      <c r="A298" s="13" t="n">
        <f aca="false">IF(D297="","",IF(G297&gt;=$P$2,MIN(D297,C297),D297))</f>
        <v>8</v>
      </c>
      <c r="B298" s="13" t="n">
        <f aca="false">IF(A298="","",A298/8)</f>
        <v>1</v>
      </c>
      <c r="C298" s="13" t="n">
        <f aca="false">IF(OR(A298="",B298=""),"",A298+B298)</f>
        <v>9</v>
      </c>
      <c r="D298" s="13" t="n">
        <f aca="false">IF(A298="","",A298+SUMIFS(Registros!$AP:$AP,Registros!$C:$C,H298))</f>
        <v>8</v>
      </c>
      <c r="E298" s="13" t="n">
        <f aca="false">IF(A298="","",ROUND(A298-8*B298,2))</f>
        <v>0</v>
      </c>
      <c r="F298" s="13" t="n">
        <f aca="false">IF(OR(D298="",C298=""),"",D298-C298)</f>
        <v>-1</v>
      </c>
      <c r="G298" s="20" t="n">
        <f aca="false">IF(G297="","",G297+1)</f>
        <v>297</v>
      </c>
      <c r="H298" s="15"/>
      <c r="I298" s="14"/>
      <c r="J298" s="16" t="str">
        <f aca="false">IF(OR(H298="",D298="",C298="",G298&lt;$P$2),"",MAX(0,ROUND(D298-C298,2)))</f>
        <v/>
      </c>
      <c r="K298" s="17"/>
      <c r="L298" s="16" t="str">
        <f aca="false">IF(NOT(ISNUMBER(K298)),"",ROUND(K298-N(M297)-N(J298),2))</f>
        <v/>
      </c>
      <c r="M298" s="16" t="n">
        <f aca="false">IF(ISNUMBER(K298),K298,N(M297))</f>
        <v>0</v>
      </c>
      <c r="N298" s="0" t="str">
        <f aca="true">IF(AND(H298="",K298=""),"",TRIM(IF(AND(H298&lt;&gt;"",NOT(AND(LEN(H298)=10,MID(H298,5,1)="-",MID(H298,8,1)="-"))),"Fecha con formato invalido (usa AAAA-MM-DD). ","")&amp;IF(AND(H298&lt;&gt;"",COUNTIF($H$2:$H$367,H298)&gt;1),"Fecha repetida en otro dia. ","")&amp;IF(AND(H298&lt;&gt;"",H297&lt;&gt;"",H298&lt;=H297),"La fecha no es posterior a la del dia anterior. ","")&amp;IF(AND(H298&lt;&gt;"",ISNUMBER(A298),ISNUMBER(D297),ISNUMBER(C297),ABS(A298-IF(G297&gt;=$P$2,MIN(D297,C297),D297))&gt;0.005),"Bank roll inicial no sigue la regla del dia anterior (alguien sobrescribio la formula). ","")&amp;IF(AND(H298&lt;&gt;"",ISNUMBER(B298),ISNUMBER(A298),ABS(B298-A298/8)&gt;0.00001),"Stake distinto de Bank roll/8. ","")&amp;IF(AND(H298&lt;&gt;"",ISNUMBER(E298),ABS(E298)&gt;0.005),"Residuo distinto de 0. ","")&amp;IF(AND(K298&lt;&gt;"",OR(NOT(ISNUMBER(K298)),N(K298)&lt;0)),"Saldo L2 no numerico o negativo. ","")&amp;IF(AND(H298&lt;&gt;"",H298&lt;TEXT(TODAY(),"yyyy-mm-dd"),G298&gt;=$P$2,K298="",OR(N(J298)&gt;0,N(M297)&gt;0)),"Falta cerrar el Saldo L2 de este dia. ","")&amp;IF(AND(H298&lt;&gt;"",SUMPRODUCT((Registros!$C$2:$C$3000=H298)*ISTEXT(Registros!$AP$2:$AP$3000))&gt;0),"Hay P/L guardado como texto en Registros (no suma). ","")))</f>
        <v/>
      </c>
    </row>
    <row r="299" customFormat="false" ht="15" hidden="false" customHeight="true" outlineLevel="0" collapsed="false">
      <c r="A299" s="13" t="n">
        <f aca="false">IF(D298="","",IF(G298&gt;=$P$2,MIN(D298,C298),D298))</f>
        <v>8</v>
      </c>
      <c r="B299" s="13" t="n">
        <f aca="false">IF(A299="","",A299/8)</f>
        <v>1</v>
      </c>
      <c r="C299" s="13" t="n">
        <f aca="false">IF(OR(A299="",B299=""),"",A299+B299)</f>
        <v>9</v>
      </c>
      <c r="D299" s="13" t="n">
        <f aca="false">IF(A299="","",A299+SUMIFS(Registros!$AP:$AP,Registros!$C:$C,H299))</f>
        <v>8</v>
      </c>
      <c r="E299" s="13" t="n">
        <f aca="false">IF(A299="","",ROUND(A299-8*B299,2))</f>
        <v>0</v>
      </c>
      <c r="F299" s="13" t="n">
        <f aca="false">IF(OR(D299="",C299=""),"",D299-C299)</f>
        <v>-1</v>
      </c>
      <c r="G299" s="20" t="n">
        <f aca="false">IF(G298="","",G298+1)</f>
        <v>298</v>
      </c>
      <c r="H299" s="15"/>
      <c r="I299" s="14"/>
      <c r="J299" s="16" t="str">
        <f aca="false">IF(OR(H299="",D299="",C299="",G299&lt;$P$2),"",MAX(0,ROUND(D299-C299,2)))</f>
        <v/>
      </c>
      <c r="K299" s="17"/>
      <c r="L299" s="16" t="str">
        <f aca="false">IF(NOT(ISNUMBER(K299)),"",ROUND(K299-N(M298)-N(J299),2))</f>
        <v/>
      </c>
      <c r="M299" s="16" t="n">
        <f aca="false">IF(ISNUMBER(K299),K299,N(M298))</f>
        <v>0</v>
      </c>
      <c r="N299" s="0" t="str">
        <f aca="true">IF(AND(H299="",K299=""),"",TRIM(IF(AND(H299&lt;&gt;"",NOT(AND(LEN(H299)=10,MID(H299,5,1)="-",MID(H299,8,1)="-"))),"Fecha con formato invalido (usa AAAA-MM-DD). ","")&amp;IF(AND(H299&lt;&gt;"",COUNTIF($H$2:$H$367,H299)&gt;1),"Fecha repetida en otro dia. ","")&amp;IF(AND(H299&lt;&gt;"",H298&lt;&gt;"",H299&lt;=H298),"La fecha no es posterior a la del dia anterior. ","")&amp;IF(AND(H299&lt;&gt;"",ISNUMBER(A299),ISNUMBER(D298),ISNUMBER(C298),ABS(A299-IF(G298&gt;=$P$2,MIN(D298,C298),D298))&gt;0.005),"Bank roll inicial no sigue la regla del dia anterior (alguien sobrescribio la formula). ","")&amp;IF(AND(H299&lt;&gt;"",ISNUMBER(B299),ISNUMBER(A299),ABS(B299-A299/8)&gt;0.00001),"Stake distinto de Bank roll/8. ","")&amp;IF(AND(H299&lt;&gt;"",ISNUMBER(E299),ABS(E299)&gt;0.005),"Residuo distinto de 0. ","")&amp;IF(AND(K299&lt;&gt;"",OR(NOT(ISNUMBER(K299)),N(K299)&lt;0)),"Saldo L2 no numerico o negativo. ","")&amp;IF(AND(H299&lt;&gt;"",H299&lt;TEXT(TODAY(),"yyyy-mm-dd"),G299&gt;=$P$2,K299="",OR(N(J299)&gt;0,N(M298)&gt;0)),"Falta cerrar el Saldo L2 de este dia. ","")&amp;IF(AND(H299&lt;&gt;"",SUMPRODUCT((Registros!$C$2:$C$3000=H299)*ISTEXT(Registros!$AP$2:$AP$3000))&gt;0),"Hay P/L guardado como texto en Registros (no suma). ","")))</f>
        <v/>
      </c>
    </row>
    <row r="300" customFormat="false" ht="15" hidden="false" customHeight="true" outlineLevel="0" collapsed="false">
      <c r="A300" s="13" t="n">
        <f aca="false">IF(D299="","",IF(G299&gt;=$P$2,MIN(D299,C299),D299))</f>
        <v>8</v>
      </c>
      <c r="B300" s="13" t="n">
        <f aca="false">IF(A300="","",A300/8)</f>
        <v>1</v>
      </c>
      <c r="C300" s="13" t="n">
        <f aca="false">IF(OR(A300="",B300=""),"",A300+B300)</f>
        <v>9</v>
      </c>
      <c r="D300" s="13" t="n">
        <f aca="false">IF(A300="","",A300+SUMIFS(Registros!$AP:$AP,Registros!$C:$C,H300))</f>
        <v>8</v>
      </c>
      <c r="E300" s="13" t="n">
        <f aca="false">IF(A300="","",ROUND(A300-8*B300,2))</f>
        <v>0</v>
      </c>
      <c r="F300" s="13" t="n">
        <f aca="false">IF(OR(D300="",C300=""),"",D300-C300)</f>
        <v>-1</v>
      </c>
      <c r="G300" s="20" t="n">
        <f aca="false">IF(G299="","",G299+1)</f>
        <v>299</v>
      </c>
      <c r="H300" s="15"/>
      <c r="I300" s="14"/>
      <c r="J300" s="16" t="str">
        <f aca="false">IF(OR(H300="",D300="",C300="",G300&lt;$P$2),"",MAX(0,ROUND(D300-C300,2)))</f>
        <v/>
      </c>
      <c r="K300" s="17"/>
      <c r="L300" s="16" t="str">
        <f aca="false">IF(NOT(ISNUMBER(K300)),"",ROUND(K300-N(M299)-N(J300),2))</f>
        <v/>
      </c>
      <c r="M300" s="16" t="n">
        <f aca="false">IF(ISNUMBER(K300),K300,N(M299))</f>
        <v>0</v>
      </c>
      <c r="N300" s="0" t="str">
        <f aca="true">IF(AND(H300="",K300=""),"",TRIM(IF(AND(H300&lt;&gt;"",NOT(AND(LEN(H300)=10,MID(H300,5,1)="-",MID(H300,8,1)="-"))),"Fecha con formato invalido (usa AAAA-MM-DD). ","")&amp;IF(AND(H300&lt;&gt;"",COUNTIF($H$2:$H$367,H300)&gt;1),"Fecha repetida en otro dia. ","")&amp;IF(AND(H300&lt;&gt;"",H299&lt;&gt;"",H300&lt;=H299),"La fecha no es posterior a la del dia anterior. ","")&amp;IF(AND(H300&lt;&gt;"",ISNUMBER(A300),ISNUMBER(D299),ISNUMBER(C299),ABS(A300-IF(G299&gt;=$P$2,MIN(D299,C299),D299))&gt;0.005),"Bank roll inicial no sigue la regla del dia anterior (alguien sobrescribio la formula). ","")&amp;IF(AND(H300&lt;&gt;"",ISNUMBER(B300),ISNUMBER(A300),ABS(B300-A300/8)&gt;0.00001),"Stake distinto de Bank roll/8. ","")&amp;IF(AND(H300&lt;&gt;"",ISNUMBER(E300),ABS(E300)&gt;0.005),"Residuo distinto de 0. ","")&amp;IF(AND(K300&lt;&gt;"",OR(NOT(ISNUMBER(K300)),N(K300)&lt;0)),"Saldo L2 no numerico o negativo. ","")&amp;IF(AND(H300&lt;&gt;"",H300&lt;TEXT(TODAY(),"yyyy-mm-dd"),G300&gt;=$P$2,K300="",OR(N(J300)&gt;0,N(M299)&gt;0)),"Falta cerrar el Saldo L2 de este dia. ","")&amp;IF(AND(H300&lt;&gt;"",SUMPRODUCT((Registros!$C$2:$C$3000=H300)*ISTEXT(Registros!$AP$2:$AP$3000))&gt;0),"Hay P/L guardado como texto en Registros (no suma). ","")))</f>
        <v/>
      </c>
    </row>
    <row r="301" customFormat="false" ht="15" hidden="false" customHeight="true" outlineLevel="0" collapsed="false">
      <c r="A301" s="13" t="n">
        <f aca="false">IF(D300="","",IF(G300&gt;=$P$2,MIN(D300,C300),D300))</f>
        <v>8</v>
      </c>
      <c r="B301" s="13" t="n">
        <f aca="false">IF(A301="","",A301/8)</f>
        <v>1</v>
      </c>
      <c r="C301" s="13" t="n">
        <f aca="false">IF(OR(A301="",B301=""),"",A301+B301)</f>
        <v>9</v>
      </c>
      <c r="D301" s="13" t="n">
        <f aca="false">IF(A301="","",A301+SUMIFS(Registros!$AP:$AP,Registros!$C:$C,H301))</f>
        <v>8</v>
      </c>
      <c r="E301" s="13" t="n">
        <f aca="false">IF(A301="","",ROUND(A301-8*B301,2))</f>
        <v>0</v>
      </c>
      <c r="F301" s="13" t="n">
        <f aca="false">IF(OR(D301="",C301=""),"",D301-C301)</f>
        <v>-1</v>
      </c>
      <c r="G301" s="20" t="n">
        <f aca="false">IF(G300="","",G300+1)</f>
        <v>300</v>
      </c>
      <c r="H301" s="15"/>
      <c r="I301" s="14"/>
      <c r="J301" s="16" t="str">
        <f aca="false">IF(OR(H301="",D301="",C301="",G301&lt;$P$2),"",MAX(0,ROUND(D301-C301,2)))</f>
        <v/>
      </c>
      <c r="K301" s="17"/>
      <c r="L301" s="16" t="str">
        <f aca="false">IF(NOT(ISNUMBER(K301)),"",ROUND(K301-N(M300)-N(J301),2))</f>
        <v/>
      </c>
      <c r="M301" s="16" t="n">
        <f aca="false">IF(ISNUMBER(K301),K301,N(M300))</f>
        <v>0</v>
      </c>
      <c r="N301" s="0" t="str">
        <f aca="true">IF(AND(H301="",K301=""),"",TRIM(IF(AND(H301&lt;&gt;"",NOT(AND(LEN(H301)=10,MID(H301,5,1)="-",MID(H301,8,1)="-"))),"Fecha con formato invalido (usa AAAA-MM-DD). ","")&amp;IF(AND(H301&lt;&gt;"",COUNTIF($H$2:$H$367,H301)&gt;1),"Fecha repetida en otro dia. ","")&amp;IF(AND(H301&lt;&gt;"",H300&lt;&gt;"",H301&lt;=H300),"La fecha no es posterior a la del dia anterior. ","")&amp;IF(AND(H301&lt;&gt;"",ISNUMBER(A301),ISNUMBER(D300),ISNUMBER(C300),ABS(A301-IF(G300&gt;=$P$2,MIN(D300,C300),D300))&gt;0.005),"Bank roll inicial no sigue la regla del dia anterior (alguien sobrescribio la formula). ","")&amp;IF(AND(H301&lt;&gt;"",ISNUMBER(B301),ISNUMBER(A301),ABS(B301-A301/8)&gt;0.00001),"Stake distinto de Bank roll/8. ","")&amp;IF(AND(H301&lt;&gt;"",ISNUMBER(E301),ABS(E301)&gt;0.005),"Residuo distinto de 0. ","")&amp;IF(AND(K301&lt;&gt;"",OR(NOT(ISNUMBER(K301)),N(K301)&lt;0)),"Saldo L2 no numerico o negativo. ","")&amp;IF(AND(H301&lt;&gt;"",H301&lt;TEXT(TODAY(),"yyyy-mm-dd"),G301&gt;=$P$2,K301="",OR(N(J301)&gt;0,N(M300)&gt;0)),"Falta cerrar el Saldo L2 de este dia. ","")&amp;IF(AND(H301&lt;&gt;"",SUMPRODUCT((Registros!$C$2:$C$3000=H301)*ISTEXT(Registros!$AP$2:$AP$3000))&gt;0),"Hay P/L guardado como texto en Registros (no suma). ","")))</f>
        <v/>
      </c>
    </row>
    <row r="302" customFormat="false" ht="15" hidden="false" customHeight="true" outlineLevel="0" collapsed="false">
      <c r="A302" s="13" t="n">
        <f aca="false">IF(D301="","",IF(G301&gt;=$P$2,MIN(D301,C301),D301))</f>
        <v>8</v>
      </c>
      <c r="B302" s="13" t="n">
        <f aca="false">IF(A302="","",A302/8)</f>
        <v>1</v>
      </c>
      <c r="C302" s="13" t="n">
        <f aca="false">IF(OR(A302="",B302=""),"",A302+B302)</f>
        <v>9</v>
      </c>
      <c r="D302" s="13" t="n">
        <f aca="false">IF(A302="","",A302+SUMIFS(Registros!$AP:$AP,Registros!$C:$C,H302))</f>
        <v>8</v>
      </c>
      <c r="E302" s="13" t="n">
        <f aca="false">IF(A302="","",ROUND(A302-8*B302,2))</f>
        <v>0</v>
      </c>
      <c r="F302" s="13" t="n">
        <f aca="false">IF(OR(D302="",C302=""),"",D302-C302)</f>
        <v>-1</v>
      </c>
      <c r="G302" s="20" t="n">
        <f aca="false">IF(G301="","",G301+1)</f>
        <v>301</v>
      </c>
      <c r="H302" s="15"/>
      <c r="I302" s="14"/>
      <c r="J302" s="16" t="str">
        <f aca="false">IF(OR(H302="",D302="",C302="",G302&lt;$P$2),"",MAX(0,ROUND(D302-C302,2)))</f>
        <v/>
      </c>
      <c r="K302" s="17"/>
      <c r="L302" s="16" t="str">
        <f aca="false">IF(NOT(ISNUMBER(K302)),"",ROUND(K302-N(M301)-N(J302),2))</f>
        <v/>
      </c>
      <c r="M302" s="16" t="n">
        <f aca="false">IF(ISNUMBER(K302),K302,N(M301))</f>
        <v>0</v>
      </c>
      <c r="N302" s="0" t="str">
        <f aca="true">IF(AND(H302="",K302=""),"",TRIM(IF(AND(H302&lt;&gt;"",NOT(AND(LEN(H302)=10,MID(H302,5,1)="-",MID(H302,8,1)="-"))),"Fecha con formato invalido (usa AAAA-MM-DD). ","")&amp;IF(AND(H302&lt;&gt;"",COUNTIF($H$2:$H$367,H302)&gt;1),"Fecha repetida en otro dia. ","")&amp;IF(AND(H302&lt;&gt;"",H301&lt;&gt;"",H302&lt;=H301),"La fecha no es posterior a la del dia anterior. ","")&amp;IF(AND(H302&lt;&gt;"",ISNUMBER(A302),ISNUMBER(D301),ISNUMBER(C301),ABS(A302-IF(G301&gt;=$P$2,MIN(D301,C301),D301))&gt;0.005),"Bank roll inicial no sigue la regla del dia anterior (alguien sobrescribio la formula). ","")&amp;IF(AND(H302&lt;&gt;"",ISNUMBER(B302),ISNUMBER(A302),ABS(B302-A302/8)&gt;0.00001),"Stake distinto de Bank roll/8. ","")&amp;IF(AND(H302&lt;&gt;"",ISNUMBER(E302),ABS(E302)&gt;0.005),"Residuo distinto de 0. ","")&amp;IF(AND(K302&lt;&gt;"",OR(NOT(ISNUMBER(K302)),N(K302)&lt;0)),"Saldo L2 no numerico o negativo. ","")&amp;IF(AND(H302&lt;&gt;"",H302&lt;TEXT(TODAY(),"yyyy-mm-dd"),G302&gt;=$P$2,K302="",OR(N(J302)&gt;0,N(M301)&gt;0)),"Falta cerrar el Saldo L2 de este dia. ","")&amp;IF(AND(H302&lt;&gt;"",SUMPRODUCT((Registros!$C$2:$C$3000=H302)*ISTEXT(Registros!$AP$2:$AP$3000))&gt;0),"Hay P/L guardado como texto en Registros (no suma). ","")))</f>
        <v/>
      </c>
    </row>
    <row r="303" customFormat="false" ht="15" hidden="false" customHeight="true" outlineLevel="0" collapsed="false">
      <c r="A303" s="13" t="n">
        <f aca="false">IF(D302="","",IF(G302&gt;=$P$2,MIN(D302,C302),D302))</f>
        <v>8</v>
      </c>
      <c r="B303" s="13" t="n">
        <f aca="false">IF(A303="","",A303/8)</f>
        <v>1</v>
      </c>
      <c r="C303" s="13" t="n">
        <f aca="false">IF(OR(A303="",B303=""),"",A303+B303)</f>
        <v>9</v>
      </c>
      <c r="D303" s="13" t="n">
        <f aca="false">IF(A303="","",A303+SUMIFS(Registros!$AP:$AP,Registros!$C:$C,H303))</f>
        <v>8</v>
      </c>
      <c r="E303" s="13" t="n">
        <f aca="false">IF(A303="","",ROUND(A303-8*B303,2))</f>
        <v>0</v>
      </c>
      <c r="F303" s="13" t="n">
        <f aca="false">IF(OR(D303="",C303=""),"",D303-C303)</f>
        <v>-1</v>
      </c>
      <c r="G303" s="20" t="n">
        <f aca="false">IF(G302="","",G302+1)</f>
        <v>302</v>
      </c>
      <c r="H303" s="15"/>
      <c r="I303" s="14"/>
      <c r="J303" s="16" t="str">
        <f aca="false">IF(OR(H303="",D303="",C303="",G303&lt;$P$2),"",MAX(0,ROUND(D303-C303,2)))</f>
        <v/>
      </c>
      <c r="K303" s="17"/>
      <c r="L303" s="16" t="str">
        <f aca="false">IF(NOT(ISNUMBER(K303)),"",ROUND(K303-N(M302)-N(J303),2))</f>
        <v/>
      </c>
      <c r="M303" s="16" t="n">
        <f aca="false">IF(ISNUMBER(K303),K303,N(M302))</f>
        <v>0</v>
      </c>
      <c r="N303" s="0" t="str">
        <f aca="true">IF(AND(H303="",K303=""),"",TRIM(IF(AND(H303&lt;&gt;"",NOT(AND(LEN(H303)=10,MID(H303,5,1)="-",MID(H303,8,1)="-"))),"Fecha con formato invalido (usa AAAA-MM-DD). ","")&amp;IF(AND(H303&lt;&gt;"",COUNTIF($H$2:$H$367,H303)&gt;1),"Fecha repetida en otro dia. ","")&amp;IF(AND(H303&lt;&gt;"",H302&lt;&gt;"",H303&lt;=H302),"La fecha no es posterior a la del dia anterior. ","")&amp;IF(AND(H303&lt;&gt;"",ISNUMBER(A303),ISNUMBER(D302),ISNUMBER(C302),ABS(A303-IF(G302&gt;=$P$2,MIN(D302,C302),D302))&gt;0.005),"Bank roll inicial no sigue la regla del dia anterior (alguien sobrescribio la formula). ","")&amp;IF(AND(H303&lt;&gt;"",ISNUMBER(B303),ISNUMBER(A303),ABS(B303-A303/8)&gt;0.00001),"Stake distinto de Bank roll/8. ","")&amp;IF(AND(H303&lt;&gt;"",ISNUMBER(E303),ABS(E303)&gt;0.005),"Residuo distinto de 0. ","")&amp;IF(AND(K303&lt;&gt;"",OR(NOT(ISNUMBER(K303)),N(K303)&lt;0)),"Saldo L2 no numerico o negativo. ","")&amp;IF(AND(H303&lt;&gt;"",H303&lt;TEXT(TODAY(),"yyyy-mm-dd"),G303&gt;=$P$2,K303="",OR(N(J303)&gt;0,N(M302)&gt;0)),"Falta cerrar el Saldo L2 de este dia. ","")&amp;IF(AND(H303&lt;&gt;"",SUMPRODUCT((Registros!$C$2:$C$3000=H303)*ISTEXT(Registros!$AP$2:$AP$3000))&gt;0),"Hay P/L guardado como texto en Registros (no suma). ","")))</f>
        <v/>
      </c>
    </row>
    <row r="304" customFormat="false" ht="15" hidden="false" customHeight="true" outlineLevel="0" collapsed="false">
      <c r="A304" s="13" t="n">
        <f aca="false">IF(D303="","",IF(G303&gt;=$P$2,MIN(D303,C303),D303))</f>
        <v>8</v>
      </c>
      <c r="B304" s="13" t="n">
        <f aca="false">IF(A304="","",A304/8)</f>
        <v>1</v>
      </c>
      <c r="C304" s="13" t="n">
        <f aca="false">IF(OR(A304="",B304=""),"",A304+B304)</f>
        <v>9</v>
      </c>
      <c r="D304" s="13" t="n">
        <f aca="false">IF(A304="","",A304+SUMIFS(Registros!$AP:$AP,Registros!$C:$C,H304))</f>
        <v>8</v>
      </c>
      <c r="E304" s="13" t="n">
        <f aca="false">IF(A304="","",ROUND(A304-8*B304,2))</f>
        <v>0</v>
      </c>
      <c r="F304" s="13" t="n">
        <f aca="false">IF(OR(D304="",C304=""),"",D304-C304)</f>
        <v>-1</v>
      </c>
      <c r="G304" s="20" t="n">
        <f aca="false">IF(G303="","",G303+1)</f>
        <v>303</v>
      </c>
      <c r="H304" s="15"/>
      <c r="I304" s="14"/>
      <c r="J304" s="16" t="str">
        <f aca="false">IF(OR(H304="",D304="",C304="",G304&lt;$P$2),"",MAX(0,ROUND(D304-C304,2)))</f>
        <v/>
      </c>
      <c r="K304" s="17"/>
      <c r="L304" s="16" t="str">
        <f aca="false">IF(NOT(ISNUMBER(K304)),"",ROUND(K304-N(M303)-N(J304),2))</f>
        <v/>
      </c>
      <c r="M304" s="16" t="n">
        <f aca="false">IF(ISNUMBER(K304),K304,N(M303))</f>
        <v>0</v>
      </c>
      <c r="N304" s="0" t="str">
        <f aca="true">IF(AND(H304="",K304=""),"",TRIM(IF(AND(H304&lt;&gt;"",NOT(AND(LEN(H304)=10,MID(H304,5,1)="-",MID(H304,8,1)="-"))),"Fecha con formato invalido (usa AAAA-MM-DD). ","")&amp;IF(AND(H304&lt;&gt;"",COUNTIF($H$2:$H$367,H304)&gt;1),"Fecha repetida en otro dia. ","")&amp;IF(AND(H304&lt;&gt;"",H303&lt;&gt;"",H304&lt;=H303),"La fecha no es posterior a la del dia anterior. ","")&amp;IF(AND(H304&lt;&gt;"",ISNUMBER(A304),ISNUMBER(D303),ISNUMBER(C303),ABS(A304-IF(G303&gt;=$P$2,MIN(D303,C303),D303))&gt;0.005),"Bank roll inicial no sigue la regla del dia anterior (alguien sobrescribio la formula). ","")&amp;IF(AND(H304&lt;&gt;"",ISNUMBER(B304),ISNUMBER(A304),ABS(B304-A304/8)&gt;0.00001),"Stake distinto de Bank roll/8. ","")&amp;IF(AND(H304&lt;&gt;"",ISNUMBER(E304),ABS(E304)&gt;0.005),"Residuo distinto de 0. ","")&amp;IF(AND(K304&lt;&gt;"",OR(NOT(ISNUMBER(K304)),N(K304)&lt;0)),"Saldo L2 no numerico o negativo. ","")&amp;IF(AND(H304&lt;&gt;"",H304&lt;TEXT(TODAY(),"yyyy-mm-dd"),G304&gt;=$P$2,K304="",OR(N(J304)&gt;0,N(M303)&gt;0)),"Falta cerrar el Saldo L2 de este dia. ","")&amp;IF(AND(H304&lt;&gt;"",SUMPRODUCT((Registros!$C$2:$C$3000=H304)*ISTEXT(Registros!$AP$2:$AP$3000))&gt;0),"Hay P/L guardado como texto en Registros (no suma). ","")))</f>
        <v/>
      </c>
    </row>
    <row r="305" customFormat="false" ht="15" hidden="false" customHeight="true" outlineLevel="0" collapsed="false">
      <c r="A305" s="13" t="n">
        <f aca="false">IF(D304="","",IF(G304&gt;=$P$2,MIN(D304,C304),D304))</f>
        <v>8</v>
      </c>
      <c r="B305" s="13" t="n">
        <f aca="false">IF(A305="","",A305/8)</f>
        <v>1</v>
      </c>
      <c r="C305" s="13" t="n">
        <f aca="false">IF(OR(A305="",B305=""),"",A305+B305)</f>
        <v>9</v>
      </c>
      <c r="D305" s="13" t="n">
        <f aca="false">IF(A305="","",A305+SUMIFS(Registros!$AP:$AP,Registros!$C:$C,H305))</f>
        <v>8</v>
      </c>
      <c r="E305" s="13" t="n">
        <f aca="false">IF(A305="","",ROUND(A305-8*B305,2))</f>
        <v>0</v>
      </c>
      <c r="F305" s="13" t="n">
        <f aca="false">IF(OR(D305="",C305=""),"",D305-C305)</f>
        <v>-1</v>
      </c>
      <c r="G305" s="20" t="n">
        <f aca="false">IF(G304="","",G304+1)</f>
        <v>304</v>
      </c>
      <c r="H305" s="15"/>
      <c r="I305" s="14"/>
      <c r="J305" s="16" t="str">
        <f aca="false">IF(OR(H305="",D305="",C305="",G305&lt;$P$2),"",MAX(0,ROUND(D305-C305,2)))</f>
        <v/>
      </c>
      <c r="K305" s="17"/>
      <c r="L305" s="16" t="str">
        <f aca="false">IF(NOT(ISNUMBER(K305)),"",ROUND(K305-N(M304)-N(J305),2))</f>
        <v/>
      </c>
      <c r="M305" s="16" t="n">
        <f aca="false">IF(ISNUMBER(K305),K305,N(M304))</f>
        <v>0</v>
      </c>
      <c r="N305" s="0" t="str">
        <f aca="true">IF(AND(H305="",K305=""),"",TRIM(IF(AND(H305&lt;&gt;"",NOT(AND(LEN(H305)=10,MID(H305,5,1)="-",MID(H305,8,1)="-"))),"Fecha con formato invalido (usa AAAA-MM-DD). ","")&amp;IF(AND(H305&lt;&gt;"",COUNTIF($H$2:$H$367,H305)&gt;1),"Fecha repetida en otro dia. ","")&amp;IF(AND(H305&lt;&gt;"",H304&lt;&gt;"",H305&lt;=H304),"La fecha no es posterior a la del dia anterior. ","")&amp;IF(AND(H305&lt;&gt;"",ISNUMBER(A305),ISNUMBER(D304),ISNUMBER(C304),ABS(A305-IF(G304&gt;=$P$2,MIN(D304,C304),D304))&gt;0.005),"Bank roll inicial no sigue la regla del dia anterior (alguien sobrescribio la formula). ","")&amp;IF(AND(H305&lt;&gt;"",ISNUMBER(B305),ISNUMBER(A305),ABS(B305-A305/8)&gt;0.00001),"Stake distinto de Bank roll/8. ","")&amp;IF(AND(H305&lt;&gt;"",ISNUMBER(E305),ABS(E305)&gt;0.005),"Residuo distinto de 0. ","")&amp;IF(AND(K305&lt;&gt;"",OR(NOT(ISNUMBER(K305)),N(K305)&lt;0)),"Saldo L2 no numerico o negativo. ","")&amp;IF(AND(H305&lt;&gt;"",H305&lt;TEXT(TODAY(),"yyyy-mm-dd"),G305&gt;=$P$2,K305="",OR(N(J305)&gt;0,N(M304)&gt;0)),"Falta cerrar el Saldo L2 de este dia. ","")&amp;IF(AND(H305&lt;&gt;"",SUMPRODUCT((Registros!$C$2:$C$3000=H305)*ISTEXT(Registros!$AP$2:$AP$3000))&gt;0),"Hay P/L guardado como texto en Registros (no suma). ","")))</f>
        <v/>
      </c>
    </row>
    <row r="306" customFormat="false" ht="15" hidden="false" customHeight="true" outlineLevel="0" collapsed="false">
      <c r="A306" s="13" t="n">
        <f aca="false">IF(D305="","",IF(G305&gt;=$P$2,MIN(D305,C305),D305))</f>
        <v>8</v>
      </c>
      <c r="B306" s="13" t="n">
        <f aca="false">IF(A306="","",A306/8)</f>
        <v>1</v>
      </c>
      <c r="C306" s="13" t="n">
        <f aca="false">IF(OR(A306="",B306=""),"",A306+B306)</f>
        <v>9</v>
      </c>
      <c r="D306" s="13" t="n">
        <f aca="false">IF(A306="","",A306+SUMIFS(Registros!$AP:$AP,Registros!$C:$C,H306))</f>
        <v>8</v>
      </c>
      <c r="E306" s="13" t="n">
        <f aca="false">IF(A306="","",ROUND(A306-8*B306,2))</f>
        <v>0</v>
      </c>
      <c r="F306" s="13" t="n">
        <f aca="false">IF(OR(D306="",C306=""),"",D306-C306)</f>
        <v>-1</v>
      </c>
      <c r="G306" s="20" t="n">
        <f aca="false">IF(G305="","",G305+1)</f>
        <v>305</v>
      </c>
      <c r="H306" s="15"/>
      <c r="I306" s="14"/>
      <c r="J306" s="16" t="str">
        <f aca="false">IF(OR(H306="",D306="",C306="",G306&lt;$P$2),"",MAX(0,ROUND(D306-C306,2)))</f>
        <v/>
      </c>
      <c r="K306" s="17"/>
      <c r="L306" s="16" t="str">
        <f aca="false">IF(NOT(ISNUMBER(K306)),"",ROUND(K306-N(M305)-N(J306),2))</f>
        <v/>
      </c>
      <c r="M306" s="16" t="n">
        <f aca="false">IF(ISNUMBER(K306),K306,N(M305))</f>
        <v>0</v>
      </c>
      <c r="N306" s="0" t="str">
        <f aca="true">IF(AND(H306="",K306=""),"",TRIM(IF(AND(H306&lt;&gt;"",NOT(AND(LEN(H306)=10,MID(H306,5,1)="-",MID(H306,8,1)="-"))),"Fecha con formato invalido (usa AAAA-MM-DD). ","")&amp;IF(AND(H306&lt;&gt;"",COUNTIF($H$2:$H$367,H306)&gt;1),"Fecha repetida en otro dia. ","")&amp;IF(AND(H306&lt;&gt;"",H305&lt;&gt;"",H306&lt;=H305),"La fecha no es posterior a la del dia anterior. ","")&amp;IF(AND(H306&lt;&gt;"",ISNUMBER(A306),ISNUMBER(D305),ISNUMBER(C305),ABS(A306-IF(G305&gt;=$P$2,MIN(D305,C305),D305))&gt;0.005),"Bank roll inicial no sigue la regla del dia anterior (alguien sobrescribio la formula). ","")&amp;IF(AND(H306&lt;&gt;"",ISNUMBER(B306),ISNUMBER(A306),ABS(B306-A306/8)&gt;0.00001),"Stake distinto de Bank roll/8. ","")&amp;IF(AND(H306&lt;&gt;"",ISNUMBER(E306),ABS(E306)&gt;0.005),"Residuo distinto de 0. ","")&amp;IF(AND(K306&lt;&gt;"",OR(NOT(ISNUMBER(K306)),N(K306)&lt;0)),"Saldo L2 no numerico o negativo. ","")&amp;IF(AND(H306&lt;&gt;"",H306&lt;TEXT(TODAY(),"yyyy-mm-dd"),G306&gt;=$P$2,K306="",OR(N(J306)&gt;0,N(M305)&gt;0)),"Falta cerrar el Saldo L2 de este dia. ","")&amp;IF(AND(H306&lt;&gt;"",SUMPRODUCT((Registros!$C$2:$C$3000=H306)*ISTEXT(Registros!$AP$2:$AP$3000))&gt;0),"Hay P/L guardado como texto en Registros (no suma). ","")))</f>
        <v/>
      </c>
    </row>
    <row r="307" customFormat="false" ht="15" hidden="false" customHeight="true" outlineLevel="0" collapsed="false">
      <c r="A307" s="13" t="n">
        <f aca="false">IF(D306="","",IF(G306&gt;=$P$2,MIN(D306,C306),D306))</f>
        <v>8</v>
      </c>
      <c r="B307" s="13" t="n">
        <f aca="false">IF(A307="","",A307/8)</f>
        <v>1</v>
      </c>
      <c r="C307" s="13" t="n">
        <f aca="false">IF(OR(A307="",B307=""),"",A307+B307)</f>
        <v>9</v>
      </c>
      <c r="D307" s="13" t="n">
        <f aca="false">IF(A307="","",A307+SUMIFS(Registros!$AP:$AP,Registros!$C:$C,H307))</f>
        <v>8</v>
      </c>
      <c r="E307" s="13" t="n">
        <f aca="false">IF(A307="","",ROUND(A307-8*B307,2))</f>
        <v>0</v>
      </c>
      <c r="F307" s="13" t="n">
        <f aca="false">IF(OR(D307="",C307=""),"",D307-C307)</f>
        <v>-1</v>
      </c>
      <c r="G307" s="20" t="n">
        <f aca="false">IF(G306="","",G306+1)</f>
        <v>306</v>
      </c>
      <c r="H307" s="15"/>
      <c r="I307" s="14"/>
      <c r="J307" s="16" t="str">
        <f aca="false">IF(OR(H307="",D307="",C307="",G307&lt;$P$2),"",MAX(0,ROUND(D307-C307,2)))</f>
        <v/>
      </c>
      <c r="K307" s="17"/>
      <c r="L307" s="16" t="str">
        <f aca="false">IF(NOT(ISNUMBER(K307)),"",ROUND(K307-N(M306)-N(J307),2))</f>
        <v/>
      </c>
      <c r="M307" s="16" t="n">
        <f aca="false">IF(ISNUMBER(K307),K307,N(M306))</f>
        <v>0</v>
      </c>
      <c r="N307" s="0" t="str">
        <f aca="true">IF(AND(H307="",K307=""),"",TRIM(IF(AND(H307&lt;&gt;"",NOT(AND(LEN(H307)=10,MID(H307,5,1)="-",MID(H307,8,1)="-"))),"Fecha con formato invalido (usa AAAA-MM-DD). ","")&amp;IF(AND(H307&lt;&gt;"",COUNTIF($H$2:$H$367,H307)&gt;1),"Fecha repetida en otro dia. ","")&amp;IF(AND(H307&lt;&gt;"",H306&lt;&gt;"",H307&lt;=H306),"La fecha no es posterior a la del dia anterior. ","")&amp;IF(AND(H307&lt;&gt;"",ISNUMBER(A307),ISNUMBER(D306),ISNUMBER(C306),ABS(A307-IF(G306&gt;=$P$2,MIN(D306,C306),D306))&gt;0.005),"Bank roll inicial no sigue la regla del dia anterior (alguien sobrescribio la formula). ","")&amp;IF(AND(H307&lt;&gt;"",ISNUMBER(B307),ISNUMBER(A307),ABS(B307-A307/8)&gt;0.00001),"Stake distinto de Bank roll/8. ","")&amp;IF(AND(H307&lt;&gt;"",ISNUMBER(E307),ABS(E307)&gt;0.005),"Residuo distinto de 0. ","")&amp;IF(AND(K307&lt;&gt;"",OR(NOT(ISNUMBER(K307)),N(K307)&lt;0)),"Saldo L2 no numerico o negativo. ","")&amp;IF(AND(H307&lt;&gt;"",H307&lt;TEXT(TODAY(),"yyyy-mm-dd"),G307&gt;=$P$2,K307="",OR(N(J307)&gt;0,N(M306)&gt;0)),"Falta cerrar el Saldo L2 de este dia. ","")&amp;IF(AND(H307&lt;&gt;"",SUMPRODUCT((Registros!$C$2:$C$3000=H307)*ISTEXT(Registros!$AP$2:$AP$3000))&gt;0),"Hay P/L guardado como texto en Registros (no suma). ","")))</f>
        <v/>
      </c>
    </row>
    <row r="308" customFormat="false" ht="15" hidden="false" customHeight="true" outlineLevel="0" collapsed="false">
      <c r="A308" s="13" t="n">
        <f aca="false">IF(D307="","",IF(G307&gt;=$P$2,MIN(D307,C307),D307))</f>
        <v>8</v>
      </c>
      <c r="B308" s="13" t="n">
        <f aca="false">IF(A308="","",A308/8)</f>
        <v>1</v>
      </c>
      <c r="C308" s="13" t="n">
        <f aca="false">IF(OR(A308="",B308=""),"",A308+B308)</f>
        <v>9</v>
      </c>
      <c r="D308" s="13" t="n">
        <f aca="false">IF(A308="","",A308+SUMIFS(Registros!$AP:$AP,Registros!$C:$C,H308))</f>
        <v>8</v>
      </c>
      <c r="E308" s="13" t="n">
        <f aca="false">IF(A308="","",ROUND(A308-8*B308,2))</f>
        <v>0</v>
      </c>
      <c r="F308" s="13" t="n">
        <f aca="false">IF(OR(D308="",C308=""),"",D308-C308)</f>
        <v>-1</v>
      </c>
      <c r="G308" s="20" t="n">
        <f aca="false">IF(G307="","",G307+1)</f>
        <v>307</v>
      </c>
      <c r="H308" s="15"/>
      <c r="I308" s="14"/>
      <c r="J308" s="16" t="str">
        <f aca="false">IF(OR(H308="",D308="",C308="",G308&lt;$P$2),"",MAX(0,ROUND(D308-C308,2)))</f>
        <v/>
      </c>
      <c r="K308" s="17"/>
      <c r="L308" s="16" t="str">
        <f aca="false">IF(NOT(ISNUMBER(K308)),"",ROUND(K308-N(M307)-N(J308),2))</f>
        <v/>
      </c>
      <c r="M308" s="16" t="n">
        <f aca="false">IF(ISNUMBER(K308),K308,N(M307))</f>
        <v>0</v>
      </c>
      <c r="N308" s="0" t="str">
        <f aca="true">IF(AND(H308="",K308=""),"",TRIM(IF(AND(H308&lt;&gt;"",NOT(AND(LEN(H308)=10,MID(H308,5,1)="-",MID(H308,8,1)="-"))),"Fecha con formato invalido (usa AAAA-MM-DD). ","")&amp;IF(AND(H308&lt;&gt;"",COUNTIF($H$2:$H$367,H308)&gt;1),"Fecha repetida en otro dia. ","")&amp;IF(AND(H308&lt;&gt;"",H307&lt;&gt;"",H308&lt;=H307),"La fecha no es posterior a la del dia anterior. ","")&amp;IF(AND(H308&lt;&gt;"",ISNUMBER(A308),ISNUMBER(D307),ISNUMBER(C307),ABS(A308-IF(G307&gt;=$P$2,MIN(D307,C307),D307))&gt;0.005),"Bank roll inicial no sigue la regla del dia anterior (alguien sobrescribio la formula). ","")&amp;IF(AND(H308&lt;&gt;"",ISNUMBER(B308),ISNUMBER(A308),ABS(B308-A308/8)&gt;0.00001),"Stake distinto de Bank roll/8. ","")&amp;IF(AND(H308&lt;&gt;"",ISNUMBER(E308),ABS(E308)&gt;0.005),"Residuo distinto de 0. ","")&amp;IF(AND(K308&lt;&gt;"",OR(NOT(ISNUMBER(K308)),N(K308)&lt;0)),"Saldo L2 no numerico o negativo. ","")&amp;IF(AND(H308&lt;&gt;"",H308&lt;TEXT(TODAY(),"yyyy-mm-dd"),G308&gt;=$P$2,K308="",OR(N(J308)&gt;0,N(M307)&gt;0)),"Falta cerrar el Saldo L2 de este dia. ","")&amp;IF(AND(H308&lt;&gt;"",SUMPRODUCT((Registros!$C$2:$C$3000=H308)*ISTEXT(Registros!$AP$2:$AP$3000))&gt;0),"Hay P/L guardado como texto en Registros (no suma). ","")))</f>
        <v/>
      </c>
    </row>
    <row r="309" customFormat="false" ht="15" hidden="false" customHeight="true" outlineLevel="0" collapsed="false">
      <c r="A309" s="13" t="n">
        <f aca="false">IF(D308="","",IF(G308&gt;=$P$2,MIN(D308,C308),D308))</f>
        <v>8</v>
      </c>
      <c r="B309" s="13" t="n">
        <f aca="false">IF(A309="","",A309/8)</f>
        <v>1</v>
      </c>
      <c r="C309" s="13" t="n">
        <f aca="false">IF(OR(A309="",B309=""),"",A309+B309)</f>
        <v>9</v>
      </c>
      <c r="D309" s="13" t="n">
        <f aca="false">IF(A309="","",A309+SUMIFS(Registros!$AP:$AP,Registros!$C:$C,H309))</f>
        <v>8</v>
      </c>
      <c r="E309" s="13" t="n">
        <f aca="false">IF(A309="","",ROUND(A309-8*B309,2))</f>
        <v>0</v>
      </c>
      <c r="F309" s="13" t="n">
        <f aca="false">IF(OR(D309="",C309=""),"",D309-C309)</f>
        <v>-1</v>
      </c>
      <c r="G309" s="20" t="n">
        <f aca="false">IF(G308="","",G308+1)</f>
        <v>308</v>
      </c>
      <c r="H309" s="15"/>
      <c r="I309" s="14"/>
      <c r="J309" s="16" t="str">
        <f aca="false">IF(OR(H309="",D309="",C309="",G309&lt;$P$2),"",MAX(0,ROUND(D309-C309,2)))</f>
        <v/>
      </c>
      <c r="K309" s="17"/>
      <c r="L309" s="16" t="str">
        <f aca="false">IF(NOT(ISNUMBER(K309)),"",ROUND(K309-N(M308)-N(J309),2))</f>
        <v/>
      </c>
      <c r="M309" s="16" t="n">
        <f aca="false">IF(ISNUMBER(K309),K309,N(M308))</f>
        <v>0</v>
      </c>
      <c r="N309" s="0" t="str">
        <f aca="true">IF(AND(H309="",K309=""),"",TRIM(IF(AND(H309&lt;&gt;"",NOT(AND(LEN(H309)=10,MID(H309,5,1)="-",MID(H309,8,1)="-"))),"Fecha con formato invalido (usa AAAA-MM-DD). ","")&amp;IF(AND(H309&lt;&gt;"",COUNTIF($H$2:$H$367,H309)&gt;1),"Fecha repetida en otro dia. ","")&amp;IF(AND(H309&lt;&gt;"",H308&lt;&gt;"",H309&lt;=H308),"La fecha no es posterior a la del dia anterior. ","")&amp;IF(AND(H309&lt;&gt;"",ISNUMBER(A309),ISNUMBER(D308),ISNUMBER(C308),ABS(A309-IF(G308&gt;=$P$2,MIN(D308,C308),D308))&gt;0.005),"Bank roll inicial no sigue la regla del dia anterior (alguien sobrescribio la formula). ","")&amp;IF(AND(H309&lt;&gt;"",ISNUMBER(B309),ISNUMBER(A309),ABS(B309-A309/8)&gt;0.00001),"Stake distinto de Bank roll/8. ","")&amp;IF(AND(H309&lt;&gt;"",ISNUMBER(E309),ABS(E309)&gt;0.005),"Residuo distinto de 0. ","")&amp;IF(AND(K309&lt;&gt;"",OR(NOT(ISNUMBER(K309)),N(K309)&lt;0)),"Saldo L2 no numerico o negativo. ","")&amp;IF(AND(H309&lt;&gt;"",H309&lt;TEXT(TODAY(),"yyyy-mm-dd"),G309&gt;=$P$2,K309="",OR(N(J309)&gt;0,N(M308)&gt;0)),"Falta cerrar el Saldo L2 de este dia. ","")&amp;IF(AND(H309&lt;&gt;"",SUMPRODUCT((Registros!$C$2:$C$3000=H309)*ISTEXT(Registros!$AP$2:$AP$3000))&gt;0),"Hay P/L guardado como texto en Registros (no suma). ","")))</f>
        <v/>
      </c>
    </row>
    <row r="310" customFormat="false" ht="15" hidden="false" customHeight="true" outlineLevel="0" collapsed="false">
      <c r="A310" s="13" t="n">
        <f aca="false">IF(D309="","",IF(G309&gt;=$P$2,MIN(D309,C309),D309))</f>
        <v>8</v>
      </c>
      <c r="B310" s="13" t="n">
        <f aca="false">IF(A310="","",A310/8)</f>
        <v>1</v>
      </c>
      <c r="C310" s="13" t="n">
        <f aca="false">IF(OR(A310="",B310=""),"",A310+B310)</f>
        <v>9</v>
      </c>
      <c r="D310" s="13" t="n">
        <f aca="false">IF(A310="","",A310+SUMIFS(Registros!$AP:$AP,Registros!$C:$C,H310))</f>
        <v>8</v>
      </c>
      <c r="E310" s="13" t="n">
        <f aca="false">IF(A310="","",ROUND(A310-8*B310,2))</f>
        <v>0</v>
      </c>
      <c r="F310" s="13" t="n">
        <f aca="false">IF(OR(D310="",C310=""),"",D310-C310)</f>
        <v>-1</v>
      </c>
      <c r="G310" s="20" t="n">
        <f aca="false">IF(G309="","",G309+1)</f>
        <v>309</v>
      </c>
      <c r="H310" s="15"/>
      <c r="I310" s="14"/>
      <c r="J310" s="16" t="str">
        <f aca="false">IF(OR(H310="",D310="",C310="",G310&lt;$P$2),"",MAX(0,ROUND(D310-C310,2)))</f>
        <v/>
      </c>
      <c r="K310" s="17"/>
      <c r="L310" s="16" t="str">
        <f aca="false">IF(NOT(ISNUMBER(K310)),"",ROUND(K310-N(M309)-N(J310),2))</f>
        <v/>
      </c>
      <c r="M310" s="16" t="n">
        <f aca="false">IF(ISNUMBER(K310),K310,N(M309))</f>
        <v>0</v>
      </c>
      <c r="N310" s="0" t="str">
        <f aca="true">IF(AND(H310="",K310=""),"",TRIM(IF(AND(H310&lt;&gt;"",NOT(AND(LEN(H310)=10,MID(H310,5,1)="-",MID(H310,8,1)="-"))),"Fecha con formato invalido (usa AAAA-MM-DD). ","")&amp;IF(AND(H310&lt;&gt;"",COUNTIF($H$2:$H$367,H310)&gt;1),"Fecha repetida en otro dia. ","")&amp;IF(AND(H310&lt;&gt;"",H309&lt;&gt;"",H310&lt;=H309),"La fecha no es posterior a la del dia anterior. ","")&amp;IF(AND(H310&lt;&gt;"",ISNUMBER(A310),ISNUMBER(D309),ISNUMBER(C309),ABS(A310-IF(G309&gt;=$P$2,MIN(D309,C309),D309))&gt;0.005),"Bank roll inicial no sigue la regla del dia anterior (alguien sobrescribio la formula). ","")&amp;IF(AND(H310&lt;&gt;"",ISNUMBER(B310),ISNUMBER(A310),ABS(B310-A310/8)&gt;0.00001),"Stake distinto de Bank roll/8. ","")&amp;IF(AND(H310&lt;&gt;"",ISNUMBER(E310),ABS(E310)&gt;0.005),"Residuo distinto de 0. ","")&amp;IF(AND(K310&lt;&gt;"",OR(NOT(ISNUMBER(K310)),N(K310)&lt;0)),"Saldo L2 no numerico o negativo. ","")&amp;IF(AND(H310&lt;&gt;"",H310&lt;TEXT(TODAY(),"yyyy-mm-dd"),G310&gt;=$P$2,K310="",OR(N(J310)&gt;0,N(M309)&gt;0)),"Falta cerrar el Saldo L2 de este dia. ","")&amp;IF(AND(H310&lt;&gt;"",SUMPRODUCT((Registros!$C$2:$C$3000=H310)*ISTEXT(Registros!$AP$2:$AP$3000))&gt;0),"Hay P/L guardado como texto en Registros (no suma). ","")))</f>
        <v/>
      </c>
    </row>
    <row r="311" customFormat="false" ht="15" hidden="false" customHeight="true" outlineLevel="0" collapsed="false">
      <c r="A311" s="13" t="n">
        <f aca="false">IF(D310="","",IF(G310&gt;=$P$2,MIN(D310,C310),D310))</f>
        <v>8</v>
      </c>
      <c r="B311" s="13" t="n">
        <f aca="false">IF(A311="","",A311/8)</f>
        <v>1</v>
      </c>
      <c r="C311" s="13" t="n">
        <f aca="false">IF(OR(A311="",B311=""),"",A311+B311)</f>
        <v>9</v>
      </c>
      <c r="D311" s="13" t="n">
        <f aca="false">IF(A311="","",A311+SUMIFS(Registros!$AP:$AP,Registros!$C:$C,H311))</f>
        <v>8</v>
      </c>
      <c r="E311" s="13" t="n">
        <f aca="false">IF(A311="","",ROUND(A311-8*B311,2))</f>
        <v>0</v>
      </c>
      <c r="F311" s="13" t="n">
        <f aca="false">IF(OR(D311="",C311=""),"",D311-C311)</f>
        <v>-1</v>
      </c>
      <c r="G311" s="20" t="n">
        <f aca="false">IF(G310="","",G310+1)</f>
        <v>310</v>
      </c>
      <c r="H311" s="15"/>
      <c r="I311" s="14"/>
      <c r="J311" s="16" t="str">
        <f aca="false">IF(OR(H311="",D311="",C311="",G311&lt;$P$2),"",MAX(0,ROUND(D311-C311,2)))</f>
        <v/>
      </c>
      <c r="K311" s="17"/>
      <c r="L311" s="16" t="str">
        <f aca="false">IF(NOT(ISNUMBER(K311)),"",ROUND(K311-N(M310)-N(J311),2))</f>
        <v/>
      </c>
      <c r="M311" s="16" t="n">
        <f aca="false">IF(ISNUMBER(K311),K311,N(M310))</f>
        <v>0</v>
      </c>
      <c r="N311" s="0" t="str">
        <f aca="true">IF(AND(H311="",K311=""),"",TRIM(IF(AND(H311&lt;&gt;"",NOT(AND(LEN(H311)=10,MID(H311,5,1)="-",MID(H311,8,1)="-"))),"Fecha con formato invalido (usa AAAA-MM-DD). ","")&amp;IF(AND(H311&lt;&gt;"",COUNTIF($H$2:$H$367,H311)&gt;1),"Fecha repetida en otro dia. ","")&amp;IF(AND(H311&lt;&gt;"",H310&lt;&gt;"",H311&lt;=H310),"La fecha no es posterior a la del dia anterior. ","")&amp;IF(AND(H311&lt;&gt;"",ISNUMBER(A311),ISNUMBER(D310),ISNUMBER(C310),ABS(A311-IF(G310&gt;=$P$2,MIN(D310,C310),D310))&gt;0.005),"Bank roll inicial no sigue la regla del dia anterior (alguien sobrescribio la formula). ","")&amp;IF(AND(H311&lt;&gt;"",ISNUMBER(B311),ISNUMBER(A311),ABS(B311-A311/8)&gt;0.00001),"Stake distinto de Bank roll/8. ","")&amp;IF(AND(H311&lt;&gt;"",ISNUMBER(E311),ABS(E311)&gt;0.005),"Residuo distinto de 0. ","")&amp;IF(AND(K311&lt;&gt;"",OR(NOT(ISNUMBER(K311)),N(K311)&lt;0)),"Saldo L2 no numerico o negativo. ","")&amp;IF(AND(H311&lt;&gt;"",H311&lt;TEXT(TODAY(),"yyyy-mm-dd"),G311&gt;=$P$2,K311="",OR(N(J311)&gt;0,N(M310)&gt;0)),"Falta cerrar el Saldo L2 de este dia. ","")&amp;IF(AND(H311&lt;&gt;"",SUMPRODUCT((Registros!$C$2:$C$3000=H311)*ISTEXT(Registros!$AP$2:$AP$3000))&gt;0),"Hay P/L guardado como texto en Registros (no suma). ","")))</f>
        <v/>
      </c>
    </row>
    <row r="312" customFormat="false" ht="15" hidden="false" customHeight="true" outlineLevel="0" collapsed="false">
      <c r="A312" s="13" t="n">
        <f aca="false">IF(D311="","",IF(G311&gt;=$P$2,MIN(D311,C311),D311))</f>
        <v>8</v>
      </c>
      <c r="B312" s="13" t="n">
        <f aca="false">IF(A312="","",A312/8)</f>
        <v>1</v>
      </c>
      <c r="C312" s="13" t="n">
        <f aca="false">IF(OR(A312="",B312=""),"",A312+B312)</f>
        <v>9</v>
      </c>
      <c r="D312" s="13" t="n">
        <f aca="false">IF(A312="","",A312+SUMIFS(Registros!$AP:$AP,Registros!$C:$C,H312))</f>
        <v>8</v>
      </c>
      <c r="E312" s="13" t="n">
        <f aca="false">IF(A312="","",ROUND(A312-8*B312,2))</f>
        <v>0</v>
      </c>
      <c r="F312" s="13" t="n">
        <f aca="false">IF(OR(D312="",C312=""),"",D312-C312)</f>
        <v>-1</v>
      </c>
      <c r="G312" s="20" t="n">
        <f aca="false">IF(G311="","",G311+1)</f>
        <v>311</v>
      </c>
      <c r="H312" s="15"/>
      <c r="I312" s="14"/>
      <c r="J312" s="16" t="str">
        <f aca="false">IF(OR(H312="",D312="",C312="",G312&lt;$P$2),"",MAX(0,ROUND(D312-C312,2)))</f>
        <v/>
      </c>
      <c r="K312" s="17"/>
      <c r="L312" s="16" t="str">
        <f aca="false">IF(NOT(ISNUMBER(K312)),"",ROUND(K312-N(M311)-N(J312),2))</f>
        <v/>
      </c>
      <c r="M312" s="16" t="n">
        <f aca="false">IF(ISNUMBER(K312),K312,N(M311))</f>
        <v>0</v>
      </c>
      <c r="N312" s="0" t="str">
        <f aca="true">IF(AND(H312="",K312=""),"",TRIM(IF(AND(H312&lt;&gt;"",NOT(AND(LEN(H312)=10,MID(H312,5,1)="-",MID(H312,8,1)="-"))),"Fecha con formato invalido (usa AAAA-MM-DD). ","")&amp;IF(AND(H312&lt;&gt;"",COUNTIF($H$2:$H$367,H312)&gt;1),"Fecha repetida en otro dia. ","")&amp;IF(AND(H312&lt;&gt;"",H311&lt;&gt;"",H312&lt;=H311),"La fecha no es posterior a la del dia anterior. ","")&amp;IF(AND(H312&lt;&gt;"",ISNUMBER(A312),ISNUMBER(D311),ISNUMBER(C311),ABS(A312-IF(G311&gt;=$P$2,MIN(D311,C311),D311))&gt;0.005),"Bank roll inicial no sigue la regla del dia anterior (alguien sobrescribio la formula). ","")&amp;IF(AND(H312&lt;&gt;"",ISNUMBER(B312),ISNUMBER(A312),ABS(B312-A312/8)&gt;0.00001),"Stake distinto de Bank roll/8. ","")&amp;IF(AND(H312&lt;&gt;"",ISNUMBER(E312),ABS(E312)&gt;0.005),"Residuo distinto de 0. ","")&amp;IF(AND(K312&lt;&gt;"",OR(NOT(ISNUMBER(K312)),N(K312)&lt;0)),"Saldo L2 no numerico o negativo. ","")&amp;IF(AND(H312&lt;&gt;"",H312&lt;TEXT(TODAY(),"yyyy-mm-dd"),G312&gt;=$P$2,K312="",OR(N(J312)&gt;0,N(M311)&gt;0)),"Falta cerrar el Saldo L2 de este dia. ","")&amp;IF(AND(H312&lt;&gt;"",SUMPRODUCT((Registros!$C$2:$C$3000=H312)*ISTEXT(Registros!$AP$2:$AP$3000))&gt;0),"Hay P/L guardado como texto en Registros (no suma). ","")))</f>
        <v/>
      </c>
    </row>
    <row r="313" customFormat="false" ht="15" hidden="false" customHeight="true" outlineLevel="0" collapsed="false">
      <c r="A313" s="13" t="n">
        <f aca="false">IF(D312="","",IF(G312&gt;=$P$2,MIN(D312,C312),D312))</f>
        <v>8</v>
      </c>
      <c r="B313" s="13" t="n">
        <f aca="false">IF(A313="","",A313/8)</f>
        <v>1</v>
      </c>
      <c r="C313" s="13" t="n">
        <f aca="false">IF(OR(A313="",B313=""),"",A313+B313)</f>
        <v>9</v>
      </c>
      <c r="D313" s="13" t="n">
        <f aca="false">IF(A313="","",A313+SUMIFS(Registros!$AP:$AP,Registros!$C:$C,H313))</f>
        <v>8</v>
      </c>
      <c r="E313" s="13" t="n">
        <f aca="false">IF(A313="","",ROUND(A313-8*B313,2))</f>
        <v>0</v>
      </c>
      <c r="F313" s="13" t="n">
        <f aca="false">IF(OR(D313="",C313=""),"",D313-C313)</f>
        <v>-1</v>
      </c>
      <c r="G313" s="20" t="n">
        <f aca="false">IF(G312="","",G312+1)</f>
        <v>312</v>
      </c>
      <c r="H313" s="15"/>
      <c r="I313" s="14"/>
      <c r="J313" s="16" t="str">
        <f aca="false">IF(OR(H313="",D313="",C313="",G313&lt;$P$2),"",MAX(0,ROUND(D313-C313,2)))</f>
        <v/>
      </c>
      <c r="K313" s="17"/>
      <c r="L313" s="16" t="str">
        <f aca="false">IF(NOT(ISNUMBER(K313)),"",ROUND(K313-N(M312)-N(J313),2))</f>
        <v/>
      </c>
      <c r="M313" s="16" t="n">
        <f aca="false">IF(ISNUMBER(K313),K313,N(M312))</f>
        <v>0</v>
      </c>
      <c r="N313" s="0" t="str">
        <f aca="true">IF(AND(H313="",K313=""),"",TRIM(IF(AND(H313&lt;&gt;"",NOT(AND(LEN(H313)=10,MID(H313,5,1)="-",MID(H313,8,1)="-"))),"Fecha con formato invalido (usa AAAA-MM-DD). ","")&amp;IF(AND(H313&lt;&gt;"",COUNTIF($H$2:$H$367,H313)&gt;1),"Fecha repetida en otro dia. ","")&amp;IF(AND(H313&lt;&gt;"",H312&lt;&gt;"",H313&lt;=H312),"La fecha no es posterior a la del dia anterior. ","")&amp;IF(AND(H313&lt;&gt;"",ISNUMBER(A313),ISNUMBER(D312),ISNUMBER(C312),ABS(A313-IF(G312&gt;=$P$2,MIN(D312,C312),D312))&gt;0.005),"Bank roll inicial no sigue la regla del dia anterior (alguien sobrescribio la formula). ","")&amp;IF(AND(H313&lt;&gt;"",ISNUMBER(B313),ISNUMBER(A313),ABS(B313-A313/8)&gt;0.00001),"Stake distinto de Bank roll/8. ","")&amp;IF(AND(H313&lt;&gt;"",ISNUMBER(E313),ABS(E313)&gt;0.005),"Residuo distinto de 0. ","")&amp;IF(AND(K313&lt;&gt;"",OR(NOT(ISNUMBER(K313)),N(K313)&lt;0)),"Saldo L2 no numerico o negativo. ","")&amp;IF(AND(H313&lt;&gt;"",H313&lt;TEXT(TODAY(),"yyyy-mm-dd"),G313&gt;=$P$2,K313="",OR(N(J313)&gt;0,N(M312)&gt;0)),"Falta cerrar el Saldo L2 de este dia. ","")&amp;IF(AND(H313&lt;&gt;"",SUMPRODUCT((Registros!$C$2:$C$3000=H313)*ISTEXT(Registros!$AP$2:$AP$3000))&gt;0),"Hay P/L guardado como texto en Registros (no suma). ","")))</f>
        <v/>
      </c>
    </row>
    <row r="314" customFormat="false" ht="15" hidden="false" customHeight="true" outlineLevel="0" collapsed="false">
      <c r="A314" s="13" t="n">
        <f aca="false">IF(D313="","",IF(G313&gt;=$P$2,MIN(D313,C313),D313))</f>
        <v>8</v>
      </c>
      <c r="B314" s="13" t="n">
        <f aca="false">IF(A314="","",A314/8)</f>
        <v>1</v>
      </c>
      <c r="C314" s="13" t="n">
        <f aca="false">IF(OR(A314="",B314=""),"",A314+B314)</f>
        <v>9</v>
      </c>
      <c r="D314" s="13" t="n">
        <f aca="false">IF(A314="","",A314+SUMIFS(Registros!$AP:$AP,Registros!$C:$C,H314))</f>
        <v>8</v>
      </c>
      <c r="E314" s="13" t="n">
        <f aca="false">IF(A314="","",ROUND(A314-8*B314,2))</f>
        <v>0</v>
      </c>
      <c r="F314" s="13" t="n">
        <f aca="false">IF(OR(D314="",C314=""),"",D314-C314)</f>
        <v>-1</v>
      </c>
      <c r="G314" s="20" t="n">
        <f aca="false">IF(G313="","",G313+1)</f>
        <v>313</v>
      </c>
      <c r="H314" s="15"/>
      <c r="I314" s="14"/>
      <c r="J314" s="16" t="str">
        <f aca="false">IF(OR(H314="",D314="",C314="",G314&lt;$P$2),"",MAX(0,ROUND(D314-C314,2)))</f>
        <v/>
      </c>
      <c r="K314" s="17"/>
      <c r="L314" s="16" t="str">
        <f aca="false">IF(NOT(ISNUMBER(K314)),"",ROUND(K314-N(M313)-N(J314),2))</f>
        <v/>
      </c>
      <c r="M314" s="16" t="n">
        <f aca="false">IF(ISNUMBER(K314),K314,N(M313))</f>
        <v>0</v>
      </c>
      <c r="N314" s="0" t="str">
        <f aca="true">IF(AND(H314="",K314=""),"",TRIM(IF(AND(H314&lt;&gt;"",NOT(AND(LEN(H314)=10,MID(H314,5,1)="-",MID(H314,8,1)="-"))),"Fecha con formato invalido (usa AAAA-MM-DD). ","")&amp;IF(AND(H314&lt;&gt;"",COUNTIF($H$2:$H$367,H314)&gt;1),"Fecha repetida en otro dia. ","")&amp;IF(AND(H314&lt;&gt;"",H313&lt;&gt;"",H314&lt;=H313),"La fecha no es posterior a la del dia anterior. ","")&amp;IF(AND(H314&lt;&gt;"",ISNUMBER(A314),ISNUMBER(D313),ISNUMBER(C313),ABS(A314-IF(G313&gt;=$P$2,MIN(D313,C313),D313))&gt;0.005),"Bank roll inicial no sigue la regla del dia anterior (alguien sobrescribio la formula). ","")&amp;IF(AND(H314&lt;&gt;"",ISNUMBER(B314),ISNUMBER(A314),ABS(B314-A314/8)&gt;0.00001),"Stake distinto de Bank roll/8. ","")&amp;IF(AND(H314&lt;&gt;"",ISNUMBER(E314),ABS(E314)&gt;0.005),"Residuo distinto de 0. ","")&amp;IF(AND(K314&lt;&gt;"",OR(NOT(ISNUMBER(K314)),N(K314)&lt;0)),"Saldo L2 no numerico o negativo. ","")&amp;IF(AND(H314&lt;&gt;"",H314&lt;TEXT(TODAY(),"yyyy-mm-dd"),G314&gt;=$P$2,K314="",OR(N(J314)&gt;0,N(M313)&gt;0)),"Falta cerrar el Saldo L2 de este dia. ","")&amp;IF(AND(H314&lt;&gt;"",SUMPRODUCT((Registros!$C$2:$C$3000=H314)*ISTEXT(Registros!$AP$2:$AP$3000))&gt;0),"Hay P/L guardado como texto en Registros (no suma). ","")))</f>
        <v/>
      </c>
    </row>
    <row r="315" customFormat="false" ht="15" hidden="false" customHeight="true" outlineLevel="0" collapsed="false">
      <c r="A315" s="13" t="n">
        <f aca="false">IF(D314="","",IF(G314&gt;=$P$2,MIN(D314,C314),D314))</f>
        <v>8</v>
      </c>
      <c r="B315" s="13" t="n">
        <f aca="false">IF(A315="","",A315/8)</f>
        <v>1</v>
      </c>
      <c r="C315" s="13" t="n">
        <f aca="false">IF(OR(A315="",B315=""),"",A315+B315)</f>
        <v>9</v>
      </c>
      <c r="D315" s="13" t="n">
        <f aca="false">IF(A315="","",A315+SUMIFS(Registros!$AP:$AP,Registros!$C:$C,H315))</f>
        <v>8</v>
      </c>
      <c r="E315" s="13" t="n">
        <f aca="false">IF(A315="","",ROUND(A315-8*B315,2))</f>
        <v>0</v>
      </c>
      <c r="F315" s="13" t="n">
        <f aca="false">IF(OR(D315="",C315=""),"",D315-C315)</f>
        <v>-1</v>
      </c>
      <c r="G315" s="20" t="n">
        <f aca="false">IF(G314="","",G314+1)</f>
        <v>314</v>
      </c>
      <c r="H315" s="15"/>
      <c r="I315" s="14"/>
      <c r="J315" s="16" t="str">
        <f aca="false">IF(OR(H315="",D315="",C315="",G315&lt;$P$2),"",MAX(0,ROUND(D315-C315,2)))</f>
        <v/>
      </c>
      <c r="K315" s="17"/>
      <c r="L315" s="16" t="str">
        <f aca="false">IF(NOT(ISNUMBER(K315)),"",ROUND(K315-N(M314)-N(J315),2))</f>
        <v/>
      </c>
      <c r="M315" s="16" t="n">
        <f aca="false">IF(ISNUMBER(K315),K315,N(M314))</f>
        <v>0</v>
      </c>
      <c r="N315" s="0" t="str">
        <f aca="true">IF(AND(H315="",K315=""),"",TRIM(IF(AND(H315&lt;&gt;"",NOT(AND(LEN(H315)=10,MID(H315,5,1)="-",MID(H315,8,1)="-"))),"Fecha con formato invalido (usa AAAA-MM-DD). ","")&amp;IF(AND(H315&lt;&gt;"",COUNTIF($H$2:$H$367,H315)&gt;1),"Fecha repetida en otro dia. ","")&amp;IF(AND(H315&lt;&gt;"",H314&lt;&gt;"",H315&lt;=H314),"La fecha no es posterior a la del dia anterior. ","")&amp;IF(AND(H315&lt;&gt;"",ISNUMBER(A315),ISNUMBER(D314),ISNUMBER(C314),ABS(A315-IF(G314&gt;=$P$2,MIN(D314,C314),D314))&gt;0.005),"Bank roll inicial no sigue la regla del dia anterior (alguien sobrescribio la formula). ","")&amp;IF(AND(H315&lt;&gt;"",ISNUMBER(B315),ISNUMBER(A315),ABS(B315-A315/8)&gt;0.00001),"Stake distinto de Bank roll/8. ","")&amp;IF(AND(H315&lt;&gt;"",ISNUMBER(E315),ABS(E315)&gt;0.005),"Residuo distinto de 0. ","")&amp;IF(AND(K315&lt;&gt;"",OR(NOT(ISNUMBER(K315)),N(K315)&lt;0)),"Saldo L2 no numerico o negativo. ","")&amp;IF(AND(H315&lt;&gt;"",H315&lt;TEXT(TODAY(),"yyyy-mm-dd"),G315&gt;=$P$2,K315="",OR(N(J315)&gt;0,N(M314)&gt;0)),"Falta cerrar el Saldo L2 de este dia. ","")&amp;IF(AND(H315&lt;&gt;"",SUMPRODUCT((Registros!$C$2:$C$3000=H315)*ISTEXT(Registros!$AP$2:$AP$3000))&gt;0),"Hay P/L guardado como texto en Registros (no suma). ","")))</f>
        <v/>
      </c>
    </row>
    <row r="316" customFormat="false" ht="15" hidden="false" customHeight="true" outlineLevel="0" collapsed="false">
      <c r="A316" s="13" t="n">
        <f aca="false">IF(D315="","",IF(G315&gt;=$P$2,MIN(D315,C315),D315))</f>
        <v>8</v>
      </c>
      <c r="B316" s="13" t="n">
        <f aca="false">IF(A316="","",A316/8)</f>
        <v>1</v>
      </c>
      <c r="C316" s="13" t="n">
        <f aca="false">IF(OR(A316="",B316=""),"",A316+B316)</f>
        <v>9</v>
      </c>
      <c r="D316" s="13" t="n">
        <f aca="false">IF(A316="","",A316+SUMIFS(Registros!$AP:$AP,Registros!$C:$C,H316))</f>
        <v>8</v>
      </c>
      <c r="E316" s="13" t="n">
        <f aca="false">IF(A316="","",ROUND(A316-8*B316,2))</f>
        <v>0</v>
      </c>
      <c r="F316" s="13" t="n">
        <f aca="false">IF(OR(D316="",C316=""),"",D316-C316)</f>
        <v>-1</v>
      </c>
      <c r="G316" s="20" t="n">
        <f aca="false">IF(G315="","",G315+1)</f>
        <v>315</v>
      </c>
      <c r="H316" s="15"/>
      <c r="I316" s="14"/>
      <c r="J316" s="16" t="str">
        <f aca="false">IF(OR(H316="",D316="",C316="",G316&lt;$P$2),"",MAX(0,ROUND(D316-C316,2)))</f>
        <v/>
      </c>
      <c r="K316" s="17"/>
      <c r="L316" s="16" t="str">
        <f aca="false">IF(NOT(ISNUMBER(K316)),"",ROUND(K316-N(M315)-N(J316),2))</f>
        <v/>
      </c>
      <c r="M316" s="16" t="n">
        <f aca="false">IF(ISNUMBER(K316),K316,N(M315))</f>
        <v>0</v>
      </c>
      <c r="N316" s="0" t="str">
        <f aca="true">IF(AND(H316="",K316=""),"",TRIM(IF(AND(H316&lt;&gt;"",NOT(AND(LEN(H316)=10,MID(H316,5,1)="-",MID(H316,8,1)="-"))),"Fecha con formato invalido (usa AAAA-MM-DD). ","")&amp;IF(AND(H316&lt;&gt;"",COUNTIF($H$2:$H$367,H316)&gt;1),"Fecha repetida en otro dia. ","")&amp;IF(AND(H316&lt;&gt;"",H315&lt;&gt;"",H316&lt;=H315),"La fecha no es posterior a la del dia anterior. ","")&amp;IF(AND(H316&lt;&gt;"",ISNUMBER(A316),ISNUMBER(D315),ISNUMBER(C315),ABS(A316-IF(G315&gt;=$P$2,MIN(D315,C315),D315))&gt;0.005),"Bank roll inicial no sigue la regla del dia anterior (alguien sobrescribio la formula). ","")&amp;IF(AND(H316&lt;&gt;"",ISNUMBER(B316),ISNUMBER(A316),ABS(B316-A316/8)&gt;0.00001),"Stake distinto de Bank roll/8. ","")&amp;IF(AND(H316&lt;&gt;"",ISNUMBER(E316),ABS(E316)&gt;0.005),"Residuo distinto de 0. ","")&amp;IF(AND(K316&lt;&gt;"",OR(NOT(ISNUMBER(K316)),N(K316)&lt;0)),"Saldo L2 no numerico o negativo. ","")&amp;IF(AND(H316&lt;&gt;"",H316&lt;TEXT(TODAY(),"yyyy-mm-dd"),G316&gt;=$P$2,K316="",OR(N(J316)&gt;0,N(M315)&gt;0)),"Falta cerrar el Saldo L2 de este dia. ","")&amp;IF(AND(H316&lt;&gt;"",SUMPRODUCT((Registros!$C$2:$C$3000=H316)*ISTEXT(Registros!$AP$2:$AP$3000))&gt;0),"Hay P/L guardado como texto en Registros (no suma). ","")))</f>
        <v/>
      </c>
    </row>
    <row r="317" customFormat="false" ht="15" hidden="false" customHeight="true" outlineLevel="0" collapsed="false">
      <c r="A317" s="13" t="n">
        <f aca="false">IF(D316="","",IF(G316&gt;=$P$2,MIN(D316,C316),D316))</f>
        <v>8</v>
      </c>
      <c r="B317" s="13" t="n">
        <f aca="false">IF(A317="","",A317/8)</f>
        <v>1</v>
      </c>
      <c r="C317" s="13" t="n">
        <f aca="false">IF(OR(A317="",B317=""),"",A317+B317)</f>
        <v>9</v>
      </c>
      <c r="D317" s="13" t="n">
        <f aca="false">IF(A317="","",A317+SUMIFS(Registros!$AP:$AP,Registros!$C:$C,H317))</f>
        <v>8</v>
      </c>
      <c r="E317" s="13" t="n">
        <f aca="false">IF(A317="","",ROUND(A317-8*B317,2))</f>
        <v>0</v>
      </c>
      <c r="F317" s="13" t="n">
        <f aca="false">IF(OR(D317="",C317=""),"",D317-C317)</f>
        <v>-1</v>
      </c>
      <c r="G317" s="20" t="n">
        <f aca="false">IF(G316="","",G316+1)</f>
        <v>316</v>
      </c>
      <c r="H317" s="15"/>
      <c r="I317" s="14"/>
      <c r="J317" s="16" t="str">
        <f aca="false">IF(OR(H317="",D317="",C317="",G317&lt;$P$2),"",MAX(0,ROUND(D317-C317,2)))</f>
        <v/>
      </c>
      <c r="K317" s="17"/>
      <c r="L317" s="16" t="str">
        <f aca="false">IF(NOT(ISNUMBER(K317)),"",ROUND(K317-N(M316)-N(J317),2))</f>
        <v/>
      </c>
      <c r="M317" s="16" t="n">
        <f aca="false">IF(ISNUMBER(K317),K317,N(M316))</f>
        <v>0</v>
      </c>
      <c r="N317" s="0" t="str">
        <f aca="true">IF(AND(H317="",K317=""),"",TRIM(IF(AND(H317&lt;&gt;"",NOT(AND(LEN(H317)=10,MID(H317,5,1)="-",MID(H317,8,1)="-"))),"Fecha con formato invalido (usa AAAA-MM-DD). ","")&amp;IF(AND(H317&lt;&gt;"",COUNTIF($H$2:$H$367,H317)&gt;1),"Fecha repetida en otro dia. ","")&amp;IF(AND(H317&lt;&gt;"",H316&lt;&gt;"",H317&lt;=H316),"La fecha no es posterior a la del dia anterior. ","")&amp;IF(AND(H317&lt;&gt;"",ISNUMBER(A317),ISNUMBER(D316),ISNUMBER(C316),ABS(A317-IF(G316&gt;=$P$2,MIN(D316,C316),D316))&gt;0.005),"Bank roll inicial no sigue la regla del dia anterior (alguien sobrescribio la formula). ","")&amp;IF(AND(H317&lt;&gt;"",ISNUMBER(B317),ISNUMBER(A317),ABS(B317-A317/8)&gt;0.00001),"Stake distinto de Bank roll/8. ","")&amp;IF(AND(H317&lt;&gt;"",ISNUMBER(E317),ABS(E317)&gt;0.005),"Residuo distinto de 0. ","")&amp;IF(AND(K317&lt;&gt;"",OR(NOT(ISNUMBER(K317)),N(K317)&lt;0)),"Saldo L2 no numerico o negativo. ","")&amp;IF(AND(H317&lt;&gt;"",H317&lt;TEXT(TODAY(),"yyyy-mm-dd"),G317&gt;=$P$2,K317="",OR(N(J317)&gt;0,N(M316)&gt;0)),"Falta cerrar el Saldo L2 de este dia. ","")&amp;IF(AND(H317&lt;&gt;"",SUMPRODUCT((Registros!$C$2:$C$3000=H317)*ISTEXT(Registros!$AP$2:$AP$3000))&gt;0),"Hay P/L guardado como texto en Registros (no suma). ","")))</f>
        <v/>
      </c>
    </row>
    <row r="318" customFormat="false" ht="15" hidden="false" customHeight="true" outlineLevel="0" collapsed="false">
      <c r="A318" s="13" t="n">
        <f aca="false">IF(D317="","",IF(G317&gt;=$P$2,MIN(D317,C317),D317))</f>
        <v>8</v>
      </c>
      <c r="B318" s="13" t="n">
        <f aca="false">IF(A318="","",A318/8)</f>
        <v>1</v>
      </c>
      <c r="C318" s="13" t="n">
        <f aca="false">IF(OR(A318="",B318=""),"",A318+B318)</f>
        <v>9</v>
      </c>
      <c r="D318" s="13" t="n">
        <f aca="false">IF(A318="","",A318+SUMIFS(Registros!$AP:$AP,Registros!$C:$C,H318))</f>
        <v>8</v>
      </c>
      <c r="E318" s="13" t="n">
        <f aca="false">IF(A318="","",ROUND(A318-8*B318,2))</f>
        <v>0</v>
      </c>
      <c r="F318" s="13" t="n">
        <f aca="false">IF(OR(D318="",C318=""),"",D318-C318)</f>
        <v>-1</v>
      </c>
      <c r="G318" s="20" t="n">
        <f aca="false">IF(G317="","",G317+1)</f>
        <v>317</v>
      </c>
      <c r="H318" s="15"/>
      <c r="I318" s="14"/>
      <c r="J318" s="16" t="str">
        <f aca="false">IF(OR(H318="",D318="",C318="",G318&lt;$P$2),"",MAX(0,ROUND(D318-C318,2)))</f>
        <v/>
      </c>
      <c r="K318" s="17"/>
      <c r="L318" s="16" t="str">
        <f aca="false">IF(NOT(ISNUMBER(K318)),"",ROUND(K318-N(M317)-N(J318),2))</f>
        <v/>
      </c>
      <c r="M318" s="16" t="n">
        <f aca="false">IF(ISNUMBER(K318),K318,N(M317))</f>
        <v>0</v>
      </c>
      <c r="N318" s="0" t="str">
        <f aca="true">IF(AND(H318="",K318=""),"",TRIM(IF(AND(H318&lt;&gt;"",NOT(AND(LEN(H318)=10,MID(H318,5,1)="-",MID(H318,8,1)="-"))),"Fecha con formato invalido (usa AAAA-MM-DD). ","")&amp;IF(AND(H318&lt;&gt;"",COUNTIF($H$2:$H$367,H318)&gt;1),"Fecha repetida en otro dia. ","")&amp;IF(AND(H318&lt;&gt;"",H317&lt;&gt;"",H318&lt;=H317),"La fecha no es posterior a la del dia anterior. ","")&amp;IF(AND(H318&lt;&gt;"",ISNUMBER(A318),ISNUMBER(D317),ISNUMBER(C317),ABS(A318-IF(G317&gt;=$P$2,MIN(D317,C317),D317))&gt;0.005),"Bank roll inicial no sigue la regla del dia anterior (alguien sobrescribio la formula). ","")&amp;IF(AND(H318&lt;&gt;"",ISNUMBER(B318),ISNUMBER(A318),ABS(B318-A318/8)&gt;0.00001),"Stake distinto de Bank roll/8. ","")&amp;IF(AND(H318&lt;&gt;"",ISNUMBER(E318),ABS(E318)&gt;0.005),"Residuo distinto de 0. ","")&amp;IF(AND(K318&lt;&gt;"",OR(NOT(ISNUMBER(K318)),N(K318)&lt;0)),"Saldo L2 no numerico o negativo. ","")&amp;IF(AND(H318&lt;&gt;"",H318&lt;TEXT(TODAY(),"yyyy-mm-dd"),G318&gt;=$P$2,K318="",OR(N(J318)&gt;0,N(M317)&gt;0)),"Falta cerrar el Saldo L2 de este dia. ","")&amp;IF(AND(H318&lt;&gt;"",SUMPRODUCT((Registros!$C$2:$C$3000=H318)*ISTEXT(Registros!$AP$2:$AP$3000))&gt;0),"Hay P/L guardado como texto en Registros (no suma). ","")))</f>
        <v/>
      </c>
    </row>
    <row r="319" customFormat="false" ht="15" hidden="false" customHeight="true" outlineLevel="0" collapsed="false">
      <c r="A319" s="13" t="n">
        <f aca="false">IF(D318="","",IF(G318&gt;=$P$2,MIN(D318,C318),D318))</f>
        <v>8</v>
      </c>
      <c r="B319" s="13" t="n">
        <f aca="false">IF(A319="","",A319/8)</f>
        <v>1</v>
      </c>
      <c r="C319" s="13" t="n">
        <f aca="false">IF(OR(A319="",B319=""),"",A319+B319)</f>
        <v>9</v>
      </c>
      <c r="D319" s="13" t="n">
        <f aca="false">IF(A319="","",A319+SUMIFS(Registros!$AP:$AP,Registros!$C:$C,H319))</f>
        <v>8</v>
      </c>
      <c r="E319" s="13" t="n">
        <f aca="false">IF(A319="","",ROUND(A319-8*B319,2))</f>
        <v>0</v>
      </c>
      <c r="F319" s="13" t="n">
        <f aca="false">IF(OR(D319="",C319=""),"",D319-C319)</f>
        <v>-1</v>
      </c>
      <c r="G319" s="20" t="n">
        <f aca="false">IF(G318="","",G318+1)</f>
        <v>318</v>
      </c>
      <c r="H319" s="15"/>
      <c r="I319" s="14"/>
      <c r="J319" s="16" t="str">
        <f aca="false">IF(OR(H319="",D319="",C319="",G319&lt;$P$2),"",MAX(0,ROUND(D319-C319,2)))</f>
        <v/>
      </c>
      <c r="K319" s="17"/>
      <c r="L319" s="16" t="str">
        <f aca="false">IF(NOT(ISNUMBER(K319)),"",ROUND(K319-N(M318)-N(J319),2))</f>
        <v/>
      </c>
      <c r="M319" s="16" t="n">
        <f aca="false">IF(ISNUMBER(K319),K319,N(M318))</f>
        <v>0</v>
      </c>
      <c r="N319" s="0" t="str">
        <f aca="true">IF(AND(H319="",K319=""),"",TRIM(IF(AND(H319&lt;&gt;"",NOT(AND(LEN(H319)=10,MID(H319,5,1)="-",MID(H319,8,1)="-"))),"Fecha con formato invalido (usa AAAA-MM-DD). ","")&amp;IF(AND(H319&lt;&gt;"",COUNTIF($H$2:$H$367,H319)&gt;1),"Fecha repetida en otro dia. ","")&amp;IF(AND(H319&lt;&gt;"",H318&lt;&gt;"",H319&lt;=H318),"La fecha no es posterior a la del dia anterior. ","")&amp;IF(AND(H319&lt;&gt;"",ISNUMBER(A319),ISNUMBER(D318),ISNUMBER(C318),ABS(A319-IF(G318&gt;=$P$2,MIN(D318,C318),D318))&gt;0.005),"Bank roll inicial no sigue la regla del dia anterior (alguien sobrescribio la formula). ","")&amp;IF(AND(H319&lt;&gt;"",ISNUMBER(B319),ISNUMBER(A319),ABS(B319-A319/8)&gt;0.00001),"Stake distinto de Bank roll/8. ","")&amp;IF(AND(H319&lt;&gt;"",ISNUMBER(E319),ABS(E319)&gt;0.005),"Residuo distinto de 0. ","")&amp;IF(AND(K319&lt;&gt;"",OR(NOT(ISNUMBER(K319)),N(K319)&lt;0)),"Saldo L2 no numerico o negativo. ","")&amp;IF(AND(H319&lt;&gt;"",H319&lt;TEXT(TODAY(),"yyyy-mm-dd"),G319&gt;=$P$2,K319="",OR(N(J319)&gt;0,N(M318)&gt;0)),"Falta cerrar el Saldo L2 de este dia. ","")&amp;IF(AND(H319&lt;&gt;"",SUMPRODUCT((Registros!$C$2:$C$3000=H319)*ISTEXT(Registros!$AP$2:$AP$3000))&gt;0),"Hay P/L guardado como texto en Registros (no suma). ","")))</f>
        <v/>
      </c>
    </row>
    <row r="320" customFormat="false" ht="15" hidden="false" customHeight="true" outlineLevel="0" collapsed="false">
      <c r="A320" s="13" t="n">
        <f aca="false">IF(D319="","",IF(G319&gt;=$P$2,MIN(D319,C319),D319))</f>
        <v>8</v>
      </c>
      <c r="B320" s="13" t="n">
        <f aca="false">IF(A320="","",A320/8)</f>
        <v>1</v>
      </c>
      <c r="C320" s="13" t="n">
        <f aca="false">IF(OR(A320="",B320=""),"",A320+B320)</f>
        <v>9</v>
      </c>
      <c r="D320" s="13" t="n">
        <f aca="false">IF(A320="","",A320+SUMIFS(Registros!$AP:$AP,Registros!$C:$C,H320))</f>
        <v>8</v>
      </c>
      <c r="E320" s="13" t="n">
        <f aca="false">IF(A320="","",ROUND(A320-8*B320,2))</f>
        <v>0</v>
      </c>
      <c r="F320" s="13" t="n">
        <f aca="false">IF(OR(D320="",C320=""),"",D320-C320)</f>
        <v>-1</v>
      </c>
      <c r="G320" s="20" t="n">
        <f aca="false">IF(G319="","",G319+1)</f>
        <v>319</v>
      </c>
      <c r="H320" s="15"/>
      <c r="I320" s="14"/>
      <c r="J320" s="16" t="str">
        <f aca="false">IF(OR(H320="",D320="",C320="",G320&lt;$P$2),"",MAX(0,ROUND(D320-C320,2)))</f>
        <v/>
      </c>
      <c r="K320" s="17"/>
      <c r="L320" s="16" t="str">
        <f aca="false">IF(NOT(ISNUMBER(K320)),"",ROUND(K320-N(M319)-N(J320),2))</f>
        <v/>
      </c>
      <c r="M320" s="16" t="n">
        <f aca="false">IF(ISNUMBER(K320),K320,N(M319))</f>
        <v>0</v>
      </c>
      <c r="N320" s="0" t="str">
        <f aca="true">IF(AND(H320="",K320=""),"",TRIM(IF(AND(H320&lt;&gt;"",NOT(AND(LEN(H320)=10,MID(H320,5,1)="-",MID(H320,8,1)="-"))),"Fecha con formato invalido (usa AAAA-MM-DD). ","")&amp;IF(AND(H320&lt;&gt;"",COUNTIF($H$2:$H$367,H320)&gt;1),"Fecha repetida en otro dia. ","")&amp;IF(AND(H320&lt;&gt;"",H319&lt;&gt;"",H320&lt;=H319),"La fecha no es posterior a la del dia anterior. ","")&amp;IF(AND(H320&lt;&gt;"",ISNUMBER(A320),ISNUMBER(D319),ISNUMBER(C319),ABS(A320-IF(G319&gt;=$P$2,MIN(D319,C319),D319))&gt;0.005),"Bank roll inicial no sigue la regla del dia anterior (alguien sobrescribio la formula). ","")&amp;IF(AND(H320&lt;&gt;"",ISNUMBER(B320),ISNUMBER(A320),ABS(B320-A320/8)&gt;0.00001),"Stake distinto de Bank roll/8. ","")&amp;IF(AND(H320&lt;&gt;"",ISNUMBER(E320),ABS(E320)&gt;0.005),"Residuo distinto de 0. ","")&amp;IF(AND(K320&lt;&gt;"",OR(NOT(ISNUMBER(K320)),N(K320)&lt;0)),"Saldo L2 no numerico o negativo. ","")&amp;IF(AND(H320&lt;&gt;"",H320&lt;TEXT(TODAY(),"yyyy-mm-dd"),G320&gt;=$P$2,K320="",OR(N(J320)&gt;0,N(M319)&gt;0)),"Falta cerrar el Saldo L2 de este dia. ","")&amp;IF(AND(H320&lt;&gt;"",SUMPRODUCT((Registros!$C$2:$C$3000=H320)*ISTEXT(Registros!$AP$2:$AP$3000))&gt;0),"Hay P/L guardado como texto en Registros (no suma). ","")))</f>
        <v/>
      </c>
    </row>
    <row r="321" customFormat="false" ht="15" hidden="false" customHeight="true" outlineLevel="0" collapsed="false">
      <c r="A321" s="13" t="n">
        <f aca="false">IF(D320="","",IF(G320&gt;=$P$2,MIN(D320,C320),D320))</f>
        <v>8</v>
      </c>
      <c r="B321" s="13" t="n">
        <f aca="false">IF(A321="","",A321/8)</f>
        <v>1</v>
      </c>
      <c r="C321" s="13" t="n">
        <f aca="false">IF(OR(A321="",B321=""),"",A321+B321)</f>
        <v>9</v>
      </c>
      <c r="D321" s="13" t="n">
        <f aca="false">IF(A321="","",A321+SUMIFS(Registros!$AP:$AP,Registros!$C:$C,H321))</f>
        <v>8</v>
      </c>
      <c r="E321" s="13" t="n">
        <f aca="false">IF(A321="","",ROUND(A321-8*B321,2))</f>
        <v>0</v>
      </c>
      <c r="F321" s="13" t="n">
        <f aca="false">IF(OR(D321="",C321=""),"",D321-C321)</f>
        <v>-1</v>
      </c>
      <c r="G321" s="20" t="n">
        <f aca="false">IF(G320="","",G320+1)</f>
        <v>320</v>
      </c>
      <c r="H321" s="15"/>
      <c r="I321" s="14"/>
      <c r="J321" s="16" t="str">
        <f aca="false">IF(OR(H321="",D321="",C321="",G321&lt;$P$2),"",MAX(0,ROUND(D321-C321,2)))</f>
        <v/>
      </c>
      <c r="K321" s="17"/>
      <c r="L321" s="16" t="str">
        <f aca="false">IF(NOT(ISNUMBER(K321)),"",ROUND(K321-N(M320)-N(J321),2))</f>
        <v/>
      </c>
      <c r="M321" s="16" t="n">
        <f aca="false">IF(ISNUMBER(K321),K321,N(M320))</f>
        <v>0</v>
      </c>
      <c r="N321" s="0" t="str">
        <f aca="true">IF(AND(H321="",K321=""),"",TRIM(IF(AND(H321&lt;&gt;"",NOT(AND(LEN(H321)=10,MID(H321,5,1)="-",MID(H321,8,1)="-"))),"Fecha con formato invalido (usa AAAA-MM-DD). ","")&amp;IF(AND(H321&lt;&gt;"",COUNTIF($H$2:$H$367,H321)&gt;1),"Fecha repetida en otro dia. ","")&amp;IF(AND(H321&lt;&gt;"",H320&lt;&gt;"",H321&lt;=H320),"La fecha no es posterior a la del dia anterior. ","")&amp;IF(AND(H321&lt;&gt;"",ISNUMBER(A321),ISNUMBER(D320),ISNUMBER(C320),ABS(A321-IF(G320&gt;=$P$2,MIN(D320,C320),D320))&gt;0.005),"Bank roll inicial no sigue la regla del dia anterior (alguien sobrescribio la formula). ","")&amp;IF(AND(H321&lt;&gt;"",ISNUMBER(B321),ISNUMBER(A321),ABS(B321-A321/8)&gt;0.00001),"Stake distinto de Bank roll/8. ","")&amp;IF(AND(H321&lt;&gt;"",ISNUMBER(E321),ABS(E321)&gt;0.005),"Residuo distinto de 0. ","")&amp;IF(AND(K321&lt;&gt;"",OR(NOT(ISNUMBER(K321)),N(K321)&lt;0)),"Saldo L2 no numerico o negativo. ","")&amp;IF(AND(H321&lt;&gt;"",H321&lt;TEXT(TODAY(),"yyyy-mm-dd"),G321&gt;=$P$2,K321="",OR(N(J321)&gt;0,N(M320)&gt;0)),"Falta cerrar el Saldo L2 de este dia. ","")&amp;IF(AND(H321&lt;&gt;"",SUMPRODUCT((Registros!$C$2:$C$3000=H321)*ISTEXT(Registros!$AP$2:$AP$3000))&gt;0),"Hay P/L guardado como texto en Registros (no suma). ","")))</f>
        <v/>
      </c>
    </row>
    <row r="322" customFormat="false" ht="15" hidden="false" customHeight="true" outlineLevel="0" collapsed="false">
      <c r="A322" s="13" t="n">
        <f aca="false">IF(D321="","",IF(G321&gt;=$P$2,MIN(D321,C321),D321))</f>
        <v>8</v>
      </c>
      <c r="B322" s="13" t="n">
        <f aca="false">IF(A322="","",A322/8)</f>
        <v>1</v>
      </c>
      <c r="C322" s="13" t="n">
        <f aca="false">IF(OR(A322="",B322=""),"",A322+B322)</f>
        <v>9</v>
      </c>
      <c r="D322" s="13" t="n">
        <f aca="false">IF(A322="","",A322+SUMIFS(Registros!$AP:$AP,Registros!$C:$C,H322))</f>
        <v>8</v>
      </c>
      <c r="E322" s="13" t="n">
        <f aca="false">IF(A322="","",ROUND(A322-8*B322,2))</f>
        <v>0</v>
      </c>
      <c r="F322" s="13" t="n">
        <f aca="false">IF(OR(D322="",C322=""),"",D322-C322)</f>
        <v>-1</v>
      </c>
      <c r="G322" s="20" t="n">
        <f aca="false">IF(G321="","",G321+1)</f>
        <v>321</v>
      </c>
      <c r="H322" s="15"/>
      <c r="I322" s="14"/>
      <c r="J322" s="16" t="str">
        <f aca="false">IF(OR(H322="",D322="",C322="",G322&lt;$P$2),"",MAX(0,ROUND(D322-C322,2)))</f>
        <v/>
      </c>
      <c r="K322" s="17"/>
      <c r="L322" s="16" t="str">
        <f aca="false">IF(NOT(ISNUMBER(K322)),"",ROUND(K322-N(M321)-N(J322),2))</f>
        <v/>
      </c>
      <c r="M322" s="16" t="n">
        <f aca="false">IF(ISNUMBER(K322),K322,N(M321))</f>
        <v>0</v>
      </c>
      <c r="N322" s="0" t="str">
        <f aca="true">IF(AND(H322="",K322=""),"",TRIM(IF(AND(H322&lt;&gt;"",NOT(AND(LEN(H322)=10,MID(H322,5,1)="-",MID(H322,8,1)="-"))),"Fecha con formato invalido (usa AAAA-MM-DD). ","")&amp;IF(AND(H322&lt;&gt;"",COUNTIF($H$2:$H$367,H322)&gt;1),"Fecha repetida en otro dia. ","")&amp;IF(AND(H322&lt;&gt;"",H321&lt;&gt;"",H322&lt;=H321),"La fecha no es posterior a la del dia anterior. ","")&amp;IF(AND(H322&lt;&gt;"",ISNUMBER(A322),ISNUMBER(D321),ISNUMBER(C321),ABS(A322-IF(G321&gt;=$P$2,MIN(D321,C321),D321))&gt;0.005),"Bank roll inicial no sigue la regla del dia anterior (alguien sobrescribio la formula). ","")&amp;IF(AND(H322&lt;&gt;"",ISNUMBER(B322),ISNUMBER(A322),ABS(B322-A322/8)&gt;0.00001),"Stake distinto de Bank roll/8. ","")&amp;IF(AND(H322&lt;&gt;"",ISNUMBER(E322),ABS(E322)&gt;0.005),"Residuo distinto de 0. ","")&amp;IF(AND(K322&lt;&gt;"",OR(NOT(ISNUMBER(K322)),N(K322)&lt;0)),"Saldo L2 no numerico o negativo. ","")&amp;IF(AND(H322&lt;&gt;"",H322&lt;TEXT(TODAY(),"yyyy-mm-dd"),G322&gt;=$P$2,K322="",OR(N(J322)&gt;0,N(M321)&gt;0)),"Falta cerrar el Saldo L2 de este dia. ","")&amp;IF(AND(H322&lt;&gt;"",SUMPRODUCT((Registros!$C$2:$C$3000=H322)*ISTEXT(Registros!$AP$2:$AP$3000))&gt;0),"Hay P/L guardado como texto en Registros (no suma). ","")))</f>
        <v/>
      </c>
    </row>
    <row r="323" customFormat="false" ht="15" hidden="false" customHeight="true" outlineLevel="0" collapsed="false">
      <c r="A323" s="13" t="n">
        <f aca="false">IF(D322="","",IF(G322&gt;=$P$2,MIN(D322,C322),D322))</f>
        <v>8</v>
      </c>
      <c r="B323" s="13" t="n">
        <f aca="false">IF(A323="","",A323/8)</f>
        <v>1</v>
      </c>
      <c r="C323" s="13" t="n">
        <f aca="false">IF(OR(A323="",B323=""),"",A323+B323)</f>
        <v>9</v>
      </c>
      <c r="D323" s="13" t="n">
        <f aca="false">IF(A323="","",A323+SUMIFS(Registros!$AP:$AP,Registros!$C:$C,H323))</f>
        <v>8</v>
      </c>
      <c r="E323" s="13" t="n">
        <f aca="false">IF(A323="","",ROUND(A323-8*B323,2))</f>
        <v>0</v>
      </c>
      <c r="F323" s="13" t="n">
        <f aca="false">IF(OR(D323="",C323=""),"",D323-C323)</f>
        <v>-1</v>
      </c>
      <c r="G323" s="20" t="n">
        <f aca="false">IF(G322="","",G322+1)</f>
        <v>322</v>
      </c>
      <c r="H323" s="15"/>
      <c r="I323" s="14"/>
      <c r="J323" s="16" t="str">
        <f aca="false">IF(OR(H323="",D323="",C323="",G323&lt;$P$2),"",MAX(0,ROUND(D323-C323,2)))</f>
        <v/>
      </c>
      <c r="K323" s="17"/>
      <c r="L323" s="16" t="str">
        <f aca="false">IF(NOT(ISNUMBER(K323)),"",ROUND(K323-N(M322)-N(J323),2))</f>
        <v/>
      </c>
      <c r="M323" s="16" t="n">
        <f aca="false">IF(ISNUMBER(K323),K323,N(M322))</f>
        <v>0</v>
      </c>
      <c r="N323" s="0" t="str">
        <f aca="true">IF(AND(H323="",K323=""),"",TRIM(IF(AND(H323&lt;&gt;"",NOT(AND(LEN(H323)=10,MID(H323,5,1)="-",MID(H323,8,1)="-"))),"Fecha con formato invalido (usa AAAA-MM-DD). ","")&amp;IF(AND(H323&lt;&gt;"",COUNTIF($H$2:$H$367,H323)&gt;1),"Fecha repetida en otro dia. ","")&amp;IF(AND(H323&lt;&gt;"",H322&lt;&gt;"",H323&lt;=H322),"La fecha no es posterior a la del dia anterior. ","")&amp;IF(AND(H323&lt;&gt;"",ISNUMBER(A323),ISNUMBER(D322),ISNUMBER(C322),ABS(A323-IF(G322&gt;=$P$2,MIN(D322,C322),D322))&gt;0.005),"Bank roll inicial no sigue la regla del dia anterior (alguien sobrescribio la formula). ","")&amp;IF(AND(H323&lt;&gt;"",ISNUMBER(B323),ISNUMBER(A323),ABS(B323-A323/8)&gt;0.00001),"Stake distinto de Bank roll/8. ","")&amp;IF(AND(H323&lt;&gt;"",ISNUMBER(E323),ABS(E323)&gt;0.005),"Residuo distinto de 0. ","")&amp;IF(AND(K323&lt;&gt;"",OR(NOT(ISNUMBER(K323)),N(K323)&lt;0)),"Saldo L2 no numerico o negativo. ","")&amp;IF(AND(H323&lt;&gt;"",H323&lt;TEXT(TODAY(),"yyyy-mm-dd"),G323&gt;=$P$2,K323="",OR(N(J323)&gt;0,N(M322)&gt;0)),"Falta cerrar el Saldo L2 de este dia. ","")&amp;IF(AND(H323&lt;&gt;"",SUMPRODUCT((Registros!$C$2:$C$3000=H323)*ISTEXT(Registros!$AP$2:$AP$3000))&gt;0),"Hay P/L guardado como texto en Registros (no suma). ","")))</f>
        <v/>
      </c>
    </row>
    <row r="324" customFormat="false" ht="15" hidden="false" customHeight="true" outlineLevel="0" collapsed="false">
      <c r="A324" s="13" t="n">
        <f aca="false">IF(D323="","",IF(G323&gt;=$P$2,MIN(D323,C323),D323))</f>
        <v>8</v>
      </c>
      <c r="B324" s="13" t="n">
        <f aca="false">IF(A324="","",A324/8)</f>
        <v>1</v>
      </c>
      <c r="C324" s="13" t="n">
        <f aca="false">IF(OR(A324="",B324=""),"",A324+B324)</f>
        <v>9</v>
      </c>
      <c r="D324" s="13" t="n">
        <f aca="false">IF(A324="","",A324+SUMIFS(Registros!$AP:$AP,Registros!$C:$C,H324))</f>
        <v>8</v>
      </c>
      <c r="E324" s="13" t="n">
        <f aca="false">IF(A324="","",ROUND(A324-8*B324,2))</f>
        <v>0</v>
      </c>
      <c r="F324" s="13" t="n">
        <f aca="false">IF(OR(D324="",C324=""),"",D324-C324)</f>
        <v>-1</v>
      </c>
      <c r="G324" s="20" t="n">
        <f aca="false">IF(G323="","",G323+1)</f>
        <v>323</v>
      </c>
      <c r="H324" s="15"/>
      <c r="I324" s="14"/>
      <c r="J324" s="16" t="str">
        <f aca="false">IF(OR(H324="",D324="",C324="",G324&lt;$P$2),"",MAX(0,ROUND(D324-C324,2)))</f>
        <v/>
      </c>
      <c r="K324" s="17"/>
      <c r="L324" s="16" t="str">
        <f aca="false">IF(NOT(ISNUMBER(K324)),"",ROUND(K324-N(M323)-N(J324),2))</f>
        <v/>
      </c>
      <c r="M324" s="16" t="n">
        <f aca="false">IF(ISNUMBER(K324),K324,N(M323))</f>
        <v>0</v>
      </c>
      <c r="N324" s="0" t="str">
        <f aca="true">IF(AND(H324="",K324=""),"",TRIM(IF(AND(H324&lt;&gt;"",NOT(AND(LEN(H324)=10,MID(H324,5,1)="-",MID(H324,8,1)="-"))),"Fecha con formato invalido (usa AAAA-MM-DD). ","")&amp;IF(AND(H324&lt;&gt;"",COUNTIF($H$2:$H$367,H324)&gt;1),"Fecha repetida en otro dia. ","")&amp;IF(AND(H324&lt;&gt;"",H323&lt;&gt;"",H324&lt;=H323),"La fecha no es posterior a la del dia anterior. ","")&amp;IF(AND(H324&lt;&gt;"",ISNUMBER(A324),ISNUMBER(D323),ISNUMBER(C323),ABS(A324-IF(G323&gt;=$P$2,MIN(D323,C323),D323))&gt;0.005),"Bank roll inicial no sigue la regla del dia anterior (alguien sobrescribio la formula). ","")&amp;IF(AND(H324&lt;&gt;"",ISNUMBER(B324),ISNUMBER(A324),ABS(B324-A324/8)&gt;0.00001),"Stake distinto de Bank roll/8. ","")&amp;IF(AND(H324&lt;&gt;"",ISNUMBER(E324),ABS(E324)&gt;0.005),"Residuo distinto de 0. ","")&amp;IF(AND(K324&lt;&gt;"",OR(NOT(ISNUMBER(K324)),N(K324)&lt;0)),"Saldo L2 no numerico o negativo. ","")&amp;IF(AND(H324&lt;&gt;"",H324&lt;TEXT(TODAY(),"yyyy-mm-dd"),G324&gt;=$P$2,K324="",OR(N(J324)&gt;0,N(M323)&gt;0)),"Falta cerrar el Saldo L2 de este dia. ","")&amp;IF(AND(H324&lt;&gt;"",SUMPRODUCT((Registros!$C$2:$C$3000=H324)*ISTEXT(Registros!$AP$2:$AP$3000))&gt;0),"Hay P/L guardado como texto en Registros (no suma). ","")))</f>
        <v/>
      </c>
    </row>
    <row r="325" customFormat="false" ht="15" hidden="false" customHeight="true" outlineLevel="0" collapsed="false">
      <c r="A325" s="13" t="n">
        <f aca="false">IF(D324="","",IF(G324&gt;=$P$2,MIN(D324,C324),D324))</f>
        <v>8</v>
      </c>
      <c r="B325" s="13" t="n">
        <f aca="false">IF(A325="","",A325/8)</f>
        <v>1</v>
      </c>
      <c r="C325" s="13" t="n">
        <f aca="false">IF(OR(A325="",B325=""),"",A325+B325)</f>
        <v>9</v>
      </c>
      <c r="D325" s="13" t="n">
        <f aca="false">IF(A325="","",A325+SUMIFS(Registros!$AP:$AP,Registros!$C:$C,H325))</f>
        <v>8</v>
      </c>
      <c r="E325" s="13" t="n">
        <f aca="false">IF(A325="","",ROUND(A325-8*B325,2))</f>
        <v>0</v>
      </c>
      <c r="F325" s="13" t="n">
        <f aca="false">IF(OR(D325="",C325=""),"",D325-C325)</f>
        <v>-1</v>
      </c>
      <c r="G325" s="20" t="n">
        <f aca="false">IF(G324="","",G324+1)</f>
        <v>324</v>
      </c>
      <c r="H325" s="15"/>
      <c r="I325" s="14"/>
      <c r="J325" s="16" t="str">
        <f aca="false">IF(OR(H325="",D325="",C325="",G325&lt;$P$2),"",MAX(0,ROUND(D325-C325,2)))</f>
        <v/>
      </c>
      <c r="K325" s="17"/>
      <c r="L325" s="16" t="str">
        <f aca="false">IF(NOT(ISNUMBER(K325)),"",ROUND(K325-N(M324)-N(J325),2))</f>
        <v/>
      </c>
      <c r="M325" s="16" t="n">
        <f aca="false">IF(ISNUMBER(K325),K325,N(M324))</f>
        <v>0</v>
      </c>
      <c r="N325" s="0" t="str">
        <f aca="true">IF(AND(H325="",K325=""),"",TRIM(IF(AND(H325&lt;&gt;"",NOT(AND(LEN(H325)=10,MID(H325,5,1)="-",MID(H325,8,1)="-"))),"Fecha con formato invalido (usa AAAA-MM-DD). ","")&amp;IF(AND(H325&lt;&gt;"",COUNTIF($H$2:$H$367,H325)&gt;1),"Fecha repetida en otro dia. ","")&amp;IF(AND(H325&lt;&gt;"",H324&lt;&gt;"",H325&lt;=H324),"La fecha no es posterior a la del dia anterior. ","")&amp;IF(AND(H325&lt;&gt;"",ISNUMBER(A325),ISNUMBER(D324),ISNUMBER(C324),ABS(A325-IF(G324&gt;=$P$2,MIN(D324,C324),D324))&gt;0.005),"Bank roll inicial no sigue la regla del dia anterior (alguien sobrescribio la formula). ","")&amp;IF(AND(H325&lt;&gt;"",ISNUMBER(B325),ISNUMBER(A325),ABS(B325-A325/8)&gt;0.00001),"Stake distinto de Bank roll/8. ","")&amp;IF(AND(H325&lt;&gt;"",ISNUMBER(E325),ABS(E325)&gt;0.005),"Residuo distinto de 0. ","")&amp;IF(AND(K325&lt;&gt;"",OR(NOT(ISNUMBER(K325)),N(K325)&lt;0)),"Saldo L2 no numerico o negativo. ","")&amp;IF(AND(H325&lt;&gt;"",H325&lt;TEXT(TODAY(),"yyyy-mm-dd"),G325&gt;=$P$2,K325="",OR(N(J325)&gt;0,N(M324)&gt;0)),"Falta cerrar el Saldo L2 de este dia. ","")&amp;IF(AND(H325&lt;&gt;"",SUMPRODUCT((Registros!$C$2:$C$3000=H325)*ISTEXT(Registros!$AP$2:$AP$3000))&gt;0),"Hay P/L guardado como texto en Registros (no suma). ","")))</f>
        <v/>
      </c>
    </row>
    <row r="326" customFormat="false" ht="15" hidden="false" customHeight="true" outlineLevel="0" collapsed="false">
      <c r="A326" s="13" t="n">
        <f aca="false">IF(D325="","",IF(G325&gt;=$P$2,MIN(D325,C325),D325))</f>
        <v>8</v>
      </c>
      <c r="B326" s="13" t="n">
        <f aca="false">IF(A326="","",A326/8)</f>
        <v>1</v>
      </c>
      <c r="C326" s="13" t="n">
        <f aca="false">IF(OR(A326="",B326=""),"",A326+B326)</f>
        <v>9</v>
      </c>
      <c r="D326" s="13" t="n">
        <f aca="false">IF(A326="","",A326+SUMIFS(Registros!$AP:$AP,Registros!$C:$C,H326))</f>
        <v>8</v>
      </c>
      <c r="E326" s="13" t="n">
        <f aca="false">IF(A326="","",ROUND(A326-8*B326,2))</f>
        <v>0</v>
      </c>
      <c r="F326" s="13" t="n">
        <f aca="false">IF(OR(D326="",C326=""),"",D326-C326)</f>
        <v>-1</v>
      </c>
      <c r="G326" s="20" t="n">
        <f aca="false">IF(G325="","",G325+1)</f>
        <v>325</v>
      </c>
      <c r="H326" s="15"/>
      <c r="I326" s="14"/>
      <c r="J326" s="16" t="str">
        <f aca="false">IF(OR(H326="",D326="",C326="",G326&lt;$P$2),"",MAX(0,ROUND(D326-C326,2)))</f>
        <v/>
      </c>
      <c r="K326" s="17"/>
      <c r="L326" s="16" t="str">
        <f aca="false">IF(NOT(ISNUMBER(K326)),"",ROUND(K326-N(M325)-N(J326),2))</f>
        <v/>
      </c>
      <c r="M326" s="16" t="n">
        <f aca="false">IF(ISNUMBER(K326),K326,N(M325))</f>
        <v>0</v>
      </c>
      <c r="N326" s="0" t="str">
        <f aca="true">IF(AND(H326="",K326=""),"",TRIM(IF(AND(H326&lt;&gt;"",NOT(AND(LEN(H326)=10,MID(H326,5,1)="-",MID(H326,8,1)="-"))),"Fecha con formato invalido (usa AAAA-MM-DD). ","")&amp;IF(AND(H326&lt;&gt;"",COUNTIF($H$2:$H$367,H326)&gt;1),"Fecha repetida en otro dia. ","")&amp;IF(AND(H326&lt;&gt;"",H325&lt;&gt;"",H326&lt;=H325),"La fecha no es posterior a la del dia anterior. ","")&amp;IF(AND(H326&lt;&gt;"",ISNUMBER(A326),ISNUMBER(D325),ISNUMBER(C325),ABS(A326-IF(G325&gt;=$P$2,MIN(D325,C325),D325))&gt;0.005),"Bank roll inicial no sigue la regla del dia anterior (alguien sobrescribio la formula). ","")&amp;IF(AND(H326&lt;&gt;"",ISNUMBER(B326),ISNUMBER(A326),ABS(B326-A326/8)&gt;0.00001),"Stake distinto de Bank roll/8. ","")&amp;IF(AND(H326&lt;&gt;"",ISNUMBER(E326),ABS(E326)&gt;0.005),"Residuo distinto de 0. ","")&amp;IF(AND(K326&lt;&gt;"",OR(NOT(ISNUMBER(K326)),N(K326)&lt;0)),"Saldo L2 no numerico o negativo. ","")&amp;IF(AND(H326&lt;&gt;"",H326&lt;TEXT(TODAY(),"yyyy-mm-dd"),G326&gt;=$P$2,K326="",OR(N(J326)&gt;0,N(M325)&gt;0)),"Falta cerrar el Saldo L2 de este dia. ","")&amp;IF(AND(H326&lt;&gt;"",SUMPRODUCT((Registros!$C$2:$C$3000=H326)*ISTEXT(Registros!$AP$2:$AP$3000))&gt;0),"Hay P/L guardado como texto en Registros (no suma). ","")))</f>
        <v/>
      </c>
    </row>
    <row r="327" customFormat="false" ht="15" hidden="false" customHeight="true" outlineLevel="0" collapsed="false">
      <c r="A327" s="13" t="n">
        <f aca="false">IF(D326="","",IF(G326&gt;=$P$2,MIN(D326,C326),D326))</f>
        <v>8</v>
      </c>
      <c r="B327" s="13" t="n">
        <f aca="false">IF(A327="","",A327/8)</f>
        <v>1</v>
      </c>
      <c r="C327" s="13" t="n">
        <f aca="false">IF(OR(A327="",B327=""),"",A327+B327)</f>
        <v>9</v>
      </c>
      <c r="D327" s="13" t="n">
        <f aca="false">IF(A327="","",A327+SUMIFS(Registros!$AP:$AP,Registros!$C:$C,H327))</f>
        <v>8</v>
      </c>
      <c r="E327" s="13" t="n">
        <f aca="false">IF(A327="","",ROUND(A327-8*B327,2))</f>
        <v>0</v>
      </c>
      <c r="F327" s="13" t="n">
        <f aca="false">IF(OR(D327="",C327=""),"",D327-C327)</f>
        <v>-1</v>
      </c>
      <c r="G327" s="20" t="n">
        <f aca="false">IF(G326="","",G326+1)</f>
        <v>326</v>
      </c>
      <c r="H327" s="15"/>
      <c r="I327" s="14"/>
      <c r="J327" s="16" t="str">
        <f aca="false">IF(OR(H327="",D327="",C327="",G327&lt;$P$2),"",MAX(0,ROUND(D327-C327,2)))</f>
        <v/>
      </c>
      <c r="K327" s="17"/>
      <c r="L327" s="16" t="str">
        <f aca="false">IF(NOT(ISNUMBER(K327)),"",ROUND(K327-N(M326)-N(J327),2))</f>
        <v/>
      </c>
      <c r="M327" s="16" t="n">
        <f aca="false">IF(ISNUMBER(K327),K327,N(M326))</f>
        <v>0</v>
      </c>
      <c r="N327" s="0" t="str">
        <f aca="true">IF(AND(H327="",K327=""),"",TRIM(IF(AND(H327&lt;&gt;"",NOT(AND(LEN(H327)=10,MID(H327,5,1)="-",MID(H327,8,1)="-"))),"Fecha con formato invalido (usa AAAA-MM-DD). ","")&amp;IF(AND(H327&lt;&gt;"",COUNTIF($H$2:$H$367,H327)&gt;1),"Fecha repetida en otro dia. ","")&amp;IF(AND(H327&lt;&gt;"",H326&lt;&gt;"",H327&lt;=H326),"La fecha no es posterior a la del dia anterior. ","")&amp;IF(AND(H327&lt;&gt;"",ISNUMBER(A327),ISNUMBER(D326),ISNUMBER(C326),ABS(A327-IF(G326&gt;=$P$2,MIN(D326,C326),D326))&gt;0.005),"Bank roll inicial no sigue la regla del dia anterior (alguien sobrescribio la formula). ","")&amp;IF(AND(H327&lt;&gt;"",ISNUMBER(B327),ISNUMBER(A327),ABS(B327-A327/8)&gt;0.00001),"Stake distinto de Bank roll/8. ","")&amp;IF(AND(H327&lt;&gt;"",ISNUMBER(E327),ABS(E327)&gt;0.005),"Residuo distinto de 0. ","")&amp;IF(AND(K327&lt;&gt;"",OR(NOT(ISNUMBER(K327)),N(K327)&lt;0)),"Saldo L2 no numerico o negativo. ","")&amp;IF(AND(H327&lt;&gt;"",H327&lt;TEXT(TODAY(),"yyyy-mm-dd"),G327&gt;=$P$2,K327="",OR(N(J327)&gt;0,N(M326)&gt;0)),"Falta cerrar el Saldo L2 de este dia. ","")&amp;IF(AND(H327&lt;&gt;"",SUMPRODUCT((Registros!$C$2:$C$3000=H327)*ISTEXT(Registros!$AP$2:$AP$3000))&gt;0),"Hay P/L guardado como texto en Registros (no suma). ","")))</f>
        <v/>
      </c>
    </row>
    <row r="328" customFormat="false" ht="15" hidden="false" customHeight="true" outlineLevel="0" collapsed="false">
      <c r="A328" s="13" t="n">
        <f aca="false">IF(D327="","",IF(G327&gt;=$P$2,MIN(D327,C327),D327))</f>
        <v>8</v>
      </c>
      <c r="B328" s="13" t="n">
        <f aca="false">IF(A328="","",A328/8)</f>
        <v>1</v>
      </c>
      <c r="C328" s="13" t="n">
        <f aca="false">IF(OR(A328="",B328=""),"",A328+B328)</f>
        <v>9</v>
      </c>
      <c r="D328" s="13" t="n">
        <f aca="false">IF(A328="","",A328+SUMIFS(Registros!$AP:$AP,Registros!$C:$C,H328))</f>
        <v>8</v>
      </c>
      <c r="E328" s="13" t="n">
        <f aca="false">IF(A328="","",ROUND(A328-8*B328,2))</f>
        <v>0</v>
      </c>
      <c r="F328" s="13" t="n">
        <f aca="false">IF(OR(D328="",C328=""),"",D328-C328)</f>
        <v>-1</v>
      </c>
      <c r="G328" s="20" t="n">
        <f aca="false">IF(G327="","",G327+1)</f>
        <v>327</v>
      </c>
      <c r="H328" s="15"/>
      <c r="I328" s="14"/>
      <c r="J328" s="16" t="str">
        <f aca="false">IF(OR(H328="",D328="",C328="",G328&lt;$P$2),"",MAX(0,ROUND(D328-C328,2)))</f>
        <v/>
      </c>
      <c r="K328" s="17"/>
      <c r="L328" s="16" t="str">
        <f aca="false">IF(NOT(ISNUMBER(K328)),"",ROUND(K328-N(M327)-N(J328),2))</f>
        <v/>
      </c>
      <c r="M328" s="16" t="n">
        <f aca="false">IF(ISNUMBER(K328),K328,N(M327))</f>
        <v>0</v>
      </c>
      <c r="N328" s="0" t="str">
        <f aca="true">IF(AND(H328="",K328=""),"",TRIM(IF(AND(H328&lt;&gt;"",NOT(AND(LEN(H328)=10,MID(H328,5,1)="-",MID(H328,8,1)="-"))),"Fecha con formato invalido (usa AAAA-MM-DD). ","")&amp;IF(AND(H328&lt;&gt;"",COUNTIF($H$2:$H$367,H328)&gt;1),"Fecha repetida en otro dia. ","")&amp;IF(AND(H328&lt;&gt;"",H327&lt;&gt;"",H328&lt;=H327),"La fecha no es posterior a la del dia anterior. ","")&amp;IF(AND(H328&lt;&gt;"",ISNUMBER(A328),ISNUMBER(D327),ISNUMBER(C327),ABS(A328-IF(G327&gt;=$P$2,MIN(D327,C327),D327))&gt;0.005),"Bank roll inicial no sigue la regla del dia anterior (alguien sobrescribio la formula). ","")&amp;IF(AND(H328&lt;&gt;"",ISNUMBER(B328),ISNUMBER(A328),ABS(B328-A328/8)&gt;0.00001),"Stake distinto de Bank roll/8. ","")&amp;IF(AND(H328&lt;&gt;"",ISNUMBER(E328),ABS(E328)&gt;0.005),"Residuo distinto de 0. ","")&amp;IF(AND(K328&lt;&gt;"",OR(NOT(ISNUMBER(K328)),N(K328)&lt;0)),"Saldo L2 no numerico o negativo. ","")&amp;IF(AND(H328&lt;&gt;"",H328&lt;TEXT(TODAY(),"yyyy-mm-dd"),G328&gt;=$P$2,K328="",OR(N(J328)&gt;0,N(M327)&gt;0)),"Falta cerrar el Saldo L2 de este dia. ","")&amp;IF(AND(H328&lt;&gt;"",SUMPRODUCT((Registros!$C$2:$C$3000=H328)*ISTEXT(Registros!$AP$2:$AP$3000))&gt;0),"Hay P/L guardado como texto en Registros (no suma). ","")))</f>
        <v/>
      </c>
    </row>
    <row r="329" customFormat="false" ht="15" hidden="false" customHeight="true" outlineLevel="0" collapsed="false">
      <c r="A329" s="13" t="n">
        <f aca="false">IF(D328="","",IF(G328&gt;=$P$2,MIN(D328,C328),D328))</f>
        <v>8</v>
      </c>
      <c r="B329" s="13" t="n">
        <f aca="false">IF(A329="","",A329/8)</f>
        <v>1</v>
      </c>
      <c r="C329" s="13" t="n">
        <f aca="false">IF(OR(A329="",B329=""),"",A329+B329)</f>
        <v>9</v>
      </c>
      <c r="D329" s="13" t="n">
        <f aca="false">IF(A329="","",A329+SUMIFS(Registros!$AP:$AP,Registros!$C:$C,H329))</f>
        <v>8</v>
      </c>
      <c r="E329" s="13" t="n">
        <f aca="false">IF(A329="","",ROUND(A329-8*B329,2))</f>
        <v>0</v>
      </c>
      <c r="F329" s="13" t="n">
        <f aca="false">IF(OR(D329="",C329=""),"",D329-C329)</f>
        <v>-1</v>
      </c>
      <c r="G329" s="20" t="n">
        <f aca="false">IF(G328="","",G328+1)</f>
        <v>328</v>
      </c>
      <c r="H329" s="15"/>
      <c r="I329" s="14"/>
      <c r="J329" s="16" t="str">
        <f aca="false">IF(OR(H329="",D329="",C329="",G329&lt;$P$2),"",MAX(0,ROUND(D329-C329,2)))</f>
        <v/>
      </c>
      <c r="K329" s="17"/>
      <c r="L329" s="16" t="str">
        <f aca="false">IF(NOT(ISNUMBER(K329)),"",ROUND(K329-N(M328)-N(J329),2))</f>
        <v/>
      </c>
      <c r="M329" s="16" t="n">
        <f aca="false">IF(ISNUMBER(K329),K329,N(M328))</f>
        <v>0</v>
      </c>
      <c r="N329" s="0" t="str">
        <f aca="true">IF(AND(H329="",K329=""),"",TRIM(IF(AND(H329&lt;&gt;"",NOT(AND(LEN(H329)=10,MID(H329,5,1)="-",MID(H329,8,1)="-"))),"Fecha con formato invalido (usa AAAA-MM-DD). ","")&amp;IF(AND(H329&lt;&gt;"",COUNTIF($H$2:$H$367,H329)&gt;1),"Fecha repetida en otro dia. ","")&amp;IF(AND(H329&lt;&gt;"",H328&lt;&gt;"",H329&lt;=H328),"La fecha no es posterior a la del dia anterior. ","")&amp;IF(AND(H329&lt;&gt;"",ISNUMBER(A329),ISNUMBER(D328),ISNUMBER(C328),ABS(A329-IF(G328&gt;=$P$2,MIN(D328,C328),D328))&gt;0.005),"Bank roll inicial no sigue la regla del dia anterior (alguien sobrescribio la formula). ","")&amp;IF(AND(H329&lt;&gt;"",ISNUMBER(B329),ISNUMBER(A329),ABS(B329-A329/8)&gt;0.00001),"Stake distinto de Bank roll/8. ","")&amp;IF(AND(H329&lt;&gt;"",ISNUMBER(E329),ABS(E329)&gt;0.005),"Residuo distinto de 0. ","")&amp;IF(AND(K329&lt;&gt;"",OR(NOT(ISNUMBER(K329)),N(K329)&lt;0)),"Saldo L2 no numerico o negativo. ","")&amp;IF(AND(H329&lt;&gt;"",H329&lt;TEXT(TODAY(),"yyyy-mm-dd"),G329&gt;=$P$2,K329="",OR(N(J329)&gt;0,N(M328)&gt;0)),"Falta cerrar el Saldo L2 de este dia. ","")&amp;IF(AND(H329&lt;&gt;"",SUMPRODUCT((Registros!$C$2:$C$3000=H329)*ISTEXT(Registros!$AP$2:$AP$3000))&gt;0),"Hay P/L guardado como texto en Registros (no suma). ","")))</f>
        <v/>
      </c>
    </row>
    <row r="330" customFormat="false" ht="15" hidden="false" customHeight="true" outlineLevel="0" collapsed="false">
      <c r="A330" s="13" t="n">
        <f aca="false">IF(D329="","",IF(G329&gt;=$P$2,MIN(D329,C329),D329))</f>
        <v>8</v>
      </c>
      <c r="B330" s="13" t="n">
        <f aca="false">IF(A330="","",A330/8)</f>
        <v>1</v>
      </c>
      <c r="C330" s="13" t="n">
        <f aca="false">IF(OR(A330="",B330=""),"",A330+B330)</f>
        <v>9</v>
      </c>
      <c r="D330" s="13" t="n">
        <f aca="false">IF(A330="","",A330+SUMIFS(Registros!$AP:$AP,Registros!$C:$C,H330))</f>
        <v>8</v>
      </c>
      <c r="E330" s="13" t="n">
        <f aca="false">IF(A330="","",ROUND(A330-8*B330,2))</f>
        <v>0</v>
      </c>
      <c r="F330" s="13" t="n">
        <f aca="false">IF(OR(D330="",C330=""),"",D330-C330)</f>
        <v>-1</v>
      </c>
      <c r="G330" s="20" t="n">
        <f aca="false">IF(G329="","",G329+1)</f>
        <v>329</v>
      </c>
      <c r="H330" s="15"/>
      <c r="I330" s="14"/>
      <c r="J330" s="16" t="str">
        <f aca="false">IF(OR(H330="",D330="",C330="",G330&lt;$P$2),"",MAX(0,ROUND(D330-C330,2)))</f>
        <v/>
      </c>
      <c r="K330" s="17"/>
      <c r="L330" s="16" t="str">
        <f aca="false">IF(NOT(ISNUMBER(K330)),"",ROUND(K330-N(M329)-N(J330),2))</f>
        <v/>
      </c>
      <c r="M330" s="16" t="n">
        <f aca="false">IF(ISNUMBER(K330),K330,N(M329))</f>
        <v>0</v>
      </c>
      <c r="N330" s="0" t="str">
        <f aca="true">IF(AND(H330="",K330=""),"",TRIM(IF(AND(H330&lt;&gt;"",NOT(AND(LEN(H330)=10,MID(H330,5,1)="-",MID(H330,8,1)="-"))),"Fecha con formato invalido (usa AAAA-MM-DD). ","")&amp;IF(AND(H330&lt;&gt;"",COUNTIF($H$2:$H$367,H330)&gt;1),"Fecha repetida en otro dia. ","")&amp;IF(AND(H330&lt;&gt;"",H329&lt;&gt;"",H330&lt;=H329),"La fecha no es posterior a la del dia anterior. ","")&amp;IF(AND(H330&lt;&gt;"",ISNUMBER(A330),ISNUMBER(D329),ISNUMBER(C329),ABS(A330-IF(G329&gt;=$P$2,MIN(D329,C329),D329))&gt;0.005),"Bank roll inicial no sigue la regla del dia anterior (alguien sobrescribio la formula). ","")&amp;IF(AND(H330&lt;&gt;"",ISNUMBER(B330),ISNUMBER(A330),ABS(B330-A330/8)&gt;0.00001),"Stake distinto de Bank roll/8. ","")&amp;IF(AND(H330&lt;&gt;"",ISNUMBER(E330),ABS(E330)&gt;0.005),"Residuo distinto de 0. ","")&amp;IF(AND(K330&lt;&gt;"",OR(NOT(ISNUMBER(K330)),N(K330)&lt;0)),"Saldo L2 no numerico o negativo. ","")&amp;IF(AND(H330&lt;&gt;"",H330&lt;TEXT(TODAY(),"yyyy-mm-dd"),G330&gt;=$P$2,K330="",OR(N(J330)&gt;0,N(M329)&gt;0)),"Falta cerrar el Saldo L2 de este dia. ","")&amp;IF(AND(H330&lt;&gt;"",SUMPRODUCT((Registros!$C$2:$C$3000=H330)*ISTEXT(Registros!$AP$2:$AP$3000))&gt;0),"Hay P/L guardado como texto en Registros (no suma). ","")))</f>
        <v/>
      </c>
    </row>
    <row r="331" customFormat="false" ht="15" hidden="false" customHeight="true" outlineLevel="0" collapsed="false">
      <c r="A331" s="13" t="n">
        <f aca="false">IF(D330="","",IF(G330&gt;=$P$2,MIN(D330,C330),D330))</f>
        <v>8</v>
      </c>
      <c r="B331" s="13" t="n">
        <f aca="false">IF(A331="","",A331/8)</f>
        <v>1</v>
      </c>
      <c r="C331" s="13" t="n">
        <f aca="false">IF(OR(A331="",B331=""),"",A331+B331)</f>
        <v>9</v>
      </c>
      <c r="D331" s="13" t="n">
        <f aca="false">IF(A331="","",A331+SUMIFS(Registros!$AP:$AP,Registros!$C:$C,H331))</f>
        <v>8</v>
      </c>
      <c r="E331" s="13" t="n">
        <f aca="false">IF(A331="","",ROUND(A331-8*B331,2))</f>
        <v>0</v>
      </c>
      <c r="F331" s="13" t="n">
        <f aca="false">IF(OR(D331="",C331=""),"",D331-C331)</f>
        <v>-1</v>
      </c>
      <c r="G331" s="20" t="n">
        <f aca="false">IF(G330="","",G330+1)</f>
        <v>330</v>
      </c>
      <c r="H331" s="15"/>
      <c r="I331" s="14"/>
      <c r="J331" s="16" t="str">
        <f aca="false">IF(OR(H331="",D331="",C331="",G331&lt;$P$2),"",MAX(0,ROUND(D331-C331,2)))</f>
        <v/>
      </c>
      <c r="K331" s="17"/>
      <c r="L331" s="16" t="str">
        <f aca="false">IF(NOT(ISNUMBER(K331)),"",ROUND(K331-N(M330)-N(J331),2))</f>
        <v/>
      </c>
      <c r="M331" s="16" t="n">
        <f aca="false">IF(ISNUMBER(K331),K331,N(M330))</f>
        <v>0</v>
      </c>
      <c r="N331" s="0" t="str">
        <f aca="true">IF(AND(H331="",K331=""),"",TRIM(IF(AND(H331&lt;&gt;"",NOT(AND(LEN(H331)=10,MID(H331,5,1)="-",MID(H331,8,1)="-"))),"Fecha con formato invalido (usa AAAA-MM-DD). ","")&amp;IF(AND(H331&lt;&gt;"",COUNTIF($H$2:$H$367,H331)&gt;1),"Fecha repetida en otro dia. ","")&amp;IF(AND(H331&lt;&gt;"",H330&lt;&gt;"",H331&lt;=H330),"La fecha no es posterior a la del dia anterior. ","")&amp;IF(AND(H331&lt;&gt;"",ISNUMBER(A331),ISNUMBER(D330),ISNUMBER(C330),ABS(A331-IF(G330&gt;=$P$2,MIN(D330,C330),D330))&gt;0.005),"Bank roll inicial no sigue la regla del dia anterior (alguien sobrescribio la formula). ","")&amp;IF(AND(H331&lt;&gt;"",ISNUMBER(B331),ISNUMBER(A331),ABS(B331-A331/8)&gt;0.00001),"Stake distinto de Bank roll/8. ","")&amp;IF(AND(H331&lt;&gt;"",ISNUMBER(E331),ABS(E331)&gt;0.005),"Residuo distinto de 0. ","")&amp;IF(AND(K331&lt;&gt;"",OR(NOT(ISNUMBER(K331)),N(K331)&lt;0)),"Saldo L2 no numerico o negativo. ","")&amp;IF(AND(H331&lt;&gt;"",H331&lt;TEXT(TODAY(),"yyyy-mm-dd"),G331&gt;=$P$2,K331="",OR(N(J331)&gt;0,N(M330)&gt;0)),"Falta cerrar el Saldo L2 de este dia. ","")&amp;IF(AND(H331&lt;&gt;"",SUMPRODUCT((Registros!$C$2:$C$3000=H331)*ISTEXT(Registros!$AP$2:$AP$3000))&gt;0),"Hay P/L guardado como texto en Registros (no suma). ","")))</f>
        <v/>
      </c>
    </row>
    <row r="332" customFormat="false" ht="15" hidden="false" customHeight="true" outlineLevel="0" collapsed="false">
      <c r="A332" s="13" t="n">
        <f aca="false">IF(D331="","",IF(G331&gt;=$P$2,MIN(D331,C331),D331))</f>
        <v>8</v>
      </c>
      <c r="B332" s="13" t="n">
        <f aca="false">IF(A332="","",A332/8)</f>
        <v>1</v>
      </c>
      <c r="C332" s="13" t="n">
        <f aca="false">IF(OR(A332="",B332=""),"",A332+B332)</f>
        <v>9</v>
      </c>
      <c r="D332" s="13" t="n">
        <f aca="false">IF(A332="","",A332+SUMIFS(Registros!$AP:$AP,Registros!$C:$C,H332))</f>
        <v>8</v>
      </c>
      <c r="E332" s="13" t="n">
        <f aca="false">IF(A332="","",ROUND(A332-8*B332,2))</f>
        <v>0</v>
      </c>
      <c r="F332" s="13" t="n">
        <f aca="false">IF(OR(D332="",C332=""),"",D332-C332)</f>
        <v>-1</v>
      </c>
      <c r="G332" s="20" t="n">
        <f aca="false">IF(G331="","",G331+1)</f>
        <v>331</v>
      </c>
      <c r="H332" s="15"/>
      <c r="I332" s="14"/>
      <c r="J332" s="16" t="str">
        <f aca="false">IF(OR(H332="",D332="",C332="",G332&lt;$P$2),"",MAX(0,ROUND(D332-C332,2)))</f>
        <v/>
      </c>
      <c r="K332" s="17"/>
      <c r="L332" s="16" t="str">
        <f aca="false">IF(NOT(ISNUMBER(K332)),"",ROUND(K332-N(M331)-N(J332),2))</f>
        <v/>
      </c>
      <c r="M332" s="16" t="n">
        <f aca="false">IF(ISNUMBER(K332),K332,N(M331))</f>
        <v>0</v>
      </c>
      <c r="N332" s="0" t="str">
        <f aca="true">IF(AND(H332="",K332=""),"",TRIM(IF(AND(H332&lt;&gt;"",NOT(AND(LEN(H332)=10,MID(H332,5,1)="-",MID(H332,8,1)="-"))),"Fecha con formato invalido (usa AAAA-MM-DD). ","")&amp;IF(AND(H332&lt;&gt;"",COUNTIF($H$2:$H$367,H332)&gt;1),"Fecha repetida en otro dia. ","")&amp;IF(AND(H332&lt;&gt;"",H331&lt;&gt;"",H332&lt;=H331),"La fecha no es posterior a la del dia anterior. ","")&amp;IF(AND(H332&lt;&gt;"",ISNUMBER(A332),ISNUMBER(D331),ISNUMBER(C331),ABS(A332-IF(G331&gt;=$P$2,MIN(D331,C331),D331))&gt;0.005),"Bank roll inicial no sigue la regla del dia anterior (alguien sobrescribio la formula). ","")&amp;IF(AND(H332&lt;&gt;"",ISNUMBER(B332),ISNUMBER(A332),ABS(B332-A332/8)&gt;0.00001),"Stake distinto de Bank roll/8. ","")&amp;IF(AND(H332&lt;&gt;"",ISNUMBER(E332),ABS(E332)&gt;0.005),"Residuo distinto de 0. ","")&amp;IF(AND(K332&lt;&gt;"",OR(NOT(ISNUMBER(K332)),N(K332)&lt;0)),"Saldo L2 no numerico o negativo. ","")&amp;IF(AND(H332&lt;&gt;"",H332&lt;TEXT(TODAY(),"yyyy-mm-dd"),G332&gt;=$P$2,K332="",OR(N(J332)&gt;0,N(M331)&gt;0)),"Falta cerrar el Saldo L2 de este dia. ","")&amp;IF(AND(H332&lt;&gt;"",SUMPRODUCT((Registros!$C$2:$C$3000=H332)*ISTEXT(Registros!$AP$2:$AP$3000))&gt;0),"Hay P/L guardado como texto en Registros (no suma). ","")))</f>
        <v/>
      </c>
    </row>
    <row r="333" customFormat="false" ht="15" hidden="false" customHeight="true" outlineLevel="0" collapsed="false">
      <c r="A333" s="13" t="n">
        <f aca="false">IF(D332="","",IF(G332&gt;=$P$2,MIN(D332,C332),D332))</f>
        <v>8</v>
      </c>
      <c r="B333" s="13" t="n">
        <f aca="false">IF(A333="","",A333/8)</f>
        <v>1</v>
      </c>
      <c r="C333" s="13" t="n">
        <f aca="false">IF(OR(A333="",B333=""),"",A333+B333)</f>
        <v>9</v>
      </c>
      <c r="D333" s="13" t="n">
        <f aca="false">IF(A333="","",A333+SUMIFS(Registros!$AP:$AP,Registros!$C:$C,H333))</f>
        <v>8</v>
      </c>
      <c r="E333" s="13" t="n">
        <f aca="false">IF(A333="","",ROUND(A333-8*B333,2))</f>
        <v>0</v>
      </c>
      <c r="F333" s="13" t="n">
        <f aca="false">IF(OR(D333="",C333=""),"",D333-C333)</f>
        <v>-1</v>
      </c>
      <c r="G333" s="20" t="n">
        <f aca="false">IF(G332="","",G332+1)</f>
        <v>332</v>
      </c>
      <c r="H333" s="15"/>
      <c r="I333" s="14"/>
      <c r="J333" s="16" t="str">
        <f aca="false">IF(OR(H333="",D333="",C333="",G333&lt;$P$2),"",MAX(0,ROUND(D333-C333,2)))</f>
        <v/>
      </c>
      <c r="K333" s="17"/>
      <c r="L333" s="16" t="str">
        <f aca="false">IF(NOT(ISNUMBER(K333)),"",ROUND(K333-N(M332)-N(J333),2))</f>
        <v/>
      </c>
      <c r="M333" s="16" t="n">
        <f aca="false">IF(ISNUMBER(K333),K333,N(M332))</f>
        <v>0</v>
      </c>
      <c r="N333" s="0" t="str">
        <f aca="true">IF(AND(H333="",K333=""),"",TRIM(IF(AND(H333&lt;&gt;"",NOT(AND(LEN(H333)=10,MID(H333,5,1)="-",MID(H333,8,1)="-"))),"Fecha con formato invalido (usa AAAA-MM-DD). ","")&amp;IF(AND(H333&lt;&gt;"",COUNTIF($H$2:$H$367,H333)&gt;1),"Fecha repetida en otro dia. ","")&amp;IF(AND(H333&lt;&gt;"",H332&lt;&gt;"",H333&lt;=H332),"La fecha no es posterior a la del dia anterior. ","")&amp;IF(AND(H333&lt;&gt;"",ISNUMBER(A333),ISNUMBER(D332),ISNUMBER(C332),ABS(A333-IF(G332&gt;=$P$2,MIN(D332,C332),D332))&gt;0.005),"Bank roll inicial no sigue la regla del dia anterior (alguien sobrescribio la formula). ","")&amp;IF(AND(H333&lt;&gt;"",ISNUMBER(B333),ISNUMBER(A333),ABS(B333-A333/8)&gt;0.00001),"Stake distinto de Bank roll/8. ","")&amp;IF(AND(H333&lt;&gt;"",ISNUMBER(E333),ABS(E333)&gt;0.005),"Residuo distinto de 0. ","")&amp;IF(AND(K333&lt;&gt;"",OR(NOT(ISNUMBER(K333)),N(K333)&lt;0)),"Saldo L2 no numerico o negativo. ","")&amp;IF(AND(H333&lt;&gt;"",H333&lt;TEXT(TODAY(),"yyyy-mm-dd"),G333&gt;=$P$2,K333="",OR(N(J333)&gt;0,N(M332)&gt;0)),"Falta cerrar el Saldo L2 de este dia. ","")&amp;IF(AND(H333&lt;&gt;"",SUMPRODUCT((Registros!$C$2:$C$3000=H333)*ISTEXT(Registros!$AP$2:$AP$3000))&gt;0),"Hay P/L guardado como texto en Registros (no suma). ","")))</f>
        <v/>
      </c>
    </row>
    <row r="334" customFormat="false" ht="15" hidden="false" customHeight="true" outlineLevel="0" collapsed="false">
      <c r="A334" s="13" t="n">
        <f aca="false">IF(D333="","",IF(G333&gt;=$P$2,MIN(D333,C333),D333))</f>
        <v>8</v>
      </c>
      <c r="B334" s="13" t="n">
        <f aca="false">IF(A334="","",A334/8)</f>
        <v>1</v>
      </c>
      <c r="C334" s="13" t="n">
        <f aca="false">IF(OR(A334="",B334=""),"",A334+B334)</f>
        <v>9</v>
      </c>
      <c r="D334" s="13" t="n">
        <f aca="false">IF(A334="","",A334+SUMIFS(Registros!$AP:$AP,Registros!$C:$C,H334))</f>
        <v>8</v>
      </c>
      <c r="E334" s="13" t="n">
        <f aca="false">IF(A334="","",ROUND(A334-8*B334,2))</f>
        <v>0</v>
      </c>
      <c r="F334" s="13" t="n">
        <f aca="false">IF(OR(D334="",C334=""),"",D334-C334)</f>
        <v>-1</v>
      </c>
      <c r="G334" s="20" t="n">
        <f aca="false">IF(G333="","",G333+1)</f>
        <v>333</v>
      </c>
      <c r="H334" s="15"/>
      <c r="I334" s="14"/>
      <c r="J334" s="16" t="str">
        <f aca="false">IF(OR(H334="",D334="",C334="",G334&lt;$P$2),"",MAX(0,ROUND(D334-C334,2)))</f>
        <v/>
      </c>
      <c r="K334" s="17"/>
      <c r="L334" s="16" t="str">
        <f aca="false">IF(NOT(ISNUMBER(K334)),"",ROUND(K334-N(M333)-N(J334),2))</f>
        <v/>
      </c>
      <c r="M334" s="16" t="n">
        <f aca="false">IF(ISNUMBER(K334),K334,N(M333))</f>
        <v>0</v>
      </c>
      <c r="N334" s="0" t="str">
        <f aca="true">IF(AND(H334="",K334=""),"",TRIM(IF(AND(H334&lt;&gt;"",NOT(AND(LEN(H334)=10,MID(H334,5,1)="-",MID(H334,8,1)="-"))),"Fecha con formato invalido (usa AAAA-MM-DD). ","")&amp;IF(AND(H334&lt;&gt;"",COUNTIF($H$2:$H$367,H334)&gt;1),"Fecha repetida en otro dia. ","")&amp;IF(AND(H334&lt;&gt;"",H333&lt;&gt;"",H334&lt;=H333),"La fecha no es posterior a la del dia anterior. ","")&amp;IF(AND(H334&lt;&gt;"",ISNUMBER(A334),ISNUMBER(D333),ISNUMBER(C333),ABS(A334-IF(G333&gt;=$P$2,MIN(D333,C333),D333))&gt;0.005),"Bank roll inicial no sigue la regla del dia anterior (alguien sobrescribio la formula). ","")&amp;IF(AND(H334&lt;&gt;"",ISNUMBER(B334),ISNUMBER(A334),ABS(B334-A334/8)&gt;0.00001),"Stake distinto de Bank roll/8. ","")&amp;IF(AND(H334&lt;&gt;"",ISNUMBER(E334),ABS(E334)&gt;0.005),"Residuo distinto de 0. ","")&amp;IF(AND(K334&lt;&gt;"",OR(NOT(ISNUMBER(K334)),N(K334)&lt;0)),"Saldo L2 no numerico o negativo. ","")&amp;IF(AND(H334&lt;&gt;"",H334&lt;TEXT(TODAY(),"yyyy-mm-dd"),G334&gt;=$P$2,K334="",OR(N(J334)&gt;0,N(M333)&gt;0)),"Falta cerrar el Saldo L2 de este dia. ","")&amp;IF(AND(H334&lt;&gt;"",SUMPRODUCT((Registros!$C$2:$C$3000=H334)*ISTEXT(Registros!$AP$2:$AP$3000))&gt;0),"Hay P/L guardado como texto en Registros (no suma). ","")))</f>
        <v/>
      </c>
    </row>
    <row r="335" customFormat="false" ht="15" hidden="false" customHeight="true" outlineLevel="0" collapsed="false">
      <c r="A335" s="13" t="n">
        <f aca="false">IF(D334="","",IF(G334&gt;=$P$2,MIN(D334,C334),D334))</f>
        <v>8</v>
      </c>
      <c r="B335" s="13" t="n">
        <f aca="false">IF(A335="","",A335/8)</f>
        <v>1</v>
      </c>
      <c r="C335" s="13" t="n">
        <f aca="false">IF(OR(A335="",B335=""),"",A335+B335)</f>
        <v>9</v>
      </c>
      <c r="D335" s="13" t="n">
        <f aca="false">IF(A335="","",A335+SUMIFS(Registros!$AP:$AP,Registros!$C:$C,H335))</f>
        <v>8</v>
      </c>
      <c r="E335" s="13" t="n">
        <f aca="false">IF(A335="","",ROUND(A335-8*B335,2))</f>
        <v>0</v>
      </c>
      <c r="F335" s="13" t="n">
        <f aca="false">IF(OR(D335="",C335=""),"",D335-C335)</f>
        <v>-1</v>
      </c>
      <c r="G335" s="20" t="n">
        <f aca="false">IF(G334="","",G334+1)</f>
        <v>334</v>
      </c>
      <c r="H335" s="15"/>
      <c r="I335" s="14"/>
      <c r="J335" s="16" t="str">
        <f aca="false">IF(OR(H335="",D335="",C335="",G335&lt;$P$2),"",MAX(0,ROUND(D335-C335,2)))</f>
        <v/>
      </c>
      <c r="K335" s="17"/>
      <c r="L335" s="16" t="str">
        <f aca="false">IF(NOT(ISNUMBER(K335)),"",ROUND(K335-N(M334)-N(J335),2))</f>
        <v/>
      </c>
      <c r="M335" s="16" t="n">
        <f aca="false">IF(ISNUMBER(K335),K335,N(M334))</f>
        <v>0</v>
      </c>
      <c r="N335" s="0" t="str">
        <f aca="true">IF(AND(H335="",K335=""),"",TRIM(IF(AND(H335&lt;&gt;"",NOT(AND(LEN(H335)=10,MID(H335,5,1)="-",MID(H335,8,1)="-"))),"Fecha con formato invalido (usa AAAA-MM-DD). ","")&amp;IF(AND(H335&lt;&gt;"",COUNTIF($H$2:$H$367,H335)&gt;1),"Fecha repetida en otro dia. ","")&amp;IF(AND(H335&lt;&gt;"",H334&lt;&gt;"",H335&lt;=H334),"La fecha no es posterior a la del dia anterior. ","")&amp;IF(AND(H335&lt;&gt;"",ISNUMBER(A335),ISNUMBER(D334),ISNUMBER(C334),ABS(A335-IF(G334&gt;=$P$2,MIN(D334,C334),D334))&gt;0.005),"Bank roll inicial no sigue la regla del dia anterior (alguien sobrescribio la formula). ","")&amp;IF(AND(H335&lt;&gt;"",ISNUMBER(B335),ISNUMBER(A335),ABS(B335-A335/8)&gt;0.00001),"Stake distinto de Bank roll/8. ","")&amp;IF(AND(H335&lt;&gt;"",ISNUMBER(E335),ABS(E335)&gt;0.005),"Residuo distinto de 0. ","")&amp;IF(AND(K335&lt;&gt;"",OR(NOT(ISNUMBER(K335)),N(K335)&lt;0)),"Saldo L2 no numerico o negativo. ","")&amp;IF(AND(H335&lt;&gt;"",H335&lt;TEXT(TODAY(),"yyyy-mm-dd"),G335&gt;=$P$2,K335="",OR(N(J335)&gt;0,N(M334)&gt;0)),"Falta cerrar el Saldo L2 de este dia. ","")&amp;IF(AND(H335&lt;&gt;"",SUMPRODUCT((Registros!$C$2:$C$3000=H335)*ISTEXT(Registros!$AP$2:$AP$3000))&gt;0),"Hay P/L guardado como texto en Registros (no suma). ","")))</f>
        <v/>
      </c>
    </row>
    <row r="336" customFormat="false" ht="15" hidden="false" customHeight="true" outlineLevel="0" collapsed="false">
      <c r="A336" s="13" t="n">
        <f aca="false">IF(D335="","",IF(G335&gt;=$P$2,MIN(D335,C335),D335))</f>
        <v>8</v>
      </c>
      <c r="B336" s="13" t="n">
        <f aca="false">IF(A336="","",A336/8)</f>
        <v>1</v>
      </c>
      <c r="C336" s="13" t="n">
        <f aca="false">IF(OR(A336="",B336=""),"",A336+B336)</f>
        <v>9</v>
      </c>
      <c r="D336" s="13" t="n">
        <f aca="false">IF(A336="","",A336+SUMIFS(Registros!$AP:$AP,Registros!$C:$C,H336))</f>
        <v>8</v>
      </c>
      <c r="E336" s="13" t="n">
        <f aca="false">IF(A336="","",ROUND(A336-8*B336,2))</f>
        <v>0</v>
      </c>
      <c r="F336" s="13" t="n">
        <f aca="false">IF(OR(D336="",C336=""),"",D336-C336)</f>
        <v>-1</v>
      </c>
      <c r="G336" s="20" t="n">
        <f aca="false">IF(G335="","",G335+1)</f>
        <v>335</v>
      </c>
      <c r="H336" s="15"/>
      <c r="I336" s="14"/>
      <c r="J336" s="16" t="str">
        <f aca="false">IF(OR(H336="",D336="",C336="",G336&lt;$P$2),"",MAX(0,ROUND(D336-C336,2)))</f>
        <v/>
      </c>
      <c r="K336" s="17"/>
      <c r="L336" s="16" t="str">
        <f aca="false">IF(NOT(ISNUMBER(K336)),"",ROUND(K336-N(M335)-N(J336),2))</f>
        <v/>
      </c>
      <c r="M336" s="16" t="n">
        <f aca="false">IF(ISNUMBER(K336),K336,N(M335))</f>
        <v>0</v>
      </c>
      <c r="N336" s="0" t="str">
        <f aca="true">IF(AND(H336="",K336=""),"",TRIM(IF(AND(H336&lt;&gt;"",NOT(AND(LEN(H336)=10,MID(H336,5,1)="-",MID(H336,8,1)="-"))),"Fecha con formato invalido (usa AAAA-MM-DD). ","")&amp;IF(AND(H336&lt;&gt;"",COUNTIF($H$2:$H$367,H336)&gt;1),"Fecha repetida en otro dia. ","")&amp;IF(AND(H336&lt;&gt;"",H335&lt;&gt;"",H336&lt;=H335),"La fecha no es posterior a la del dia anterior. ","")&amp;IF(AND(H336&lt;&gt;"",ISNUMBER(A336),ISNUMBER(D335),ISNUMBER(C335),ABS(A336-IF(G335&gt;=$P$2,MIN(D335,C335),D335))&gt;0.005),"Bank roll inicial no sigue la regla del dia anterior (alguien sobrescribio la formula). ","")&amp;IF(AND(H336&lt;&gt;"",ISNUMBER(B336),ISNUMBER(A336),ABS(B336-A336/8)&gt;0.00001),"Stake distinto de Bank roll/8. ","")&amp;IF(AND(H336&lt;&gt;"",ISNUMBER(E336),ABS(E336)&gt;0.005),"Residuo distinto de 0. ","")&amp;IF(AND(K336&lt;&gt;"",OR(NOT(ISNUMBER(K336)),N(K336)&lt;0)),"Saldo L2 no numerico o negativo. ","")&amp;IF(AND(H336&lt;&gt;"",H336&lt;TEXT(TODAY(),"yyyy-mm-dd"),G336&gt;=$P$2,K336="",OR(N(J336)&gt;0,N(M335)&gt;0)),"Falta cerrar el Saldo L2 de este dia. ","")&amp;IF(AND(H336&lt;&gt;"",SUMPRODUCT((Registros!$C$2:$C$3000=H336)*ISTEXT(Registros!$AP$2:$AP$3000))&gt;0),"Hay P/L guardado como texto en Registros (no suma). ","")))</f>
        <v/>
      </c>
    </row>
    <row r="337" customFormat="false" ht="15" hidden="false" customHeight="true" outlineLevel="0" collapsed="false">
      <c r="A337" s="13" t="n">
        <f aca="false">IF(D336="","",IF(G336&gt;=$P$2,MIN(D336,C336),D336))</f>
        <v>8</v>
      </c>
      <c r="B337" s="13" t="n">
        <f aca="false">IF(A337="","",A337/8)</f>
        <v>1</v>
      </c>
      <c r="C337" s="13" t="n">
        <f aca="false">IF(OR(A337="",B337=""),"",A337+B337)</f>
        <v>9</v>
      </c>
      <c r="D337" s="13" t="n">
        <f aca="false">IF(A337="","",A337+SUMIFS(Registros!$AP:$AP,Registros!$C:$C,H337))</f>
        <v>8</v>
      </c>
      <c r="E337" s="13" t="n">
        <f aca="false">IF(A337="","",ROUND(A337-8*B337,2))</f>
        <v>0</v>
      </c>
      <c r="F337" s="13" t="n">
        <f aca="false">IF(OR(D337="",C337=""),"",D337-C337)</f>
        <v>-1</v>
      </c>
      <c r="G337" s="20" t="n">
        <f aca="false">IF(G336="","",G336+1)</f>
        <v>336</v>
      </c>
      <c r="H337" s="15"/>
      <c r="I337" s="14"/>
      <c r="J337" s="16" t="str">
        <f aca="false">IF(OR(H337="",D337="",C337="",G337&lt;$P$2),"",MAX(0,ROUND(D337-C337,2)))</f>
        <v/>
      </c>
      <c r="K337" s="17"/>
      <c r="L337" s="16" t="str">
        <f aca="false">IF(NOT(ISNUMBER(K337)),"",ROUND(K337-N(M336)-N(J337),2))</f>
        <v/>
      </c>
      <c r="M337" s="16" t="n">
        <f aca="false">IF(ISNUMBER(K337),K337,N(M336))</f>
        <v>0</v>
      </c>
      <c r="N337" s="0" t="str">
        <f aca="true">IF(AND(H337="",K337=""),"",TRIM(IF(AND(H337&lt;&gt;"",NOT(AND(LEN(H337)=10,MID(H337,5,1)="-",MID(H337,8,1)="-"))),"Fecha con formato invalido (usa AAAA-MM-DD). ","")&amp;IF(AND(H337&lt;&gt;"",COUNTIF($H$2:$H$367,H337)&gt;1),"Fecha repetida en otro dia. ","")&amp;IF(AND(H337&lt;&gt;"",H336&lt;&gt;"",H337&lt;=H336),"La fecha no es posterior a la del dia anterior. ","")&amp;IF(AND(H337&lt;&gt;"",ISNUMBER(A337),ISNUMBER(D336),ISNUMBER(C336),ABS(A337-IF(G336&gt;=$P$2,MIN(D336,C336),D336))&gt;0.005),"Bank roll inicial no sigue la regla del dia anterior (alguien sobrescribio la formula). ","")&amp;IF(AND(H337&lt;&gt;"",ISNUMBER(B337),ISNUMBER(A337),ABS(B337-A337/8)&gt;0.00001),"Stake distinto de Bank roll/8. ","")&amp;IF(AND(H337&lt;&gt;"",ISNUMBER(E337),ABS(E337)&gt;0.005),"Residuo distinto de 0. ","")&amp;IF(AND(K337&lt;&gt;"",OR(NOT(ISNUMBER(K337)),N(K337)&lt;0)),"Saldo L2 no numerico o negativo. ","")&amp;IF(AND(H337&lt;&gt;"",H337&lt;TEXT(TODAY(),"yyyy-mm-dd"),G337&gt;=$P$2,K337="",OR(N(J337)&gt;0,N(M336)&gt;0)),"Falta cerrar el Saldo L2 de este dia. ","")&amp;IF(AND(H337&lt;&gt;"",SUMPRODUCT((Registros!$C$2:$C$3000=H337)*ISTEXT(Registros!$AP$2:$AP$3000))&gt;0),"Hay P/L guardado como texto en Registros (no suma). ","")))</f>
        <v/>
      </c>
    </row>
    <row r="338" customFormat="false" ht="15" hidden="false" customHeight="true" outlineLevel="0" collapsed="false">
      <c r="A338" s="13" t="n">
        <f aca="false">IF(D337="","",IF(G337&gt;=$P$2,MIN(D337,C337),D337))</f>
        <v>8</v>
      </c>
      <c r="B338" s="13" t="n">
        <f aca="false">IF(A338="","",A338/8)</f>
        <v>1</v>
      </c>
      <c r="C338" s="13" t="n">
        <f aca="false">IF(OR(A338="",B338=""),"",A338+B338)</f>
        <v>9</v>
      </c>
      <c r="D338" s="13" t="n">
        <f aca="false">IF(A338="","",A338+SUMIFS(Registros!$AP:$AP,Registros!$C:$C,H338))</f>
        <v>8</v>
      </c>
      <c r="E338" s="13" t="n">
        <f aca="false">IF(A338="","",ROUND(A338-8*B338,2))</f>
        <v>0</v>
      </c>
      <c r="F338" s="13" t="n">
        <f aca="false">IF(OR(D338="",C338=""),"",D338-C338)</f>
        <v>-1</v>
      </c>
      <c r="G338" s="20" t="n">
        <f aca="false">IF(G337="","",G337+1)</f>
        <v>337</v>
      </c>
      <c r="H338" s="15"/>
      <c r="I338" s="14"/>
      <c r="J338" s="16" t="str">
        <f aca="false">IF(OR(H338="",D338="",C338="",G338&lt;$P$2),"",MAX(0,ROUND(D338-C338,2)))</f>
        <v/>
      </c>
      <c r="K338" s="17"/>
      <c r="L338" s="16" t="str">
        <f aca="false">IF(NOT(ISNUMBER(K338)),"",ROUND(K338-N(M337)-N(J338),2))</f>
        <v/>
      </c>
      <c r="M338" s="16" t="n">
        <f aca="false">IF(ISNUMBER(K338),K338,N(M337))</f>
        <v>0</v>
      </c>
      <c r="N338" s="0" t="str">
        <f aca="true">IF(AND(H338="",K338=""),"",TRIM(IF(AND(H338&lt;&gt;"",NOT(AND(LEN(H338)=10,MID(H338,5,1)="-",MID(H338,8,1)="-"))),"Fecha con formato invalido (usa AAAA-MM-DD). ","")&amp;IF(AND(H338&lt;&gt;"",COUNTIF($H$2:$H$367,H338)&gt;1),"Fecha repetida en otro dia. ","")&amp;IF(AND(H338&lt;&gt;"",H337&lt;&gt;"",H338&lt;=H337),"La fecha no es posterior a la del dia anterior. ","")&amp;IF(AND(H338&lt;&gt;"",ISNUMBER(A338),ISNUMBER(D337),ISNUMBER(C337),ABS(A338-IF(G337&gt;=$P$2,MIN(D337,C337),D337))&gt;0.005),"Bank roll inicial no sigue la regla del dia anterior (alguien sobrescribio la formula). ","")&amp;IF(AND(H338&lt;&gt;"",ISNUMBER(B338),ISNUMBER(A338),ABS(B338-A338/8)&gt;0.00001),"Stake distinto de Bank roll/8. ","")&amp;IF(AND(H338&lt;&gt;"",ISNUMBER(E338),ABS(E338)&gt;0.005),"Residuo distinto de 0. ","")&amp;IF(AND(K338&lt;&gt;"",OR(NOT(ISNUMBER(K338)),N(K338)&lt;0)),"Saldo L2 no numerico o negativo. ","")&amp;IF(AND(H338&lt;&gt;"",H338&lt;TEXT(TODAY(),"yyyy-mm-dd"),G338&gt;=$P$2,K338="",OR(N(J338)&gt;0,N(M337)&gt;0)),"Falta cerrar el Saldo L2 de este dia. ","")&amp;IF(AND(H338&lt;&gt;"",SUMPRODUCT((Registros!$C$2:$C$3000=H338)*ISTEXT(Registros!$AP$2:$AP$3000))&gt;0),"Hay P/L guardado como texto en Registros (no suma). ","")))</f>
        <v/>
      </c>
    </row>
    <row r="339" customFormat="false" ht="15" hidden="false" customHeight="true" outlineLevel="0" collapsed="false">
      <c r="A339" s="13" t="n">
        <f aca="false">IF(D338="","",IF(G338&gt;=$P$2,MIN(D338,C338),D338))</f>
        <v>8</v>
      </c>
      <c r="B339" s="13" t="n">
        <f aca="false">IF(A339="","",A339/8)</f>
        <v>1</v>
      </c>
      <c r="C339" s="13" t="n">
        <f aca="false">IF(OR(A339="",B339=""),"",A339+B339)</f>
        <v>9</v>
      </c>
      <c r="D339" s="13" t="n">
        <f aca="false">IF(A339="","",A339+SUMIFS(Registros!$AP:$AP,Registros!$C:$C,H339))</f>
        <v>8</v>
      </c>
      <c r="E339" s="13" t="n">
        <f aca="false">IF(A339="","",ROUND(A339-8*B339,2))</f>
        <v>0</v>
      </c>
      <c r="F339" s="13" t="n">
        <f aca="false">IF(OR(D339="",C339=""),"",D339-C339)</f>
        <v>-1</v>
      </c>
      <c r="G339" s="20" t="n">
        <f aca="false">IF(G338="","",G338+1)</f>
        <v>338</v>
      </c>
      <c r="H339" s="15"/>
      <c r="I339" s="14"/>
      <c r="J339" s="16" t="str">
        <f aca="false">IF(OR(H339="",D339="",C339="",G339&lt;$P$2),"",MAX(0,ROUND(D339-C339,2)))</f>
        <v/>
      </c>
      <c r="K339" s="17"/>
      <c r="L339" s="16" t="str">
        <f aca="false">IF(NOT(ISNUMBER(K339)),"",ROUND(K339-N(M338)-N(J339),2))</f>
        <v/>
      </c>
      <c r="M339" s="16" t="n">
        <f aca="false">IF(ISNUMBER(K339),K339,N(M338))</f>
        <v>0</v>
      </c>
      <c r="N339" s="0" t="str">
        <f aca="true">IF(AND(H339="",K339=""),"",TRIM(IF(AND(H339&lt;&gt;"",NOT(AND(LEN(H339)=10,MID(H339,5,1)="-",MID(H339,8,1)="-"))),"Fecha con formato invalido (usa AAAA-MM-DD). ","")&amp;IF(AND(H339&lt;&gt;"",COUNTIF($H$2:$H$367,H339)&gt;1),"Fecha repetida en otro dia. ","")&amp;IF(AND(H339&lt;&gt;"",H338&lt;&gt;"",H339&lt;=H338),"La fecha no es posterior a la del dia anterior. ","")&amp;IF(AND(H339&lt;&gt;"",ISNUMBER(A339),ISNUMBER(D338),ISNUMBER(C338),ABS(A339-IF(G338&gt;=$P$2,MIN(D338,C338),D338))&gt;0.005),"Bank roll inicial no sigue la regla del dia anterior (alguien sobrescribio la formula). ","")&amp;IF(AND(H339&lt;&gt;"",ISNUMBER(B339),ISNUMBER(A339),ABS(B339-A339/8)&gt;0.00001),"Stake distinto de Bank roll/8. ","")&amp;IF(AND(H339&lt;&gt;"",ISNUMBER(E339),ABS(E339)&gt;0.005),"Residuo distinto de 0. ","")&amp;IF(AND(K339&lt;&gt;"",OR(NOT(ISNUMBER(K339)),N(K339)&lt;0)),"Saldo L2 no numerico o negativo. ","")&amp;IF(AND(H339&lt;&gt;"",H339&lt;TEXT(TODAY(),"yyyy-mm-dd"),G339&gt;=$P$2,K339="",OR(N(J339)&gt;0,N(M338)&gt;0)),"Falta cerrar el Saldo L2 de este dia. ","")&amp;IF(AND(H339&lt;&gt;"",SUMPRODUCT((Registros!$C$2:$C$3000=H339)*ISTEXT(Registros!$AP$2:$AP$3000))&gt;0),"Hay P/L guardado como texto en Registros (no suma). ","")))</f>
        <v/>
      </c>
    </row>
    <row r="340" customFormat="false" ht="15" hidden="false" customHeight="true" outlineLevel="0" collapsed="false">
      <c r="A340" s="13" t="n">
        <f aca="false">IF(D339="","",IF(G339&gt;=$P$2,MIN(D339,C339),D339))</f>
        <v>8</v>
      </c>
      <c r="B340" s="13" t="n">
        <f aca="false">IF(A340="","",A340/8)</f>
        <v>1</v>
      </c>
      <c r="C340" s="13" t="n">
        <f aca="false">IF(OR(A340="",B340=""),"",A340+B340)</f>
        <v>9</v>
      </c>
      <c r="D340" s="13" t="n">
        <f aca="false">IF(A340="","",A340+SUMIFS(Registros!$AP:$AP,Registros!$C:$C,H340))</f>
        <v>8</v>
      </c>
      <c r="E340" s="13" t="n">
        <f aca="false">IF(A340="","",ROUND(A340-8*B340,2))</f>
        <v>0</v>
      </c>
      <c r="F340" s="13" t="n">
        <f aca="false">IF(OR(D340="",C340=""),"",D340-C340)</f>
        <v>-1</v>
      </c>
      <c r="G340" s="20" t="n">
        <f aca="false">IF(G339="","",G339+1)</f>
        <v>339</v>
      </c>
      <c r="H340" s="15"/>
      <c r="I340" s="14"/>
      <c r="J340" s="16" t="str">
        <f aca="false">IF(OR(H340="",D340="",C340="",G340&lt;$P$2),"",MAX(0,ROUND(D340-C340,2)))</f>
        <v/>
      </c>
      <c r="K340" s="17"/>
      <c r="L340" s="16" t="str">
        <f aca="false">IF(NOT(ISNUMBER(K340)),"",ROUND(K340-N(M339)-N(J340),2))</f>
        <v/>
      </c>
      <c r="M340" s="16" t="n">
        <f aca="false">IF(ISNUMBER(K340),K340,N(M339))</f>
        <v>0</v>
      </c>
      <c r="N340" s="0" t="str">
        <f aca="true">IF(AND(H340="",K340=""),"",TRIM(IF(AND(H340&lt;&gt;"",NOT(AND(LEN(H340)=10,MID(H340,5,1)="-",MID(H340,8,1)="-"))),"Fecha con formato invalido (usa AAAA-MM-DD). ","")&amp;IF(AND(H340&lt;&gt;"",COUNTIF($H$2:$H$367,H340)&gt;1),"Fecha repetida en otro dia. ","")&amp;IF(AND(H340&lt;&gt;"",H339&lt;&gt;"",H340&lt;=H339),"La fecha no es posterior a la del dia anterior. ","")&amp;IF(AND(H340&lt;&gt;"",ISNUMBER(A340),ISNUMBER(D339),ISNUMBER(C339),ABS(A340-IF(G339&gt;=$P$2,MIN(D339,C339),D339))&gt;0.005),"Bank roll inicial no sigue la regla del dia anterior (alguien sobrescribio la formula). ","")&amp;IF(AND(H340&lt;&gt;"",ISNUMBER(B340),ISNUMBER(A340),ABS(B340-A340/8)&gt;0.00001),"Stake distinto de Bank roll/8. ","")&amp;IF(AND(H340&lt;&gt;"",ISNUMBER(E340),ABS(E340)&gt;0.005),"Residuo distinto de 0. ","")&amp;IF(AND(K340&lt;&gt;"",OR(NOT(ISNUMBER(K340)),N(K340)&lt;0)),"Saldo L2 no numerico o negativo. ","")&amp;IF(AND(H340&lt;&gt;"",H340&lt;TEXT(TODAY(),"yyyy-mm-dd"),G340&gt;=$P$2,K340="",OR(N(J340)&gt;0,N(M339)&gt;0)),"Falta cerrar el Saldo L2 de este dia. ","")&amp;IF(AND(H340&lt;&gt;"",SUMPRODUCT((Registros!$C$2:$C$3000=H340)*ISTEXT(Registros!$AP$2:$AP$3000))&gt;0),"Hay P/L guardado como texto en Registros (no suma). ","")))</f>
        <v/>
      </c>
    </row>
    <row r="341" customFormat="false" ht="15" hidden="false" customHeight="true" outlineLevel="0" collapsed="false">
      <c r="A341" s="13" t="n">
        <f aca="false">IF(D340="","",IF(G340&gt;=$P$2,MIN(D340,C340),D340))</f>
        <v>8</v>
      </c>
      <c r="B341" s="13" t="n">
        <f aca="false">IF(A341="","",A341/8)</f>
        <v>1</v>
      </c>
      <c r="C341" s="13" t="n">
        <f aca="false">IF(OR(A341="",B341=""),"",A341+B341)</f>
        <v>9</v>
      </c>
      <c r="D341" s="13" t="n">
        <f aca="false">IF(A341="","",A341+SUMIFS(Registros!$AP:$AP,Registros!$C:$C,H341))</f>
        <v>8</v>
      </c>
      <c r="E341" s="13" t="n">
        <f aca="false">IF(A341="","",ROUND(A341-8*B341,2))</f>
        <v>0</v>
      </c>
      <c r="F341" s="13" t="n">
        <f aca="false">IF(OR(D341="",C341=""),"",D341-C341)</f>
        <v>-1</v>
      </c>
      <c r="G341" s="20" t="n">
        <f aca="false">IF(G340="","",G340+1)</f>
        <v>340</v>
      </c>
      <c r="H341" s="15"/>
      <c r="I341" s="14"/>
      <c r="J341" s="16" t="str">
        <f aca="false">IF(OR(H341="",D341="",C341="",G341&lt;$P$2),"",MAX(0,ROUND(D341-C341,2)))</f>
        <v/>
      </c>
      <c r="K341" s="17"/>
      <c r="L341" s="16" t="str">
        <f aca="false">IF(NOT(ISNUMBER(K341)),"",ROUND(K341-N(M340)-N(J341),2))</f>
        <v/>
      </c>
      <c r="M341" s="16" t="n">
        <f aca="false">IF(ISNUMBER(K341),K341,N(M340))</f>
        <v>0</v>
      </c>
      <c r="N341" s="0" t="str">
        <f aca="true">IF(AND(H341="",K341=""),"",TRIM(IF(AND(H341&lt;&gt;"",NOT(AND(LEN(H341)=10,MID(H341,5,1)="-",MID(H341,8,1)="-"))),"Fecha con formato invalido (usa AAAA-MM-DD). ","")&amp;IF(AND(H341&lt;&gt;"",COUNTIF($H$2:$H$367,H341)&gt;1),"Fecha repetida en otro dia. ","")&amp;IF(AND(H341&lt;&gt;"",H340&lt;&gt;"",H341&lt;=H340),"La fecha no es posterior a la del dia anterior. ","")&amp;IF(AND(H341&lt;&gt;"",ISNUMBER(A341),ISNUMBER(D340),ISNUMBER(C340),ABS(A341-IF(G340&gt;=$P$2,MIN(D340,C340),D340))&gt;0.005),"Bank roll inicial no sigue la regla del dia anterior (alguien sobrescribio la formula). ","")&amp;IF(AND(H341&lt;&gt;"",ISNUMBER(B341),ISNUMBER(A341),ABS(B341-A341/8)&gt;0.00001),"Stake distinto de Bank roll/8. ","")&amp;IF(AND(H341&lt;&gt;"",ISNUMBER(E341),ABS(E341)&gt;0.005),"Residuo distinto de 0. ","")&amp;IF(AND(K341&lt;&gt;"",OR(NOT(ISNUMBER(K341)),N(K341)&lt;0)),"Saldo L2 no numerico o negativo. ","")&amp;IF(AND(H341&lt;&gt;"",H341&lt;TEXT(TODAY(),"yyyy-mm-dd"),G341&gt;=$P$2,K341="",OR(N(J341)&gt;0,N(M340)&gt;0)),"Falta cerrar el Saldo L2 de este dia. ","")&amp;IF(AND(H341&lt;&gt;"",SUMPRODUCT((Registros!$C$2:$C$3000=H341)*ISTEXT(Registros!$AP$2:$AP$3000))&gt;0),"Hay P/L guardado como texto en Registros (no suma). ","")))</f>
        <v/>
      </c>
    </row>
    <row r="342" customFormat="false" ht="15" hidden="false" customHeight="true" outlineLevel="0" collapsed="false">
      <c r="A342" s="13" t="n">
        <f aca="false">IF(D341="","",IF(G341&gt;=$P$2,MIN(D341,C341),D341))</f>
        <v>8</v>
      </c>
      <c r="B342" s="13" t="n">
        <f aca="false">IF(A342="","",A342/8)</f>
        <v>1</v>
      </c>
      <c r="C342" s="13" t="n">
        <f aca="false">IF(OR(A342="",B342=""),"",A342+B342)</f>
        <v>9</v>
      </c>
      <c r="D342" s="13" t="n">
        <f aca="false">IF(A342="","",A342+SUMIFS(Registros!$AP:$AP,Registros!$C:$C,H342))</f>
        <v>8</v>
      </c>
      <c r="E342" s="13" t="n">
        <f aca="false">IF(A342="","",ROUND(A342-8*B342,2))</f>
        <v>0</v>
      </c>
      <c r="F342" s="13" t="n">
        <f aca="false">IF(OR(D342="",C342=""),"",D342-C342)</f>
        <v>-1</v>
      </c>
      <c r="G342" s="20" t="n">
        <f aca="false">IF(G341="","",G341+1)</f>
        <v>341</v>
      </c>
      <c r="H342" s="15"/>
      <c r="I342" s="14"/>
      <c r="J342" s="16" t="str">
        <f aca="false">IF(OR(H342="",D342="",C342="",G342&lt;$P$2),"",MAX(0,ROUND(D342-C342,2)))</f>
        <v/>
      </c>
      <c r="K342" s="17"/>
      <c r="L342" s="16" t="str">
        <f aca="false">IF(NOT(ISNUMBER(K342)),"",ROUND(K342-N(M341)-N(J342),2))</f>
        <v/>
      </c>
      <c r="M342" s="16" t="n">
        <f aca="false">IF(ISNUMBER(K342),K342,N(M341))</f>
        <v>0</v>
      </c>
      <c r="N342" s="0" t="str">
        <f aca="true">IF(AND(H342="",K342=""),"",TRIM(IF(AND(H342&lt;&gt;"",NOT(AND(LEN(H342)=10,MID(H342,5,1)="-",MID(H342,8,1)="-"))),"Fecha con formato invalido (usa AAAA-MM-DD). ","")&amp;IF(AND(H342&lt;&gt;"",COUNTIF($H$2:$H$367,H342)&gt;1),"Fecha repetida en otro dia. ","")&amp;IF(AND(H342&lt;&gt;"",H341&lt;&gt;"",H342&lt;=H341),"La fecha no es posterior a la del dia anterior. ","")&amp;IF(AND(H342&lt;&gt;"",ISNUMBER(A342),ISNUMBER(D341),ISNUMBER(C341),ABS(A342-IF(G341&gt;=$P$2,MIN(D341,C341),D341))&gt;0.005),"Bank roll inicial no sigue la regla del dia anterior (alguien sobrescribio la formula). ","")&amp;IF(AND(H342&lt;&gt;"",ISNUMBER(B342),ISNUMBER(A342),ABS(B342-A342/8)&gt;0.00001),"Stake distinto de Bank roll/8. ","")&amp;IF(AND(H342&lt;&gt;"",ISNUMBER(E342),ABS(E342)&gt;0.005),"Residuo distinto de 0. ","")&amp;IF(AND(K342&lt;&gt;"",OR(NOT(ISNUMBER(K342)),N(K342)&lt;0)),"Saldo L2 no numerico o negativo. ","")&amp;IF(AND(H342&lt;&gt;"",H342&lt;TEXT(TODAY(),"yyyy-mm-dd"),G342&gt;=$P$2,K342="",OR(N(J342)&gt;0,N(M341)&gt;0)),"Falta cerrar el Saldo L2 de este dia. ","")&amp;IF(AND(H342&lt;&gt;"",SUMPRODUCT((Registros!$C$2:$C$3000=H342)*ISTEXT(Registros!$AP$2:$AP$3000))&gt;0),"Hay P/L guardado como texto en Registros (no suma). ","")))</f>
        <v/>
      </c>
    </row>
    <row r="343" customFormat="false" ht="15" hidden="false" customHeight="true" outlineLevel="0" collapsed="false">
      <c r="A343" s="13" t="n">
        <f aca="false">IF(D342="","",IF(G342&gt;=$P$2,MIN(D342,C342),D342))</f>
        <v>8</v>
      </c>
      <c r="B343" s="13" t="n">
        <f aca="false">IF(A343="","",A343/8)</f>
        <v>1</v>
      </c>
      <c r="C343" s="13" t="n">
        <f aca="false">IF(OR(A343="",B343=""),"",A343+B343)</f>
        <v>9</v>
      </c>
      <c r="D343" s="13" t="n">
        <f aca="false">IF(A343="","",A343+SUMIFS(Registros!$AP:$AP,Registros!$C:$C,H343))</f>
        <v>8</v>
      </c>
      <c r="E343" s="13" t="n">
        <f aca="false">IF(A343="","",ROUND(A343-8*B343,2))</f>
        <v>0</v>
      </c>
      <c r="F343" s="13" t="n">
        <f aca="false">IF(OR(D343="",C343=""),"",D343-C343)</f>
        <v>-1</v>
      </c>
      <c r="G343" s="20" t="n">
        <f aca="false">IF(G342="","",G342+1)</f>
        <v>342</v>
      </c>
      <c r="H343" s="15"/>
      <c r="I343" s="14"/>
      <c r="J343" s="16" t="str">
        <f aca="false">IF(OR(H343="",D343="",C343="",G343&lt;$P$2),"",MAX(0,ROUND(D343-C343,2)))</f>
        <v/>
      </c>
      <c r="K343" s="17"/>
      <c r="L343" s="16" t="str">
        <f aca="false">IF(NOT(ISNUMBER(K343)),"",ROUND(K343-N(M342)-N(J343),2))</f>
        <v/>
      </c>
      <c r="M343" s="16" t="n">
        <f aca="false">IF(ISNUMBER(K343),K343,N(M342))</f>
        <v>0</v>
      </c>
      <c r="N343" s="0" t="str">
        <f aca="true">IF(AND(H343="",K343=""),"",TRIM(IF(AND(H343&lt;&gt;"",NOT(AND(LEN(H343)=10,MID(H343,5,1)="-",MID(H343,8,1)="-"))),"Fecha con formato invalido (usa AAAA-MM-DD). ","")&amp;IF(AND(H343&lt;&gt;"",COUNTIF($H$2:$H$367,H343)&gt;1),"Fecha repetida en otro dia. ","")&amp;IF(AND(H343&lt;&gt;"",H342&lt;&gt;"",H343&lt;=H342),"La fecha no es posterior a la del dia anterior. ","")&amp;IF(AND(H343&lt;&gt;"",ISNUMBER(A343),ISNUMBER(D342),ISNUMBER(C342),ABS(A343-IF(G342&gt;=$P$2,MIN(D342,C342),D342))&gt;0.005),"Bank roll inicial no sigue la regla del dia anterior (alguien sobrescribio la formula). ","")&amp;IF(AND(H343&lt;&gt;"",ISNUMBER(B343),ISNUMBER(A343),ABS(B343-A343/8)&gt;0.00001),"Stake distinto de Bank roll/8. ","")&amp;IF(AND(H343&lt;&gt;"",ISNUMBER(E343),ABS(E343)&gt;0.005),"Residuo distinto de 0. ","")&amp;IF(AND(K343&lt;&gt;"",OR(NOT(ISNUMBER(K343)),N(K343)&lt;0)),"Saldo L2 no numerico o negativo. ","")&amp;IF(AND(H343&lt;&gt;"",H343&lt;TEXT(TODAY(),"yyyy-mm-dd"),G343&gt;=$P$2,K343="",OR(N(J343)&gt;0,N(M342)&gt;0)),"Falta cerrar el Saldo L2 de este dia. ","")&amp;IF(AND(H343&lt;&gt;"",SUMPRODUCT((Registros!$C$2:$C$3000=H343)*ISTEXT(Registros!$AP$2:$AP$3000))&gt;0),"Hay P/L guardado como texto en Registros (no suma). ","")))</f>
        <v/>
      </c>
    </row>
    <row r="344" customFormat="false" ht="15" hidden="false" customHeight="true" outlineLevel="0" collapsed="false">
      <c r="A344" s="13" t="n">
        <f aca="false">IF(D343="","",IF(G343&gt;=$P$2,MIN(D343,C343),D343))</f>
        <v>8</v>
      </c>
      <c r="B344" s="13" t="n">
        <f aca="false">IF(A344="","",A344/8)</f>
        <v>1</v>
      </c>
      <c r="C344" s="13" t="n">
        <f aca="false">IF(OR(A344="",B344=""),"",A344+B344)</f>
        <v>9</v>
      </c>
      <c r="D344" s="13" t="n">
        <f aca="false">IF(A344="","",A344+SUMIFS(Registros!$AP:$AP,Registros!$C:$C,H344))</f>
        <v>8</v>
      </c>
      <c r="E344" s="13" t="n">
        <f aca="false">IF(A344="","",ROUND(A344-8*B344,2))</f>
        <v>0</v>
      </c>
      <c r="F344" s="13" t="n">
        <f aca="false">IF(OR(D344="",C344=""),"",D344-C344)</f>
        <v>-1</v>
      </c>
      <c r="G344" s="20" t="n">
        <f aca="false">IF(G343="","",G343+1)</f>
        <v>343</v>
      </c>
      <c r="H344" s="15"/>
      <c r="I344" s="14"/>
      <c r="J344" s="16" t="str">
        <f aca="false">IF(OR(H344="",D344="",C344="",G344&lt;$P$2),"",MAX(0,ROUND(D344-C344,2)))</f>
        <v/>
      </c>
      <c r="K344" s="17"/>
      <c r="L344" s="16" t="str">
        <f aca="false">IF(NOT(ISNUMBER(K344)),"",ROUND(K344-N(M343)-N(J344),2))</f>
        <v/>
      </c>
      <c r="M344" s="16" t="n">
        <f aca="false">IF(ISNUMBER(K344),K344,N(M343))</f>
        <v>0</v>
      </c>
      <c r="N344" s="0" t="str">
        <f aca="true">IF(AND(H344="",K344=""),"",TRIM(IF(AND(H344&lt;&gt;"",NOT(AND(LEN(H344)=10,MID(H344,5,1)="-",MID(H344,8,1)="-"))),"Fecha con formato invalido (usa AAAA-MM-DD). ","")&amp;IF(AND(H344&lt;&gt;"",COUNTIF($H$2:$H$367,H344)&gt;1),"Fecha repetida en otro dia. ","")&amp;IF(AND(H344&lt;&gt;"",H343&lt;&gt;"",H344&lt;=H343),"La fecha no es posterior a la del dia anterior. ","")&amp;IF(AND(H344&lt;&gt;"",ISNUMBER(A344),ISNUMBER(D343),ISNUMBER(C343),ABS(A344-IF(G343&gt;=$P$2,MIN(D343,C343),D343))&gt;0.005),"Bank roll inicial no sigue la regla del dia anterior (alguien sobrescribio la formula). ","")&amp;IF(AND(H344&lt;&gt;"",ISNUMBER(B344),ISNUMBER(A344),ABS(B344-A344/8)&gt;0.00001),"Stake distinto de Bank roll/8. ","")&amp;IF(AND(H344&lt;&gt;"",ISNUMBER(E344),ABS(E344)&gt;0.005),"Residuo distinto de 0. ","")&amp;IF(AND(K344&lt;&gt;"",OR(NOT(ISNUMBER(K344)),N(K344)&lt;0)),"Saldo L2 no numerico o negativo. ","")&amp;IF(AND(H344&lt;&gt;"",H344&lt;TEXT(TODAY(),"yyyy-mm-dd"),G344&gt;=$P$2,K344="",OR(N(J344)&gt;0,N(M343)&gt;0)),"Falta cerrar el Saldo L2 de este dia. ","")&amp;IF(AND(H344&lt;&gt;"",SUMPRODUCT((Registros!$C$2:$C$3000=H344)*ISTEXT(Registros!$AP$2:$AP$3000))&gt;0),"Hay P/L guardado como texto en Registros (no suma). ","")))</f>
        <v/>
      </c>
    </row>
    <row r="345" customFormat="false" ht="15" hidden="false" customHeight="true" outlineLevel="0" collapsed="false">
      <c r="A345" s="13" t="n">
        <f aca="false">IF(D344="","",IF(G344&gt;=$P$2,MIN(D344,C344),D344))</f>
        <v>8</v>
      </c>
      <c r="B345" s="13" t="n">
        <f aca="false">IF(A345="","",A345/8)</f>
        <v>1</v>
      </c>
      <c r="C345" s="13" t="n">
        <f aca="false">IF(OR(A345="",B345=""),"",A345+B345)</f>
        <v>9</v>
      </c>
      <c r="D345" s="13" t="n">
        <f aca="false">IF(A345="","",A345+SUMIFS(Registros!$AP:$AP,Registros!$C:$C,H345))</f>
        <v>8</v>
      </c>
      <c r="E345" s="13" t="n">
        <f aca="false">IF(A345="","",ROUND(A345-8*B345,2))</f>
        <v>0</v>
      </c>
      <c r="F345" s="13" t="n">
        <f aca="false">IF(OR(D345="",C345=""),"",D345-C345)</f>
        <v>-1</v>
      </c>
      <c r="G345" s="20" t="n">
        <f aca="false">IF(G344="","",G344+1)</f>
        <v>344</v>
      </c>
      <c r="H345" s="15"/>
      <c r="I345" s="14"/>
      <c r="J345" s="16" t="str">
        <f aca="false">IF(OR(H345="",D345="",C345="",G345&lt;$P$2),"",MAX(0,ROUND(D345-C345,2)))</f>
        <v/>
      </c>
      <c r="K345" s="17"/>
      <c r="L345" s="16" t="str">
        <f aca="false">IF(NOT(ISNUMBER(K345)),"",ROUND(K345-N(M344)-N(J345),2))</f>
        <v/>
      </c>
      <c r="M345" s="16" t="n">
        <f aca="false">IF(ISNUMBER(K345),K345,N(M344))</f>
        <v>0</v>
      </c>
      <c r="N345" s="0" t="str">
        <f aca="true">IF(AND(H345="",K345=""),"",TRIM(IF(AND(H345&lt;&gt;"",NOT(AND(LEN(H345)=10,MID(H345,5,1)="-",MID(H345,8,1)="-"))),"Fecha con formato invalido (usa AAAA-MM-DD). ","")&amp;IF(AND(H345&lt;&gt;"",COUNTIF($H$2:$H$367,H345)&gt;1),"Fecha repetida en otro dia. ","")&amp;IF(AND(H345&lt;&gt;"",H344&lt;&gt;"",H345&lt;=H344),"La fecha no es posterior a la del dia anterior. ","")&amp;IF(AND(H345&lt;&gt;"",ISNUMBER(A345),ISNUMBER(D344),ISNUMBER(C344),ABS(A345-IF(G344&gt;=$P$2,MIN(D344,C344),D344))&gt;0.005),"Bank roll inicial no sigue la regla del dia anterior (alguien sobrescribio la formula). ","")&amp;IF(AND(H345&lt;&gt;"",ISNUMBER(B345),ISNUMBER(A345),ABS(B345-A345/8)&gt;0.00001),"Stake distinto de Bank roll/8. ","")&amp;IF(AND(H345&lt;&gt;"",ISNUMBER(E345),ABS(E345)&gt;0.005),"Residuo distinto de 0. ","")&amp;IF(AND(K345&lt;&gt;"",OR(NOT(ISNUMBER(K345)),N(K345)&lt;0)),"Saldo L2 no numerico o negativo. ","")&amp;IF(AND(H345&lt;&gt;"",H345&lt;TEXT(TODAY(),"yyyy-mm-dd"),G345&gt;=$P$2,K345="",OR(N(J345)&gt;0,N(M344)&gt;0)),"Falta cerrar el Saldo L2 de este dia. ","")&amp;IF(AND(H345&lt;&gt;"",SUMPRODUCT((Registros!$C$2:$C$3000=H345)*ISTEXT(Registros!$AP$2:$AP$3000))&gt;0),"Hay P/L guardado como texto en Registros (no suma). ","")))</f>
        <v/>
      </c>
    </row>
    <row r="346" customFormat="false" ht="15" hidden="false" customHeight="true" outlineLevel="0" collapsed="false">
      <c r="A346" s="13" t="n">
        <f aca="false">IF(D345="","",IF(G345&gt;=$P$2,MIN(D345,C345),D345))</f>
        <v>8</v>
      </c>
      <c r="B346" s="13" t="n">
        <f aca="false">IF(A346="","",A346/8)</f>
        <v>1</v>
      </c>
      <c r="C346" s="13" t="n">
        <f aca="false">IF(OR(A346="",B346=""),"",A346+B346)</f>
        <v>9</v>
      </c>
      <c r="D346" s="13" t="n">
        <f aca="false">IF(A346="","",A346+SUMIFS(Registros!$AP:$AP,Registros!$C:$C,H346))</f>
        <v>8</v>
      </c>
      <c r="E346" s="13" t="n">
        <f aca="false">IF(A346="","",ROUND(A346-8*B346,2))</f>
        <v>0</v>
      </c>
      <c r="F346" s="13" t="n">
        <f aca="false">IF(OR(D346="",C346=""),"",D346-C346)</f>
        <v>-1</v>
      </c>
      <c r="G346" s="20" t="n">
        <f aca="false">IF(G345="","",G345+1)</f>
        <v>345</v>
      </c>
      <c r="H346" s="15"/>
      <c r="I346" s="14"/>
      <c r="J346" s="16" t="str">
        <f aca="false">IF(OR(H346="",D346="",C346="",G346&lt;$P$2),"",MAX(0,ROUND(D346-C346,2)))</f>
        <v/>
      </c>
      <c r="K346" s="17"/>
      <c r="L346" s="16" t="str">
        <f aca="false">IF(NOT(ISNUMBER(K346)),"",ROUND(K346-N(M345)-N(J346),2))</f>
        <v/>
      </c>
      <c r="M346" s="16" t="n">
        <f aca="false">IF(ISNUMBER(K346),K346,N(M345))</f>
        <v>0</v>
      </c>
      <c r="N346" s="0" t="str">
        <f aca="true">IF(AND(H346="",K346=""),"",TRIM(IF(AND(H346&lt;&gt;"",NOT(AND(LEN(H346)=10,MID(H346,5,1)="-",MID(H346,8,1)="-"))),"Fecha con formato invalido (usa AAAA-MM-DD). ","")&amp;IF(AND(H346&lt;&gt;"",COUNTIF($H$2:$H$367,H346)&gt;1),"Fecha repetida en otro dia. ","")&amp;IF(AND(H346&lt;&gt;"",H345&lt;&gt;"",H346&lt;=H345),"La fecha no es posterior a la del dia anterior. ","")&amp;IF(AND(H346&lt;&gt;"",ISNUMBER(A346),ISNUMBER(D345),ISNUMBER(C345),ABS(A346-IF(G345&gt;=$P$2,MIN(D345,C345),D345))&gt;0.005),"Bank roll inicial no sigue la regla del dia anterior (alguien sobrescribio la formula). ","")&amp;IF(AND(H346&lt;&gt;"",ISNUMBER(B346),ISNUMBER(A346),ABS(B346-A346/8)&gt;0.00001),"Stake distinto de Bank roll/8. ","")&amp;IF(AND(H346&lt;&gt;"",ISNUMBER(E346),ABS(E346)&gt;0.005),"Residuo distinto de 0. ","")&amp;IF(AND(K346&lt;&gt;"",OR(NOT(ISNUMBER(K346)),N(K346)&lt;0)),"Saldo L2 no numerico o negativo. ","")&amp;IF(AND(H346&lt;&gt;"",H346&lt;TEXT(TODAY(),"yyyy-mm-dd"),G346&gt;=$P$2,K346="",OR(N(J346)&gt;0,N(M345)&gt;0)),"Falta cerrar el Saldo L2 de este dia. ","")&amp;IF(AND(H346&lt;&gt;"",SUMPRODUCT((Registros!$C$2:$C$3000=H346)*ISTEXT(Registros!$AP$2:$AP$3000))&gt;0),"Hay P/L guardado como texto en Registros (no suma). ","")))</f>
        <v/>
      </c>
    </row>
    <row r="347" customFormat="false" ht="15" hidden="false" customHeight="true" outlineLevel="0" collapsed="false">
      <c r="A347" s="13" t="n">
        <f aca="false">IF(D346="","",IF(G346&gt;=$P$2,MIN(D346,C346),D346))</f>
        <v>8</v>
      </c>
      <c r="B347" s="13" t="n">
        <f aca="false">IF(A347="","",A347/8)</f>
        <v>1</v>
      </c>
      <c r="C347" s="13" t="n">
        <f aca="false">IF(OR(A347="",B347=""),"",A347+B347)</f>
        <v>9</v>
      </c>
      <c r="D347" s="13" t="n">
        <f aca="false">IF(A347="","",A347+SUMIFS(Registros!$AP:$AP,Registros!$C:$C,H347))</f>
        <v>8</v>
      </c>
      <c r="E347" s="13" t="n">
        <f aca="false">IF(A347="","",ROUND(A347-8*B347,2))</f>
        <v>0</v>
      </c>
      <c r="F347" s="13" t="n">
        <f aca="false">IF(OR(D347="",C347=""),"",D347-C347)</f>
        <v>-1</v>
      </c>
      <c r="G347" s="20" t="n">
        <f aca="false">IF(G346="","",G346+1)</f>
        <v>346</v>
      </c>
      <c r="H347" s="15"/>
      <c r="I347" s="14"/>
      <c r="J347" s="16" t="str">
        <f aca="false">IF(OR(H347="",D347="",C347="",G347&lt;$P$2),"",MAX(0,ROUND(D347-C347,2)))</f>
        <v/>
      </c>
      <c r="K347" s="17"/>
      <c r="L347" s="16" t="str">
        <f aca="false">IF(NOT(ISNUMBER(K347)),"",ROUND(K347-N(M346)-N(J347),2))</f>
        <v/>
      </c>
      <c r="M347" s="16" t="n">
        <f aca="false">IF(ISNUMBER(K347),K347,N(M346))</f>
        <v>0</v>
      </c>
      <c r="N347" s="0" t="str">
        <f aca="true">IF(AND(H347="",K347=""),"",TRIM(IF(AND(H347&lt;&gt;"",NOT(AND(LEN(H347)=10,MID(H347,5,1)="-",MID(H347,8,1)="-"))),"Fecha con formato invalido (usa AAAA-MM-DD). ","")&amp;IF(AND(H347&lt;&gt;"",COUNTIF($H$2:$H$367,H347)&gt;1),"Fecha repetida en otro dia. ","")&amp;IF(AND(H347&lt;&gt;"",H346&lt;&gt;"",H347&lt;=H346),"La fecha no es posterior a la del dia anterior. ","")&amp;IF(AND(H347&lt;&gt;"",ISNUMBER(A347),ISNUMBER(D346),ISNUMBER(C346),ABS(A347-IF(G346&gt;=$P$2,MIN(D346,C346),D346))&gt;0.005),"Bank roll inicial no sigue la regla del dia anterior (alguien sobrescribio la formula). ","")&amp;IF(AND(H347&lt;&gt;"",ISNUMBER(B347),ISNUMBER(A347),ABS(B347-A347/8)&gt;0.00001),"Stake distinto de Bank roll/8. ","")&amp;IF(AND(H347&lt;&gt;"",ISNUMBER(E347),ABS(E347)&gt;0.005),"Residuo distinto de 0. ","")&amp;IF(AND(K347&lt;&gt;"",OR(NOT(ISNUMBER(K347)),N(K347)&lt;0)),"Saldo L2 no numerico o negativo. ","")&amp;IF(AND(H347&lt;&gt;"",H347&lt;TEXT(TODAY(),"yyyy-mm-dd"),G347&gt;=$P$2,K347="",OR(N(J347)&gt;0,N(M346)&gt;0)),"Falta cerrar el Saldo L2 de este dia. ","")&amp;IF(AND(H347&lt;&gt;"",SUMPRODUCT((Registros!$C$2:$C$3000=H347)*ISTEXT(Registros!$AP$2:$AP$3000))&gt;0),"Hay P/L guardado como texto en Registros (no suma). ","")))</f>
        <v/>
      </c>
    </row>
    <row r="348" customFormat="false" ht="15" hidden="false" customHeight="true" outlineLevel="0" collapsed="false">
      <c r="A348" s="13" t="n">
        <f aca="false">IF(D347="","",IF(G347&gt;=$P$2,MIN(D347,C347),D347))</f>
        <v>8</v>
      </c>
      <c r="B348" s="13" t="n">
        <f aca="false">IF(A348="","",A348/8)</f>
        <v>1</v>
      </c>
      <c r="C348" s="13" t="n">
        <f aca="false">IF(OR(A348="",B348=""),"",A348+B348)</f>
        <v>9</v>
      </c>
      <c r="D348" s="13" t="n">
        <f aca="false">IF(A348="","",A348+SUMIFS(Registros!$AP:$AP,Registros!$C:$C,H348))</f>
        <v>8</v>
      </c>
      <c r="E348" s="13" t="n">
        <f aca="false">IF(A348="","",ROUND(A348-8*B348,2))</f>
        <v>0</v>
      </c>
      <c r="F348" s="13" t="n">
        <f aca="false">IF(OR(D348="",C348=""),"",D348-C348)</f>
        <v>-1</v>
      </c>
      <c r="G348" s="20" t="n">
        <f aca="false">IF(G347="","",G347+1)</f>
        <v>347</v>
      </c>
      <c r="H348" s="15"/>
      <c r="I348" s="14"/>
      <c r="J348" s="16" t="str">
        <f aca="false">IF(OR(H348="",D348="",C348="",G348&lt;$P$2),"",MAX(0,ROUND(D348-C348,2)))</f>
        <v/>
      </c>
      <c r="K348" s="17"/>
      <c r="L348" s="16" t="str">
        <f aca="false">IF(NOT(ISNUMBER(K348)),"",ROUND(K348-N(M347)-N(J348),2))</f>
        <v/>
      </c>
      <c r="M348" s="16" t="n">
        <f aca="false">IF(ISNUMBER(K348),K348,N(M347))</f>
        <v>0</v>
      </c>
      <c r="N348" s="0" t="str">
        <f aca="true">IF(AND(H348="",K348=""),"",TRIM(IF(AND(H348&lt;&gt;"",NOT(AND(LEN(H348)=10,MID(H348,5,1)="-",MID(H348,8,1)="-"))),"Fecha con formato invalido (usa AAAA-MM-DD). ","")&amp;IF(AND(H348&lt;&gt;"",COUNTIF($H$2:$H$367,H348)&gt;1),"Fecha repetida en otro dia. ","")&amp;IF(AND(H348&lt;&gt;"",H347&lt;&gt;"",H348&lt;=H347),"La fecha no es posterior a la del dia anterior. ","")&amp;IF(AND(H348&lt;&gt;"",ISNUMBER(A348),ISNUMBER(D347),ISNUMBER(C347),ABS(A348-IF(G347&gt;=$P$2,MIN(D347,C347),D347))&gt;0.005),"Bank roll inicial no sigue la regla del dia anterior (alguien sobrescribio la formula). ","")&amp;IF(AND(H348&lt;&gt;"",ISNUMBER(B348),ISNUMBER(A348),ABS(B348-A348/8)&gt;0.00001),"Stake distinto de Bank roll/8. ","")&amp;IF(AND(H348&lt;&gt;"",ISNUMBER(E348),ABS(E348)&gt;0.005),"Residuo distinto de 0. ","")&amp;IF(AND(K348&lt;&gt;"",OR(NOT(ISNUMBER(K348)),N(K348)&lt;0)),"Saldo L2 no numerico o negativo. ","")&amp;IF(AND(H348&lt;&gt;"",H348&lt;TEXT(TODAY(),"yyyy-mm-dd"),G348&gt;=$P$2,K348="",OR(N(J348)&gt;0,N(M347)&gt;0)),"Falta cerrar el Saldo L2 de este dia. ","")&amp;IF(AND(H348&lt;&gt;"",SUMPRODUCT((Registros!$C$2:$C$3000=H348)*ISTEXT(Registros!$AP$2:$AP$3000))&gt;0),"Hay P/L guardado como texto en Registros (no suma). ","")))</f>
        <v/>
      </c>
    </row>
    <row r="349" customFormat="false" ht="15" hidden="false" customHeight="true" outlineLevel="0" collapsed="false">
      <c r="A349" s="13" t="n">
        <f aca="false">IF(D348="","",IF(G348&gt;=$P$2,MIN(D348,C348),D348))</f>
        <v>8</v>
      </c>
      <c r="B349" s="13" t="n">
        <f aca="false">IF(A349="","",A349/8)</f>
        <v>1</v>
      </c>
      <c r="C349" s="13" t="n">
        <f aca="false">IF(OR(A349="",B349=""),"",A349+B349)</f>
        <v>9</v>
      </c>
      <c r="D349" s="13" t="n">
        <f aca="false">IF(A349="","",A349+SUMIFS(Registros!$AP:$AP,Registros!$C:$C,H349))</f>
        <v>8</v>
      </c>
      <c r="E349" s="13" t="n">
        <f aca="false">IF(A349="","",ROUND(A349-8*B349,2))</f>
        <v>0</v>
      </c>
      <c r="F349" s="13" t="n">
        <f aca="false">IF(OR(D349="",C349=""),"",D349-C349)</f>
        <v>-1</v>
      </c>
      <c r="G349" s="20" t="n">
        <f aca="false">IF(G348="","",G348+1)</f>
        <v>348</v>
      </c>
      <c r="H349" s="15"/>
      <c r="I349" s="14"/>
      <c r="J349" s="16" t="str">
        <f aca="false">IF(OR(H349="",D349="",C349="",G349&lt;$P$2),"",MAX(0,ROUND(D349-C349,2)))</f>
        <v/>
      </c>
      <c r="K349" s="17"/>
      <c r="L349" s="16" t="str">
        <f aca="false">IF(NOT(ISNUMBER(K349)),"",ROUND(K349-N(M348)-N(J349),2))</f>
        <v/>
      </c>
      <c r="M349" s="16" t="n">
        <f aca="false">IF(ISNUMBER(K349),K349,N(M348))</f>
        <v>0</v>
      </c>
      <c r="N349" s="0" t="str">
        <f aca="true">IF(AND(H349="",K349=""),"",TRIM(IF(AND(H349&lt;&gt;"",NOT(AND(LEN(H349)=10,MID(H349,5,1)="-",MID(H349,8,1)="-"))),"Fecha con formato invalido (usa AAAA-MM-DD). ","")&amp;IF(AND(H349&lt;&gt;"",COUNTIF($H$2:$H$367,H349)&gt;1),"Fecha repetida en otro dia. ","")&amp;IF(AND(H349&lt;&gt;"",H348&lt;&gt;"",H349&lt;=H348),"La fecha no es posterior a la del dia anterior. ","")&amp;IF(AND(H349&lt;&gt;"",ISNUMBER(A349),ISNUMBER(D348),ISNUMBER(C348),ABS(A349-IF(G348&gt;=$P$2,MIN(D348,C348),D348))&gt;0.005),"Bank roll inicial no sigue la regla del dia anterior (alguien sobrescribio la formula). ","")&amp;IF(AND(H349&lt;&gt;"",ISNUMBER(B349),ISNUMBER(A349),ABS(B349-A349/8)&gt;0.00001),"Stake distinto de Bank roll/8. ","")&amp;IF(AND(H349&lt;&gt;"",ISNUMBER(E349),ABS(E349)&gt;0.005),"Residuo distinto de 0. ","")&amp;IF(AND(K349&lt;&gt;"",OR(NOT(ISNUMBER(K349)),N(K349)&lt;0)),"Saldo L2 no numerico o negativo. ","")&amp;IF(AND(H349&lt;&gt;"",H349&lt;TEXT(TODAY(),"yyyy-mm-dd"),G349&gt;=$P$2,K349="",OR(N(J349)&gt;0,N(M348)&gt;0)),"Falta cerrar el Saldo L2 de este dia. ","")&amp;IF(AND(H349&lt;&gt;"",SUMPRODUCT((Registros!$C$2:$C$3000=H349)*ISTEXT(Registros!$AP$2:$AP$3000))&gt;0),"Hay P/L guardado como texto en Registros (no suma). ","")))</f>
        <v/>
      </c>
    </row>
    <row r="350" customFormat="false" ht="15" hidden="false" customHeight="true" outlineLevel="0" collapsed="false">
      <c r="A350" s="13" t="n">
        <f aca="false">IF(D349="","",IF(G349&gt;=$P$2,MIN(D349,C349),D349))</f>
        <v>8</v>
      </c>
      <c r="B350" s="13" t="n">
        <f aca="false">IF(A350="","",A350/8)</f>
        <v>1</v>
      </c>
      <c r="C350" s="13" t="n">
        <f aca="false">IF(OR(A350="",B350=""),"",A350+B350)</f>
        <v>9</v>
      </c>
      <c r="D350" s="13" t="n">
        <f aca="false">IF(A350="","",A350+SUMIFS(Registros!$AP:$AP,Registros!$C:$C,H350))</f>
        <v>8</v>
      </c>
      <c r="E350" s="13" t="n">
        <f aca="false">IF(A350="","",ROUND(A350-8*B350,2))</f>
        <v>0</v>
      </c>
      <c r="F350" s="13" t="n">
        <f aca="false">IF(OR(D350="",C350=""),"",D350-C350)</f>
        <v>-1</v>
      </c>
      <c r="G350" s="20" t="n">
        <f aca="false">IF(G349="","",G349+1)</f>
        <v>349</v>
      </c>
      <c r="H350" s="15"/>
      <c r="I350" s="14"/>
      <c r="J350" s="16" t="str">
        <f aca="false">IF(OR(H350="",D350="",C350="",G350&lt;$P$2),"",MAX(0,ROUND(D350-C350,2)))</f>
        <v/>
      </c>
      <c r="K350" s="17"/>
      <c r="L350" s="16" t="str">
        <f aca="false">IF(NOT(ISNUMBER(K350)),"",ROUND(K350-N(M349)-N(J350),2))</f>
        <v/>
      </c>
      <c r="M350" s="16" t="n">
        <f aca="false">IF(ISNUMBER(K350),K350,N(M349))</f>
        <v>0</v>
      </c>
      <c r="N350" s="0" t="str">
        <f aca="true">IF(AND(H350="",K350=""),"",TRIM(IF(AND(H350&lt;&gt;"",NOT(AND(LEN(H350)=10,MID(H350,5,1)="-",MID(H350,8,1)="-"))),"Fecha con formato invalido (usa AAAA-MM-DD). ","")&amp;IF(AND(H350&lt;&gt;"",COUNTIF($H$2:$H$367,H350)&gt;1),"Fecha repetida en otro dia. ","")&amp;IF(AND(H350&lt;&gt;"",H349&lt;&gt;"",H350&lt;=H349),"La fecha no es posterior a la del dia anterior. ","")&amp;IF(AND(H350&lt;&gt;"",ISNUMBER(A350),ISNUMBER(D349),ISNUMBER(C349),ABS(A350-IF(G349&gt;=$P$2,MIN(D349,C349),D349))&gt;0.005),"Bank roll inicial no sigue la regla del dia anterior (alguien sobrescribio la formula). ","")&amp;IF(AND(H350&lt;&gt;"",ISNUMBER(B350),ISNUMBER(A350),ABS(B350-A350/8)&gt;0.00001),"Stake distinto de Bank roll/8. ","")&amp;IF(AND(H350&lt;&gt;"",ISNUMBER(E350),ABS(E350)&gt;0.005),"Residuo distinto de 0. ","")&amp;IF(AND(K350&lt;&gt;"",OR(NOT(ISNUMBER(K350)),N(K350)&lt;0)),"Saldo L2 no numerico o negativo. ","")&amp;IF(AND(H350&lt;&gt;"",H350&lt;TEXT(TODAY(),"yyyy-mm-dd"),G350&gt;=$P$2,K350="",OR(N(J350)&gt;0,N(M349)&gt;0)),"Falta cerrar el Saldo L2 de este dia. ","")&amp;IF(AND(H350&lt;&gt;"",SUMPRODUCT((Registros!$C$2:$C$3000=H350)*ISTEXT(Registros!$AP$2:$AP$3000))&gt;0),"Hay P/L guardado como texto en Registros (no suma). ","")))</f>
        <v/>
      </c>
    </row>
    <row r="351" customFormat="false" ht="15" hidden="false" customHeight="true" outlineLevel="0" collapsed="false">
      <c r="A351" s="13" t="n">
        <f aca="false">IF(D350="","",IF(G350&gt;=$P$2,MIN(D350,C350),D350))</f>
        <v>8</v>
      </c>
      <c r="B351" s="13" t="n">
        <f aca="false">IF(A351="","",A351/8)</f>
        <v>1</v>
      </c>
      <c r="C351" s="13" t="n">
        <f aca="false">IF(OR(A351="",B351=""),"",A351+B351)</f>
        <v>9</v>
      </c>
      <c r="D351" s="13" t="n">
        <f aca="false">IF(A351="","",A351+SUMIFS(Registros!$AP:$AP,Registros!$C:$C,H351))</f>
        <v>8</v>
      </c>
      <c r="E351" s="13" t="n">
        <f aca="false">IF(A351="","",ROUND(A351-8*B351,2))</f>
        <v>0</v>
      </c>
      <c r="F351" s="13" t="n">
        <f aca="false">IF(OR(D351="",C351=""),"",D351-C351)</f>
        <v>-1</v>
      </c>
      <c r="G351" s="20" t="n">
        <f aca="false">IF(G350="","",G350+1)</f>
        <v>350</v>
      </c>
      <c r="H351" s="15"/>
      <c r="I351" s="14"/>
      <c r="J351" s="16" t="str">
        <f aca="false">IF(OR(H351="",D351="",C351="",G351&lt;$P$2),"",MAX(0,ROUND(D351-C351,2)))</f>
        <v/>
      </c>
      <c r="K351" s="17"/>
      <c r="L351" s="16" t="str">
        <f aca="false">IF(NOT(ISNUMBER(K351)),"",ROUND(K351-N(M350)-N(J351),2))</f>
        <v/>
      </c>
      <c r="M351" s="16" t="n">
        <f aca="false">IF(ISNUMBER(K351),K351,N(M350))</f>
        <v>0</v>
      </c>
      <c r="N351" s="0" t="str">
        <f aca="true">IF(AND(H351="",K351=""),"",TRIM(IF(AND(H351&lt;&gt;"",NOT(AND(LEN(H351)=10,MID(H351,5,1)="-",MID(H351,8,1)="-"))),"Fecha con formato invalido (usa AAAA-MM-DD). ","")&amp;IF(AND(H351&lt;&gt;"",COUNTIF($H$2:$H$367,H351)&gt;1),"Fecha repetida en otro dia. ","")&amp;IF(AND(H351&lt;&gt;"",H350&lt;&gt;"",H351&lt;=H350),"La fecha no es posterior a la del dia anterior. ","")&amp;IF(AND(H351&lt;&gt;"",ISNUMBER(A351),ISNUMBER(D350),ISNUMBER(C350),ABS(A351-IF(G350&gt;=$P$2,MIN(D350,C350),D350))&gt;0.005),"Bank roll inicial no sigue la regla del dia anterior (alguien sobrescribio la formula). ","")&amp;IF(AND(H351&lt;&gt;"",ISNUMBER(B351),ISNUMBER(A351),ABS(B351-A351/8)&gt;0.00001),"Stake distinto de Bank roll/8. ","")&amp;IF(AND(H351&lt;&gt;"",ISNUMBER(E351),ABS(E351)&gt;0.005),"Residuo distinto de 0. ","")&amp;IF(AND(K351&lt;&gt;"",OR(NOT(ISNUMBER(K351)),N(K351)&lt;0)),"Saldo L2 no numerico o negativo. ","")&amp;IF(AND(H351&lt;&gt;"",H351&lt;TEXT(TODAY(),"yyyy-mm-dd"),G351&gt;=$P$2,K351="",OR(N(J351)&gt;0,N(M350)&gt;0)),"Falta cerrar el Saldo L2 de este dia. ","")&amp;IF(AND(H351&lt;&gt;"",SUMPRODUCT((Registros!$C$2:$C$3000=H351)*ISTEXT(Registros!$AP$2:$AP$3000))&gt;0),"Hay P/L guardado como texto en Registros (no suma). ","")))</f>
        <v/>
      </c>
    </row>
    <row r="352" customFormat="false" ht="15" hidden="false" customHeight="true" outlineLevel="0" collapsed="false">
      <c r="A352" s="13" t="n">
        <f aca="false">IF(D351="","",IF(G351&gt;=$P$2,MIN(D351,C351),D351))</f>
        <v>8</v>
      </c>
      <c r="B352" s="13" t="n">
        <f aca="false">IF(A352="","",A352/8)</f>
        <v>1</v>
      </c>
      <c r="C352" s="13" t="n">
        <f aca="false">IF(OR(A352="",B352=""),"",A352+B352)</f>
        <v>9</v>
      </c>
      <c r="D352" s="13" t="n">
        <f aca="false">IF(A352="","",A352+SUMIFS(Registros!$AP:$AP,Registros!$C:$C,H352))</f>
        <v>8</v>
      </c>
      <c r="E352" s="13" t="n">
        <f aca="false">IF(A352="","",ROUND(A352-8*B352,2))</f>
        <v>0</v>
      </c>
      <c r="F352" s="13" t="n">
        <f aca="false">IF(OR(D352="",C352=""),"",D352-C352)</f>
        <v>-1</v>
      </c>
      <c r="G352" s="20" t="n">
        <f aca="false">IF(G351="","",G351+1)</f>
        <v>351</v>
      </c>
      <c r="H352" s="15"/>
      <c r="I352" s="14"/>
      <c r="J352" s="16" t="str">
        <f aca="false">IF(OR(H352="",D352="",C352="",G352&lt;$P$2),"",MAX(0,ROUND(D352-C352,2)))</f>
        <v/>
      </c>
      <c r="K352" s="17"/>
      <c r="L352" s="16" t="str">
        <f aca="false">IF(NOT(ISNUMBER(K352)),"",ROUND(K352-N(M351)-N(J352),2))</f>
        <v/>
      </c>
      <c r="M352" s="16" t="n">
        <f aca="false">IF(ISNUMBER(K352),K352,N(M351))</f>
        <v>0</v>
      </c>
      <c r="N352" s="0" t="str">
        <f aca="true">IF(AND(H352="",K352=""),"",TRIM(IF(AND(H352&lt;&gt;"",NOT(AND(LEN(H352)=10,MID(H352,5,1)="-",MID(H352,8,1)="-"))),"Fecha con formato invalido (usa AAAA-MM-DD). ","")&amp;IF(AND(H352&lt;&gt;"",COUNTIF($H$2:$H$367,H352)&gt;1),"Fecha repetida en otro dia. ","")&amp;IF(AND(H352&lt;&gt;"",H351&lt;&gt;"",H352&lt;=H351),"La fecha no es posterior a la del dia anterior. ","")&amp;IF(AND(H352&lt;&gt;"",ISNUMBER(A352),ISNUMBER(D351),ISNUMBER(C351),ABS(A352-IF(G351&gt;=$P$2,MIN(D351,C351),D351))&gt;0.005),"Bank roll inicial no sigue la regla del dia anterior (alguien sobrescribio la formula). ","")&amp;IF(AND(H352&lt;&gt;"",ISNUMBER(B352),ISNUMBER(A352),ABS(B352-A352/8)&gt;0.00001),"Stake distinto de Bank roll/8. ","")&amp;IF(AND(H352&lt;&gt;"",ISNUMBER(E352),ABS(E352)&gt;0.005),"Residuo distinto de 0. ","")&amp;IF(AND(K352&lt;&gt;"",OR(NOT(ISNUMBER(K352)),N(K352)&lt;0)),"Saldo L2 no numerico o negativo. ","")&amp;IF(AND(H352&lt;&gt;"",H352&lt;TEXT(TODAY(),"yyyy-mm-dd"),G352&gt;=$P$2,K352="",OR(N(J352)&gt;0,N(M351)&gt;0)),"Falta cerrar el Saldo L2 de este dia. ","")&amp;IF(AND(H352&lt;&gt;"",SUMPRODUCT((Registros!$C$2:$C$3000=H352)*ISTEXT(Registros!$AP$2:$AP$3000))&gt;0),"Hay P/L guardado como texto en Registros (no suma). ","")))</f>
        <v/>
      </c>
    </row>
    <row r="353" customFormat="false" ht="15" hidden="false" customHeight="true" outlineLevel="0" collapsed="false">
      <c r="A353" s="13" t="n">
        <f aca="false">IF(D352="","",IF(G352&gt;=$P$2,MIN(D352,C352),D352))</f>
        <v>8</v>
      </c>
      <c r="B353" s="13" t="n">
        <f aca="false">IF(A353="","",A353/8)</f>
        <v>1</v>
      </c>
      <c r="C353" s="13" t="n">
        <f aca="false">IF(OR(A353="",B353=""),"",A353+B353)</f>
        <v>9</v>
      </c>
      <c r="D353" s="13" t="n">
        <f aca="false">IF(A353="","",A353+SUMIFS(Registros!$AP:$AP,Registros!$C:$C,H353))</f>
        <v>8</v>
      </c>
      <c r="E353" s="13" t="n">
        <f aca="false">IF(A353="","",ROUND(A353-8*B353,2))</f>
        <v>0</v>
      </c>
      <c r="F353" s="13" t="n">
        <f aca="false">IF(OR(D353="",C353=""),"",D353-C353)</f>
        <v>-1</v>
      </c>
      <c r="G353" s="20" t="n">
        <f aca="false">IF(G352="","",G352+1)</f>
        <v>352</v>
      </c>
      <c r="H353" s="15"/>
      <c r="I353" s="14"/>
      <c r="J353" s="16" t="str">
        <f aca="false">IF(OR(H353="",D353="",C353="",G353&lt;$P$2),"",MAX(0,ROUND(D353-C353,2)))</f>
        <v/>
      </c>
      <c r="K353" s="17"/>
      <c r="L353" s="16" t="str">
        <f aca="false">IF(NOT(ISNUMBER(K353)),"",ROUND(K353-N(M352)-N(J353),2))</f>
        <v/>
      </c>
      <c r="M353" s="16" t="n">
        <f aca="false">IF(ISNUMBER(K353),K353,N(M352))</f>
        <v>0</v>
      </c>
      <c r="N353" s="0" t="str">
        <f aca="true">IF(AND(H353="",K353=""),"",TRIM(IF(AND(H353&lt;&gt;"",NOT(AND(LEN(H353)=10,MID(H353,5,1)="-",MID(H353,8,1)="-"))),"Fecha con formato invalido (usa AAAA-MM-DD). ","")&amp;IF(AND(H353&lt;&gt;"",COUNTIF($H$2:$H$367,H353)&gt;1),"Fecha repetida en otro dia. ","")&amp;IF(AND(H353&lt;&gt;"",H352&lt;&gt;"",H353&lt;=H352),"La fecha no es posterior a la del dia anterior. ","")&amp;IF(AND(H353&lt;&gt;"",ISNUMBER(A353),ISNUMBER(D352),ISNUMBER(C352),ABS(A353-IF(G352&gt;=$P$2,MIN(D352,C352),D352))&gt;0.005),"Bank roll inicial no sigue la regla del dia anterior (alguien sobrescribio la formula). ","")&amp;IF(AND(H353&lt;&gt;"",ISNUMBER(B353),ISNUMBER(A353),ABS(B353-A353/8)&gt;0.00001),"Stake distinto de Bank roll/8. ","")&amp;IF(AND(H353&lt;&gt;"",ISNUMBER(E353),ABS(E353)&gt;0.005),"Residuo distinto de 0. ","")&amp;IF(AND(K353&lt;&gt;"",OR(NOT(ISNUMBER(K353)),N(K353)&lt;0)),"Saldo L2 no numerico o negativo. ","")&amp;IF(AND(H353&lt;&gt;"",H353&lt;TEXT(TODAY(),"yyyy-mm-dd"),G353&gt;=$P$2,K353="",OR(N(J353)&gt;0,N(M352)&gt;0)),"Falta cerrar el Saldo L2 de este dia. ","")&amp;IF(AND(H353&lt;&gt;"",SUMPRODUCT((Registros!$C$2:$C$3000=H353)*ISTEXT(Registros!$AP$2:$AP$3000))&gt;0),"Hay P/L guardado como texto en Registros (no suma). ","")))</f>
        <v/>
      </c>
    </row>
    <row r="354" customFormat="false" ht="15" hidden="false" customHeight="true" outlineLevel="0" collapsed="false">
      <c r="A354" s="13" t="n">
        <f aca="false">IF(D353="","",IF(G353&gt;=$P$2,MIN(D353,C353),D353))</f>
        <v>8</v>
      </c>
      <c r="B354" s="13" t="n">
        <f aca="false">IF(A354="","",A354/8)</f>
        <v>1</v>
      </c>
      <c r="C354" s="13" t="n">
        <f aca="false">IF(OR(A354="",B354=""),"",A354+B354)</f>
        <v>9</v>
      </c>
      <c r="D354" s="13" t="n">
        <f aca="false">IF(A354="","",A354+SUMIFS(Registros!$AP:$AP,Registros!$C:$C,H354))</f>
        <v>8</v>
      </c>
      <c r="E354" s="13" t="n">
        <f aca="false">IF(A354="","",ROUND(A354-8*B354,2))</f>
        <v>0</v>
      </c>
      <c r="F354" s="13" t="n">
        <f aca="false">IF(OR(D354="",C354=""),"",D354-C354)</f>
        <v>-1</v>
      </c>
      <c r="G354" s="20" t="n">
        <f aca="false">IF(G353="","",G353+1)</f>
        <v>353</v>
      </c>
      <c r="H354" s="15"/>
      <c r="I354" s="14"/>
      <c r="J354" s="16" t="str">
        <f aca="false">IF(OR(H354="",D354="",C354="",G354&lt;$P$2),"",MAX(0,ROUND(D354-C354,2)))</f>
        <v/>
      </c>
      <c r="K354" s="17"/>
      <c r="L354" s="16" t="str">
        <f aca="false">IF(NOT(ISNUMBER(K354)),"",ROUND(K354-N(M353)-N(J354),2))</f>
        <v/>
      </c>
      <c r="M354" s="16" t="n">
        <f aca="false">IF(ISNUMBER(K354),K354,N(M353))</f>
        <v>0</v>
      </c>
      <c r="N354" s="0" t="str">
        <f aca="true">IF(AND(H354="",K354=""),"",TRIM(IF(AND(H354&lt;&gt;"",NOT(AND(LEN(H354)=10,MID(H354,5,1)="-",MID(H354,8,1)="-"))),"Fecha con formato invalido (usa AAAA-MM-DD). ","")&amp;IF(AND(H354&lt;&gt;"",COUNTIF($H$2:$H$367,H354)&gt;1),"Fecha repetida en otro dia. ","")&amp;IF(AND(H354&lt;&gt;"",H353&lt;&gt;"",H354&lt;=H353),"La fecha no es posterior a la del dia anterior. ","")&amp;IF(AND(H354&lt;&gt;"",ISNUMBER(A354),ISNUMBER(D353),ISNUMBER(C353),ABS(A354-IF(G353&gt;=$P$2,MIN(D353,C353),D353))&gt;0.005),"Bank roll inicial no sigue la regla del dia anterior (alguien sobrescribio la formula). ","")&amp;IF(AND(H354&lt;&gt;"",ISNUMBER(B354),ISNUMBER(A354),ABS(B354-A354/8)&gt;0.00001),"Stake distinto de Bank roll/8. ","")&amp;IF(AND(H354&lt;&gt;"",ISNUMBER(E354),ABS(E354)&gt;0.005),"Residuo distinto de 0. ","")&amp;IF(AND(K354&lt;&gt;"",OR(NOT(ISNUMBER(K354)),N(K354)&lt;0)),"Saldo L2 no numerico o negativo. ","")&amp;IF(AND(H354&lt;&gt;"",H354&lt;TEXT(TODAY(),"yyyy-mm-dd"),G354&gt;=$P$2,K354="",OR(N(J354)&gt;0,N(M353)&gt;0)),"Falta cerrar el Saldo L2 de este dia. ","")&amp;IF(AND(H354&lt;&gt;"",SUMPRODUCT((Registros!$C$2:$C$3000=H354)*ISTEXT(Registros!$AP$2:$AP$3000))&gt;0),"Hay P/L guardado como texto en Registros (no suma). ","")))</f>
        <v/>
      </c>
    </row>
    <row r="355" customFormat="false" ht="15" hidden="false" customHeight="true" outlineLevel="0" collapsed="false">
      <c r="A355" s="13" t="n">
        <f aca="false">IF(D354="","",IF(G354&gt;=$P$2,MIN(D354,C354),D354))</f>
        <v>8</v>
      </c>
      <c r="B355" s="13" t="n">
        <f aca="false">IF(A355="","",A355/8)</f>
        <v>1</v>
      </c>
      <c r="C355" s="13" t="n">
        <f aca="false">IF(OR(A355="",B355=""),"",A355+B355)</f>
        <v>9</v>
      </c>
      <c r="D355" s="13" t="n">
        <f aca="false">IF(A355="","",A355+SUMIFS(Registros!$AP:$AP,Registros!$C:$C,H355))</f>
        <v>8</v>
      </c>
      <c r="E355" s="13" t="n">
        <f aca="false">IF(A355="","",ROUND(A355-8*B355,2))</f>
        <v>0</v>
      </c>
      <c r="F355" s="13" t="n">
        <f aca="false">IF(OR(D355="",C355=""),"",D355-C355)</f>
        <v>-1</v>
      </c>
      <c r="G355" s="20" t="n">
        <f aca="false">IF(G354="","",G354+1)</f>
        <v>354</v>
      </c>
      <c r="H355" s="15"/>
      <c r="I355" s="14"/>
      <c r="J355" s="16" t="str">
        <f aca="false">IF(OR(H355="",D355="",C355="",G355&lt;$P$2),"",MAX(0,ROUND(D355-C355,2)))</f>
        <v/>
      </c>
      <c r="K355" s="17"/>
      <c r="L355" s="16" t="str">
        <f aca="false">IF(NOT(ISNUMBER(K355)),"",ROUND(K355-N(M354)-N(J355),2))</f>
        <v/>
      </c>
      <c r="M355" s="16" t="n">
        <f aca="false">IF(ISNUMBER(K355),K355,N(M354))</f>
        <v>0</v>
      </c>
      <c r="N355" s="0" t="str">
        <f aca="true">IF(AND(H355="",K355=""),"",TRIM(IF(AND(H355&lt;&gt;"",NOT(AND(LEN(H355)=10,MID(H355,5,1)="-",MID(H355,8,1)="-"))),"Fecha con formato invalido (usa AAAA-MM-DD). ","")&amp;IF(AND(H355&lt;&gt;"",COUNTIF($H$2:$H$367,H355)&gt;1),"Fecha repetida en otro dia. ","")&amp;IF(AND(H355&lt;&gt;"",H354&lt;&gt;"",H355&lt;=H354),"La fecha no es posterior a la del dia anterior. ","")&amp;IF(AND(H355&lt;&gt;"",ISNUMBER(A355),ISNUMBER(D354),ISNUMBER(C354),ABS(A355-IF(G354&gt;=$P$2,MIN(D354,C354),D354))&gt;0.005),"Bank roll inicial no sigue la regla del dia anterior (alguien sobrescribio la formula). ","")&amp;IF(AND(H355&lt;&gt;"",ISNUMBER(B355),ISNUMBER(A355),ABS(B355-A355/8)&gt;0.00001),"Stake distinto de Bank roll/8. ","")&amp;IF(AND(H355&lt;&gt;"",ISNUMBER(E355),ABS(E355)&gt;0.005),"Residuo distinto de 0. ","")&amp;IF(AND(K355&lt;&gt;"",OR(NOT(ISNUMBER(K355)),N(K355)&lt;0)),"Saldo L2 no numerico o negativo. ","")&amp;IF(AND(H355&lt;&gt;"",H355&lt;TEXT(TODAY(),"yyyy-mm-dd"),G355&gt;=$P$2,K355="",OR(N(J355)&gt;0,N(M354)&gt;0)),"Falta cerrar el Saldo L2 de este dia. ","")&amp;IF(AND(H355&lt;&gt;"",SUMPRODUCT((Registros!$C$2:$C$3000=H355)*ISTEXT(Registros!$AP$2:$AP$3000))&gt;0),"Hay P/L guardado como texto en Registros (no suma). ","")))</f>
        <v/>
      </c>
    </row>
    <row r="356" customFormat="false" ht="15" hidden="false" customHeight="true" outlineLevel="0" collapsed="false">
      <c r="A356" s="13" t="n">
        <f aca="false">IF(D355="","",IF(G355&gt;=$P$2,MIN(D355,C355),D355))</f>
        <v>8</v>
      </c>
      <c r="B356" s="13" t="n">
        <f aca="false">IF(A356="","",A356/8)</f>
        <v>1</v>
      </c>
      <c r="C356" s="13" t="n">
        <f aca="false">IF(OR(A356="",B356=""),"",A356+B356)</f>
        <v>9</v>
      </c>
      <c r="D356" s="13" t="n">
        <f aca="false">IF(A356="","",A356+SUMIFS(Registros!$AP:$AP,Registros!$C:$C,H356))</f>
        <v>8</v>
      </c>
      <c r="E356" s="13" t="n">
        <f aca="false">IF(A356="","",ROUND(A356-8*B356,2))</f>
        <v>0</v>
      </c>
      <c r="F356" s="13" t="n">
        <f aca="false">IF(OR(D356="",C356=""),"",D356-C356)</f>
        <v>-1</v>
      </c>
      <c r="G356" s="20" t="n">
        <f aca="false">IF(G355="","",G355+1)</f>
        <v>355</v>
      </c>
      <c r="H356" s="15"/>
      <c r="I356" s="14"/>
      <c r="J356" s="16" t="str">
        <f aca="false">IF(OR(H356="",D356="",C356="",G356&lt;$P$2),"",MAX(0,ROUND(D356-C356,2)))</f>
        <v/>
      </c>
      <c r="K356" s="17"/>
      <c r="L356" s="16" t="str">
        <f aca="false">IF(NOT(ISNUMBER(K356)),"",ROUND(K356-N(M355)-N(J356),2))</f>
        <v/>
      </c>
      <c r="M356" s="16" t="n">
        <f aca="false">IF(ISNUMBER(K356),K356,N(M355))</f>
        <v>0</v>
      </c>
      <c r="N356" s="0" t="str">
        <f aca="true">IF(AND(H356="",K356=""),"",TRIM(IF(AND(H356&lt;&gt;"",NOT(AND(LEN(H356)=10,MID(H356,5,1)="-",MID(H356,8,1)="-"))),"Fecha con formato invalido (usa AAAA-MM-DD). ","")&amp;IF(AND(H356&lt;&gt;"",COUNTIF($H$2:$H$367,H356)&gt;1),"Fecha repetida en otro dia. ","")&amp;IF(AND(H356&lt;&gt;"",H355&lt;&gt;"",H356&lt;=H355),"La fecha no es posterior a la del dia anterior. ","")&amp;IF(AND(H356&lt;&gt;"",ISNUMBER(A356),ISNUMBER(D355),ISNUMBER(C355),ABS(A356-IF(G355&gt;=$P$2,MIN(D355,C355),D355))&gt;0.005),"Bank roll inicial no sigue la regla del dia anterior (alguien sobrescribio la formula). ","")&amp;IF(AND(H356&lt;&gt;"",ISNUMBER(B356),ISNUMBER(A356),ABS(B356-A356/8)&gt;0.00001),"Stake distinto de Bank roll/8. ","")&amp;IF(AND(H356&lt;&gt;"",ISNUMBER(E356),ABS(E356)&gt;0.005),"Residuo distinto de 0. ","")&amp;IF(AND(K356&lt;&gt;"",OR(NOT(ISNUMBER(K356)),N(K356)&lt;0)),"Saldo L2 no numerico o negativo. ","")&amp;IF(AND(H356&lt;&gt;"",H356&lt;TEXT(TODAY(),"yyyy-mm-dd"),G356&gt;=$P$2,K356="",OR(N(J356)&gt;0,N(M355)&gt;0)),"Falta cerrar el Saldo L2 de este dia. ","")&amp;IF(AND(H356&lt;&gt;"",SUMPRODUCT((Registros!$C$2:$C$3000=H356)*ISTEXT(Registros!$AP$2:$AP$3000))&gt;0),"Hay P/L guardado como texto en Registros (no suma). ","")))</f>
        <v/>
      </c>
    </row>
    <row r="357" customFormat="false" ht="15" hidden="false" customHeight="true" outlineLevel="0" collapsed="false">
      <c r="A357" s="13" t="n">
        <f aca="false">IF(D356="","",IF(G356&gt;=$P$2,MIN(D356,C356),D356))</f>
        <v>8</v>
      </c>
      <c r="B357" s="13" t="n">
        <f aca="false">IF(A357="","",A357/8)</f>
        <v>1</v>
      </c>
      <c r="C357" s="13" t="n">
        <f aca="false">IF(OR(A357="",B357=""),"",A357+B357)</f>
        <v>9</v>
      </c>
      <c r="D357" s="13" t="n">
        <f aca="false">IF(A357="","",A357+SUMIFS(Registros!$AP:$AP,Registros!$C:$C,H357))</f>
        <v>8</v>
      </c>
      <c r="E357" s="13" t="n">
        <f aca="false">IF(A357="","",ROUND(A357-8*B357,2))</f>
        <v>0</v>
      </c>
      <c r="F357" s="13" t="n">
        <f aca="false">IF(OR(D357="",C357=""),"",D357-C357)</f>
        <v>-1</v>
      </c>
      <c r="G357" s="20" t="n">
        <f aca="false">IF(G356="","",G356+1)</f>
        <v>356</v>
      </c>
      <c r="H357" s="15"/>
      <c r="I357" s="14"/>
      <c r="J357" s="16" t="str">
        <f aca="false">IF(OR(H357="",D357="",C357="",G357&lt;$P$2),"",MAX(0,ROUND(D357-C357,2)))</f>
        <v/>
      </c>
      <c r="K357" s="17"/>
      <c r="L357" s="16" t="str">
        <f aca="false">IF(NOT(ISNUMBER(K357)),"",ROUND(K357-N(M356)-N(J357),2))</f>
        <v/>
      </c>
      <c r="M357" s="16" t="n">
        <f aca="false">IF(ISNUMBER(K357),K357,N(M356))</f>
        <v>0</v>
      </c>
      <c r="N357" s="0" t="str">
        <f aca="true">IF(AND(H357="",K357=""),"",TRIM(IF(AND(H357&lt;&gt;"",NOT(AND(LEN(H357)=10,MID(H357,5,1)="-",MID(H357,8,1)="-"))),"Fecha con formato invalido (usa AAAA-MM-DD). ","")&amp;IF(AND(H357&lt;&gt;"",COUNTIF($H$2:$H$367,H357)&gt;1),"Fecha repetida en otro dia. ","")&amp;IF(AND(H357&lt;&gt;"",H356&lt;&gt;"",H357&lt;=H356),"La fecha no es posterior a la del dia anterior. ","")&amp;IF(AND(H357&lt;&gt;"",ISNUMBER(A357),ISNUMBER(D356),ISNUMBER(C356),ABS(A357-IF(G356&gt;=$P$2,MIN(D356,C356),D356))&gt;0.005),"Bank roll inicial no sigue la regla del dia anterior (alguien sobrescribio la formula). ","")&amp;IF(AND(H357&lt;&gt;"",ISNUMBER(B357),ISNUMBER(A357),ABS(B357-A357/8)&gt;0.00001),"Stake distinto de Bank roll/8. ","")&amp;IF(AND(H357&lt;&gt;"",ISNUMBER(E357),ABS(E357)&gt;0.005),"Residuo distinto de 0. ","")&amp;IF(AND(K357&lt;&gt;"",OR(NOT(ISNUMBER(K357)),N(K357)&lt;0)),"Saldo L2 no numerico o negativo. ","")&amp;IF(AND(H357&lt;&gt;"",H357&lt;TEXT(TODAY(),"yyyy-mm-dd"),G357&gt;=$P$2,K357="",OR(N(J357)&gt;0,N(M356)&gt;0)),"Falta cerrar el Saldo L2 de este dia. ","")&amp;IF(AND(H357&lt;&gt;"",SUMPRODUCT((Registros!$C$2:$C$3000=H357)*ISTEXT(Registros!$AP$2:$AP$3000))&gt;0),"Hay P/L guardado como texto en Registros (no suma). ","")))</f>
        <v/>
      </c>
    </row>
    <row r="358" customFormat="false" ht="15" hidden="false" customHeight="true" outlineLevel="0" collapsed="false">
      <c r="A358" s="13" t="n">
        <f aca="false">IF(D357="","",IF(G357&gt;=$P$2,MIN(D357,C357),D357))</f>
        <v>8</v>
      </c>
      <c r="B358" s="13" t="n">
        <f aca="false">IF(A358="","",A358/8)</f>
        <v>1</v>
      </c>
      <c r="C358" s="13" t="n">
        <f aca="false">IF(OR(A358="",B358=""),"",A358+B358)</f>
        <v>9</v>
      </c>
      <c r="D358" s="13" t="n">
        <f aca="false">IF(A358="","",A358+SUMIFS(Registros!$AP:$AP,Registros!$C:$C,H358))</f>
        <v>8</v>
      </c>
      <c r="E358" s="13" t="n">
        <f aca="false">IF(A358="","",ROUND(A358-8*B358,2))</f>
        <v>0</v>
      </c>
      <c r="F358" s="13" t="n">
        <f aca="false">IF(OR(D358="",C358=""),"",D358-C358)</f>
        <v>-1</v>
      </c>
      <c r="G358" s="20" t="n">
        <f aca="false">IF(G357="","",G357+1)</f>
        <v>357</v>
      </c>
      <c r="H358" s="15"/>
      <c r="I358" s="14"/>
      <c r="J358" s="16" t="str">
        <f aca="false">IF(OR(H358="",D358="",C358="",G358&lt;$P$2),"",MAX(0,ROUND(D358-C358,2)))</f>
        <v/>
      </c>
      <c r="K358" s="17"/>
      <c r="L358" s="16" t="str">
        <f aca="false">IF(NOT(ISNUMBER(K358)),"",ROUND(K358-N(M357)-N(J358),2))</f>
        <v/>
      </c>
      <c r="M358" s="16" t="n">
        <f aca="false">IF(ISNUMBER(K358),K358,N(M357))</f>
        <v>0</v>
      </c>
      <c r="N358" s="0" t="str">
        <f aca="true">IF(AND(H358="",K358=""),"",TRIM(IF(AND(H358&lt;&gt;"",NOT(AND(LEN(H358)=10,MID(H358,5,1)="-",MID(H358,8,1)="-"))),"Fecha con formato invalido (usa AAAA-MM-DD). ","")&amp;IF(AND(H358&lt;&gt;"",COUNTIF($H$2:$H$367,H358)&gt;1),"Fecha repetida en otro dia. ","")&amp;IF(AND(H358&lt;&gt;"",H357&lt;&gt;"",H358&lt;=H357),"La fecha no es posterior a la del dia anterior. ","")&amp;IF(AND(H358&lt;&gt;"",ISNUMBER(A358),ISNUMBER(D357),ISNUMBER(C357),ABS(A358-IF(G357&gt;=$P$2,MIN(D357,C357),D357))&gt;0.005),"Bank roll inicial no sigue la regla del dia anterior (alguien sobrescribio la formula). ","")&amp;IF(AND(H358&lt;&gt;"",ISNUMBER(B358),ISNUMBER(A358),ABS(B358-A358/8)&gt;0.00001),"Stake distinto de Bank roll/8. ","")&amp;IF(AND(H358&lt;&gt;"",ISNUMBER(E358),ABS(E358)&gt;0.005),"Residuo distinto de 0. ","")&amp;IF(AND(K358&lt;&gt;"",OR(NOT(ISNUMBER(K358)),N(K358)&lt;0)),"Saldo L2 no numerico o negativo. ","")&amp;IF(AND(H358&lt;&gt;"",H358&lt;TEXT(TODAY(),"yyyy-mm-dd"),G358&gt;=$P$2,K358="",OR(N(J358)&gt;0,N(M357)&gt;0)),"Falta cerrar el Saldo L2 de este dia. ","")&amp;IF(AND(H358&lt;&gt;"",SUMPRODUCT((Registros!$C$2:$C$3000=H358)*ISTEXT(Registros!$AP$2:$AP$3000))&gt;0),"Hay P/L guardado como texto en Registros (no suma). ","")))</f>
        <v/>
      </c>
    </row>
    <row r="359" customFormat="false" ht="15" hidden="false" customHeight="true" outlineLevel="0" collapsed="false">
      <c r="A359" s="13" t="n">
        <f aca="false">IF(D358="","",IF(G358&gt;=$P$2,MIN(D358,C358),D358))</f>
        <v>8</v>
      </c>
      <c r="B359" s="13" t="n">
        <f aca="false">IF(A359="","",A359/8)</f>
        <v>1</v>
      </c>
      <c r="C359" s="13" t="n">
        <f aca="false">IF(OR(A359="",B359=""),"",A359+B359)</f>
        <v>9</v>
      </c>
      <c r="D359" s="13" t="n">
        <f aca="false">IF(A359="","",A359+SUMIFS(Registros!$AP:$AP,Registros!$C:$C,H359))</f>
        <v>8</v>
      </c>
      <c r="E359" s="13" t="n">
        <f aca="false">IF(A359="","",ROUND(A359-8*B359,2))</f>
        <v>0</v>
      </c>
      <c r="F359" s="13" t="n">
        <f aca="false">IF(OR(D359="",C359=""),"",D359-C359)</f>
        <v>-1</v>
      </c>
      <c r="G359" s="20" t="n">
        <f aca="false">IF(G358="","",G358+1)</f>
        <v>358</v>
      </c>
      <c r="H359" s="15"/>
      <c r="I359" s="14"/>
      <c r="J359" s="16" t="str">
        <f aca="false">IF(OR(H359="",D359="",C359="",G359&lt;$P$2),"",MAX(0,ROUND(D359-C359,2)))</f>
        <v/>
      </c>
      <c r="K359" s="17"/>
      <c r="L359" s="16" t="str">
        <f aca="false">IF(NOT(ISNUMBER(K359)),"",ROUND(K359-N(M358)-N(J359),2))</f>
        <v/>
      </c>
      <c r="M359" s="16" t="n">
        <f aca="false">IF(ISNUMBER(K359),K359,N(M358))</f>
        <v>0</v>
      </c>
      <c r="N359" s="0" t="str">
        <f aca="true">IF(AND(H359="",K359=""),"",TRIM(IF(AND(H359&lt;&gt;"",NOT(AND(LEN(H359)=10,MID(H359,5,1)="-",MID(H359,8,1)="-"))),"Fecha con formato invalido (usa AAAA-MM-DD). ","")&amp;IF(AND(H359&lt;&gt;"",COUNTIF($H$2:$H$367,H359)&gt;1),"Fecha repetida en otro dia. ","")&amp;IF(AND(H359&lt;&gt;"",H358&lt;&gt;"",H359&lt;=H358),"La fecha no es posterior a la del dia anterior. ","")&amp;IF(AND(H359&lt;&gt;"",ISNUMBER(A359),ISNUMBER(D358),ISNUMBER(C358),ABS(A359-IF(G358&gt;=$P$2,MIN(D358,C358),D358))&gt;0.005),"Bank roll inicial no sigue la regla del dia anterior (alguien sobrescribio la formula). ","")&amp;IF(AND(H359&lt;&gt;"",ISNUMBER(B359),ISNUMBER(A359),ABS(B359-A359/8)&gt;0.00001),"Stake distinto de Bank roll/8. ","")&amp;IF(AND(H359&lt;&gt;"",ISNUMBER(E359),ABS(E359)&gt;0.005),"Residuo distinto de 0. ","")&amp;IF(AND(K359&lt;&gt;"",OR(NOT(ISNUMBER(K359)),N(K359)&lt;0)),"Saldo L2 no numerico o negativo. ","")&amp;IF(AND(H359&lt;&gt;"",H359&lt;TEXT(TODAY(),"yyyy-mm-dd"),G359&gt;=$P$2,K359="",OR(N(J359)&gt;0,N(M358)&gt;0)),"Falta cerrar el Saldo L2 de este dia. ","")&amp;IF(AND(H359&lt;&gt;"",SUMPRODUCT((Registros!$C$2:$C$3000=H359)*ISTEXT(Registros!$AP$2:$AP$3000))&gt;0),"Hay P/L guardado como texto en Registros (no suma). ","")))</f>
        <v/>
      </c>
    </row>
    <row r="360" customFormat="false" ht="15" hidden="false" customHeight="true" outlineLevel="0" collapsed="false">
      <c r="A360" s="13" t="n">
        <f aca="false">IF(D359="","",IF(G359&gt;=$P$2,MIN(D359,C359),D359))</f>
        <v>8</v>
      </c>
      <c r="B360" s="13" t="n">
        <f aca="false">IF(A360="","",A360/8)</f>
        <v>1</v>
      </c>
      <c r="C360" s="13" t="n">
        <f aca="false">IF(OR(A360="",B360=""),"",A360+B360)</f>
        <v>9</v>
      </c>
      <c r="D360" s="13" t="n">
        <f aca="false">IF(A360="","",A360+SUMIFS(Registros!$AP:$AP,Registros!$C:$C,H360))</f>
        <v>8</v>
      </c>
      <c r="E360" s="13" t="n">
        <f aca="false">IF(A360="","",ROUND(A360-8*B360,2))</f>
        <v>0</v>
      </c>
      <c r="F360" s="13" t="n">
        <f aca="false">IF(OR(D360="",C360=""),"",D360-C360)</f>
        <v>-1</v>
      </c>
      <c r="G360" s="20" t="n">
        <f aca="false">IF(G359="","",G359+1)</f>
        <v>359</v>
      </c>
      <c r="H360" s="15"/>
      <c r="I360" s="14"/>
      <c r="J360" s="16" t="str">
        <f aca="false">IF(OR(H360="",D360="",C360="",G360&lt;$P$2),"",MAX(0,ROUND(D360-C360,2)))</f>
        <v/>
      </c>
      <c r="K360" s="17"/>
      <c r="L360" s="16" t="str">
        <f aca="false">IF(NOT(ISNUMBER(K360)),"",ROUND(K360-N(M359)-N(J360),2))</f>
        <v/>
      </c>
      <c r="M360" s="16" t="n">
        <f aca="false">IF(ISNUMBER(K360),K360,N(M359))</f>
        <v>0</v>
      </c>
      <c r="N360" s="0" t="str">
        <f aca="true">IF(AND(H360="",K360=""),"",TRIM(IF(AND(H360&lt;&gt;"",NOT(AND(LEN(H360)=10,MID(H360,5,1)="-",MID(H360,8,1)="-"))),"Fecha con formato invalido (usa AAAA-MM-DD). ","")&amp;IF(AND(H360&lt;&gt;"",COUNTIF($H$2:$H$367,H360)&gt;1),"Fecha repetida en otro dia. ","")&amp;IF(AND(H360&lt;&gt;"",H359&lt;&gt;"",H360&lt;=H359),"La fecha no es posterior a la del dia anterior. ","")&amp;IF(AND(H360&lt;&gt;"",ISNUMBER(A360),ISNUMBER(D359),ISNUMBER(C359),ABS(A360-IF(G359&gt;=$P$2,MIN(D359,C359),D359))&gt;0.005),"Bank roll inicial no sigue la regla del dia anterior (alguien sobrescribio la formula). ","")&amp;IF(AND(H360&lt;&gt;"",ISNUMBER(B360),ISNUMBER(A360),ABS(B360-A360/8)&gt;0.00001),"Stake distinto de Bank roll/8. ","")&amp;IF(AND(H360&lt;&gt;"",ISNUMBER(E360),ABS(E360)&gt;0.005),"Residuo distinto de 0. ","")&amp;IF(AND(K360&lt;&gt;"",OR(NOT(ISNUMBER(K360)),N(K360)&lt;0)),"Saldo L2 no numerico o negativo. ","")&amp;IF(AND(H360&lt;&gt;"",H360&lt;TEXT(TODAY(),"yyyy-mm-dd"),G360&gt;=$P$2,K360="",OR(N(J360)&gt;0,N(M359)&gt;0)),"Falta cerrar el Saldo L2 de este dia. ","")&amp;IF(AND(H360&lt;&gt;"",SUMPRODUCT((Registros!$C$2:$C$3000=H360)*ISTEXT(Registros!$AP$2:$AP$3000))&gt;0),"Hay P/L guardado como texto en Registros (no suma). ","")))</f>
        <v/>
      </c>
    </row>
    <row r="361" customFormat="false" ht="15" hidden="false" customHeight="true" outlineLevel="0" collapsed="false">
      <c r="A361" s="13" t="n">
        <f aca="false">IF(D360="","",IF(G360&gt;=$P$2,MIN(D360,C360),D360))</f>
        <v>8</v>
      </c>
      <c r="B361" s="13" t="n">
        <f aca="false">IF(A361="","",A361/8)</f>
        <v>1</v>
      </c>
      <c r="C361" s="13" t="n">
        <f aca="false">IF(OR(A361="",B361=""),"",A361+B361)</f>
        <v>9</v>
      </c>
      <c r="D361" s="13" t="n">
        <f aca="false">IF(A361="","",A361+SUMIFS(Registros!$AP:$AP,Registros!$C:$C,H361))</f>
        <v>8</v>
      </c>
      <c r="E361" s="13" t="n">
        <f aca="false">IF(A361="","",ROUND(A361-8*B361,2))</f>
        <v>0</v>
      </c>
      <c r="F361" s="13" t="n">
        <f aca="false">IF(OR(D361="",C361=""),"",D361-C361)</f>
        <v>-1</v>
      </c>
      <c r="G361" s="20" t="n">
        <f aca="false">IF(G360="","",G360+1)</f>
        <v>360</v>
      </c>
      <c r="H361" s="15"/>
      <c r="I361" s="14"/>
      <c r="J361" s="16" t="str">
        <f aca="false">IF(OR(H361="",D361="",C361="",G361&lt;$P$2),"",MAX(0,ROUND(D361-C361,2)))</f>
        <v/>
      </c>
      <c r="K361" s="17"/>
      <c r="L361" s="16" t="str">
        <f aca="false">IF(NOT(ISNUMBER(K361)),"",ROUND(K361-N(M360)-N(J361),2))</f>
        <v/>
      </c>
      <c r="M361" s="16" t="n">
        <f aca="false">IF(ISNUMBER(K361),K361,N(M360))</f>
        <v>0</v>
      </c>
      <c r="N361" s="0" t="str">
        <f aca="true">IF(AND(H361="",K361=""),"",TRIM(IF(AND(H361&lt;&gt;"",NOT(AND(LEN(H361)=10,MID(H361,5,1)="-",MID(H361,8,1)="-"))),"Fecha con formato invalido (usa AAAA-MM-DD). ","")&amp;IF(AND(H361&lt;&gt;"",COUNTIF($H$2:$H$367,H361)&gt;1),"Fecha repetida en otro dia. ","")&amp;IF(AND(H361&lt;&gt;"",H360&lt;&gt;"",H361&lt;=H360),"La fecha no es posterior a la del dia anterior. ","")&amp;IF(AND(H361&lt;&gt;"",ISNUMBER(A361),ISNUMBER(D360),ISNUMBER(C360),ABS(A361-IF(G360&gt;=$P$2,MIN(D360,C360),D360))&gt;0.005),"Bank roll inicial no sigue la regla del dia anterior (alguien sobrescribio la formula). ","")&amp;IF(AND(H361&lt;&gt;"",ISNUMBER(B361),ISNUMBER(A361),ABS(B361-A361/8)&gt;0.00001),"Stake distinto de Bank roll/8. ","")&amp;IF(AND(H361&lt;&gt;"",ISNUMBER(E361),ABS(E361)&gt;0.005),"Residuo distinto de 0. ","")&amp;IF(AND(K361&lt;&gt;"",OR(NOT(ISNUMBER(K361)),N(K361)&lt;0)),"Saldo L2 no numerico o negativo. ","")&amp;IF(AND(H361&lt;&gt;"",H361&lt;TEXT(TODAY(),"yyyy-mm-dd"),G361&gt;=$P$2,K361="",OR(N(J361)&gt;0,N(M360)&gt;0)),"Falta cerrar el Saldo L2 de este dia. ","")&amp;IF(AND(H361&lt;&gt;"",SUMPRODUCT((Registros!$C$2:$C$3000=H361)*ISTEXT(Registros!$AP$2:$AP$3000))&gt;0),"Hay P/L guardado como texto en Registros (no suma). ","")))</f>
        <v/>
      </c>
    </row>
    <row r="362" customFormat="false" ht="15" hidden="false" customHeight="true" outlineLevel="0" collapsed="false">
      <c r="A362" s="13" t="n">
        <f aca="false">IF(D361="","",IF(G361&gt;=$P$2,MIN(D361,C361),D361))</f>
        <v>8</v>
      </c>
      <c r="B362" s="13" t="n">
        <f aca="false">IF(A362="","",A362/8)</f>
        <v>1</v>
      </c>
      <c r="C362" s="13" t="n">
        <f aca="false">IF(OR(A362="",B362=""),"",A362+B362)</f>
        <v>9</v>
      </c>
      <c r="D362" s="13" t="n">
        <f aca="false">IF(A362="","",A362+SUMIFS(Registros!$AP:$AP,Registros!$C:$C,H362))</f>
        <v>8</v>
      </c>
      <c r="E362" s="13" t="n">
        <f aca="false">IF(A362="","",ROUND(A362-8*B362,2))</f>
        <v>0</v>
      </c>
      <c r="F362" s="13" t="n">
        <f aca="false">IF(OR(D362="",C362=""),"",D362-C362)</f>
        <v>-1</v>
      </c>
      <c r="G362" s="20" t="n">
        <f aca="false">IF(G361="","",G361+1)</f>
        <v>361</v>
      </c>
      <c r="H362" s="15"/>
      <c r="I362" s="14"/>
      <c r="J362" s="16" t="str">
        <f aca="false">IF(OR(H362="",D362="",C362="",G362&lt;$P$2),"",MAX(0,ROUND(D362-C362,2)))</f>
        <v/>
      </c>
      <c r="K362" s="17"/>
      <c r="L362" s="16" t="str">
        <f aca="false">IF(NOT(ISNUMBER(K362)),"",ROUND(K362-N(M361)-N(J362),2))</f>
        <v/>
      </c>
      <c r="M362" s="16" t="n">
        <f aca="false">IF(ISNUMBER(K362),K362,N(M361))</f>
        <v>0</v>
      </c>
      <c r="N362" s="0" t="str">
        <f aca="true">IF(AND(H362="",K362=""),"",TRIM(IF(AND(H362&lt;&gt;"",NOT(AND(LEN(H362)=10,MID(H362,5,1)="-",MID(H362,8,1)="-"))),"Fecha con formato invalido (usa AAAA-MM-DD). ","")&amp;IF(AND(H362&lt;&gt;"",COUNTIF($H$2:$H$367,H362)&gt;1),"Fecha repetida en otro dia. ","")&amp;IF(AND(H362&lt;&gt;"",H361&lt;&gt;"",H362&lt;=H361),"La fecha no es posterior a la del dia anterior. ","")&amp;IF(AND(H362&lt;&gt;"",ISNUMBER(A362),ISNUMBER(D361),ISNUMBER(C361),ABS(A362-IF(G361&gt;=$P$2,MIN(D361,C361),D361))&gt;0.005),"Bank roll inicial no sigue la regla del dia anterior (alguien sobrescribio la formula). ","")&amp;IF(AND(H362&lt;&gt;"",ISNUMBER(B362),ISNUMBER(A362),ABS(B362-A362/8)&gt;0.00001),"Stake distinto de Bank roll/8. ","")&amp;IF(AND(H362&lt;&gt;"",ISNUMBER(E362),ABS(E362)&gt;0.005),"Residuo distinto de 0. ","")&amp;IF(AND(K362&lt;&gt;"",OR(NOT(ISNUMBER(K362)),N(K362)&lt;0)),"Saldo L2 no numerico o negativo. ","")&amp;IF(AND(H362&lt;&gt;"",H362&lt;TEXT(TODAY(),"yyyy-mm-dd"),G362&gt;=$P$2,K362="",OR(N(J362)&gt;0,N(M361)&gt;0)),"Falta cerrar el Saldo L2 de este dia. ","")&amp;IF(AND(H362&lt;&gt;"",SUMPRODUCT((Registros!$C$2:$C$3000=H362)*ISTEXT(Registros!$AP$2:$AP$3000))&gt;0),"Hay P/L guardado como texto en Registros (no suma). ","")))</f>
        <v/>
      </c>
    </row>
    <row r="363" customFormat="false" ht="15" hidden="false" customHeight="true" outlineLevel="0" collapsed="false">
      <c r="A363" s="13" t="n">
        <f aca="false">IF(D362="","",IF(G362&gt;=$P$2,MIN(D362,C362),D362))</f>
        <v>8</v>
      </c>
      <c r="B363" s="13" t="n">
        <f aca="false">IF(A363="","",A363/8)</f>
        <v>1</v>
      </c>
      <c r="C363" s="13" t="n">
        <f aca="false">IF(OR(A363="",B363=""),"",A363+B363)</f>
        <v>9</v>
      </c>
      <c r="D363" s="13" t="n">
        <f aca="false">IF(A363="","",A363+SUMIFS(Registros!$AP:$AP,Registros!$C:$C,H363))</f>
        <v>8</v>
      </c>
      <c r="E363" s="13" t="n">
        <f aca="false">IF(A363="","",ROUND(A363-8*B363,2))</f>
        <v>0</v>
      </c>
      <c r="F363" s="13" t="n">
        <f aca="false">IF(OR(D363="",C363=""),"",D363-C363)</f>
        <v>-1</v>
      </c>
      <c r="G363" s="20" t="n">
        <f aca="false">IF(G362="","",G362+1)</f>
        <v>362</v>
      </c>
      <c r="H363" s="15"/>
      <c r="I363" s="14"/>
      <c r="J363" s="16" t="str">
        <f aca="false">IF(OR(H363="",D363="",C363="",G363&lt;$P$2),"",MAX(0,ROUND(D363-C363,2)))</f>
        <v/>
      </c>
      <c r="K363" s="17"/>
      <c r="L363" s="16" t="str">
        <f aca="false">IF(NOT(ISNUMBER(K363)),"",ROUND(K363-N(M362)-N(J363),2))</f>
        <v/>
      </c>
      <c r="M363" s="16" t="n">
        <f aca="false">IF(ISNUMBER(K363),K363,N(M362))</f>
        <v>0</v>
      </c>
      <c r="N363" s="0" t="str">
        <f aca="true">IF(AND(H363="",K363=""),"",TRIM(IF(AND(H363&lt;&gt;"",NOT(AND(LEN(H363)=10,MID(H363,5,1)="-",MID(H363,8,1)="-"))),"Fecha con formato invalido (usa AAAA-MM-DD). ","")&amp;IF(AND(H363&lt;&gt;"",COUNTIF($H$2:$H$367,H363)&gt;1),"Fecha repetida en otro dia. ","")&amp;IF(AND(H363&lt;&gt;"",H362&lt;&gt;"",H363&lt;=H362),"La fecha no es posterior a la del dia anterior. ","")&amp;IF(AND(H363&lt;&gt;"",ISNUMBER(A363),ISNUMBER(D362),ISNUMBER(C362),ABS(A363-IF(G362&gt;=$P$2,MIN(D362,C362),D362))&gt;0.005),"Bank roll inicial no sigue la regla del dia anterior (alguien sobrescribio la formula). ","")&amp;IF(AND(H363&lt;&gt;"",ISNUMBER(B363),ISNUMBER(A363),ABS(B363-A363/8)&gt;0.00001),"Stake distinto de Bank roll/8. ","")&amp;IF(AND(H363&lt;&gt;"",ISNUMBER(E363),ABS(E363)&gt;0.005),"Residuo distinto de 0. ","")&amp;IF(AND(K363&lt;&gt;"",OR(NOT(ISNUMBER(K363)),N(K363)&lt;0)),"Saldo L2 no numerico o negativo. ","")&amp;IF(AND(H363&lt;&gt;"",H363&lt;TEXT(TODAY(),"yyyy-mm-dd"),G363&gt;=$P$2,K363="",OR(N(J363)&gt;0,N(M362)&gt;0)),"Falta cerrar el Saldo L2 de este dia. ","")&amp;IF(AND(H363&lt;&gt;"",SUMPRODUCT((Registros!$C$2:$C$3000=H363)*ISTEXT(Registros!$AP$2:$AP$3000))&gt;0),"Hay P/L guardado como texto en Registros (no suma). ","")))</f>
        <v/>
      </c>
    </row>
    <row r="364" customFormat="false" ht="15" hidden="false" customHeight="true" outlineLevel="0" collapsed="false">
      <c r="A364" s="13" t="n">
        <f aca="false">IF(D363="","",IF(G363&gt;=$P$2,MIN(D363,C363),D363))</f>
        <v>8</v>
      </c>
      <c r="B364" s="13" t="n">
        <f aca="false">IF(A364="","",A364/8)</f>
        <v>1</v>
      </c>
      <c r="C364" s="13" t="n">
        <f aca="false">IF(OR(A364="",B364=""),"",A364+B364)</f>
        <v>9</v>
      </c>
      <c r="D364" s="13" t="n">
        <f aca="false">IF(A364="","",A364+SUMIFS(Registros!$AP:$AP,Registros!$C:$C,H364))</f>
        <v>8</v>
      </c>
      <c r="E364" s="13" t="n">
        <f aca="false">IF(A364="","",ROUND(A364-8*B364,2))</f>
        <v>0</v>
      </c>
      <c r="F364" s="13" t="n">
        <f aca="false">IF(OR(D364="",C364=""),"",D364-C364)</f>
        <v>-1</v>
      </c>
      <c r="G364" s="20" t="n">
        <f aca="false">IF(G363="","",G363+1)</f>
        <v>363</v>
      </c>
      <c r="H364" s="15"/>
      <c r="I364" s="14"/>
      <c r="J364" s="16" t="str">
        <f aca="false">IF(OR(H364="",D364="",C364="",G364&lt;$P$2),"",MAX(0,ROUND(D364-C364,2)))</f>
        <v/>
      </c>
      <c r="K364" s="17"/>
      <c r="L364" s="16" t="str">
        <f aca="false">IF(NOT(ISNUMBER(K364)),"",ROUND(K364-N(M363)-N(J364),2))</f>
        <v/>
      </c>
      <c r="M364" s="16" t="n">
        <f aca="false">IF(ISNUMBER(K364),K364,N(M363))</f>
        <v>0</v>
      </c>
      <c r="N364" s="0" t="str">
        <f aca="true">IF(AND(H364="",K364=""),"",TRIM(IF(AND(H364&lt;&gt;"",NOT(AND(LEN(H364)=10,MID(H364,5,1)="-",MID(H364,8,1)="-"))),"Fecha con formato invalido (usa AAAA-MM-DD). ","")&amp;IF(AND(H364&lt;&gt;"",COUNTIF($H$2:$H$367,H364)&gt;1),"Fecha repetida en otro dia. ","")&amp;IF(AND(H364&lt;&gt;"",H363&lt;&gt;"",H364&lt;=H363),"La fecha no es posterior a la del dia anterior. ","")&amp;IF(AND(H364&lt;&gt;"",ISNUMBER(A364),ISNUMBER(D363),ISNUMBER(C363),ABS(A364-IF(G363&gt;=$P$2,MIN(D363,C363),D363))&gt;0.005),"Bank roll inicial no sigue la regla del dia anterior (alguien sobrescribio la formula). ","")&amp;IF(AND(H364&lt;&gt;"",ISNUMBER(B364),ISNUMBER(A364),ABS(B364-A364/8)&gt;0.00001),"Stake distinto de Bank roll/8. ","")&amp;IF(AND(H364&lt;&gt;"",ISNUMBER(E364),ABS(E364)&gt;0.005),"Residuo distinto de 0. ","")&amp;IF(AND(K364&lt;&gt;"",OR(NOT(ISNUMBER(K364)),N(K364)&lt;0)),"Saldo L2 no numerico o negativo. ","")&amp;IF(AND(H364&lt;&gt;"",H364&lt;TEXT(TODAY(),"yyyy-mm-dd"),G364&gt;=$P$2,K364="",OR(N(J364)&gt;0,N(M363)&gt;0)),"Falta cerrar el Saldo L2 de este dia. ","")&amp;IF(AND(H364&lt;&gt;"",SUMPRODUCT((Registros!$C$2:$C$3000=H364)*ISTEXT(Registros!$AP$2:$AP$3000))&gt;0),"Hay P/L guardado como texto en Registros (no suma). ","")))</f>
        <v/>
      </c>
    </row>
    <row r="365" customFormat="false" ht="15" hidden="false" customHeight="true" outlineLevel="0" collapsed="false">
      <c r="A365" s="13" t="n">
        <f aca="false">IF(D364="","",IF(G364&gt;=$P$2,MIN(D364,C364),D364))</f>
        <v>8</v>
      </c>
      <c r="B365" s="13" t="n">
        <f aca="false">IF(A365="","",A365/8)</f>
        <v>1</v>
      </c>
      <c r="C365" s="13" t="n">
        <f aca="false">IF(OR(A365="",B365=""),"",A365+B365)</f>
        <v>9</v>
      </c>
      <c r="D365" s="13" t="n">
        <f aca="false">IF(A365="","",A365+SUMIFS(Registros!$AP:$AP,Registros!$C:$C,H365))</f>
        <v>8</v>
      </c>
      <c r="E365" s="13" t="n">
        <f aca="false">IF(A365="","",ROUND(A365-8*B365,2))</f>
        <v>0</v>
      </c>
      <c r="F365" s="13" t="n">
        <f aca="false">IF(OR(D365="",C365=""),"",D365-C365)</f>
        <v>-1</v>
      </c>
      <c r="G365" s="20" t="n">
        <f aca="false">IF(G364="","",G364+1)</f>
        <v>364</v>
      </c>
      <c r="H365" s="15"/>
      <c r="I365" s="14"/>
      <c r="J365" s="16" t="str">
        <f aca="false">IF(OR(H365="",D365="",C365="",G365&lt;$P$2),"",MAX(0,ROUND(D365-C365,2)))</f>
        <v/>
      </c>
      <c r="K365" s="17"/>
      <c r="L365" s="16" t="str">
        <f aca="false">IF(NOT(ISNUMBER(K365)),"",ROUND(K365-N(M364)-N(J365),2))</f>
        <v/>
      </c>
      <c r="M365" s="16" t="n">
        <f aca="false">IF(ISNUMBER(K365),K365,N(M364))</f>
        <v>0</v>
      </c>
      <c r="N365" s="0" t="str">
        <f aca="true">IF(AND(H365="",K365=""),"",TRIM(IF(AND(H365&lt;&gt;"",NOT(AND(LEN(H365)=10,MID(H365,5,1)="-",MID(H365,8,1)="-"))),"Fecha con formato invalido (usa AAAA-MM-DD). ","")&amp;IF(AND(H365&lt;&gt;"",COUNTIF($H$2:$H$367,H365)&gt;1),"Fecha repetida en otro dia. ","")&amp;IF(AND(H365&lt;&gt;"",H364&lt;&gt;"",H365&lt;=H364),"La fecha no es posterior a la del dia anterior. ","")&amp;IF(AND(H365&lt;&gt;"",ISNUMBER(A365),ISNUMBER(D364),ISNUMBER(C364),ABS(A365-IF(G364&gt;=$P$2,MIN(D364,C364),D364))&gt;0.005),"Bank roll inicial no sigue la regla del dia anterior (alguien sobrescribio la formula). ","")&amp;IF(AND(H365&lt;&gt;"",ISNUMBER(B365),ISNUMBER(A365),ABS(B365-A365/8)&gt;0.00001),"Stake distinto de Bank roll/8. ","")&amp;IF(AND(H365&lt;&gt;"",ISNUMBER(E365),ABS(E365)&gt;0.005),"Residuo distinto de 0. ","")&amp;IF(AND(K365&lt;&gt;"",OR(NOT(ISNUMBER(K365)),N(K365)&lt;0)),"Saldo L2 no numerico o negativo. ","")&amp;IF(AND(H365&lt;&gt;"",H365&lt;TEXT(TODAY(),"yyyy-mm-dd"),G365&gt;=$P$2,K365="",OR(N(J365)&gt;0,N(M364)&gt;0)),"Falta cerrar el Saldo L2 de este dia. ","")&amp;IF(AND(H365&lt;&gt;"",SUMPRODUCT((Registros!$C$2:$C$3000=H365)*ISTEXT(Registros!$AP$2:$AP$3000))&gt;0),"Hay P/L guardado como texto en Registros (no suma). ","")))</f>
        <v/>
      </c>
    </row>
    <row r="366" customFormat="false" ht="15" hidden="false" customHeight="true" outlineLevel="0" collapsed="false">
      <c r="A366" s="13" t="n">
        <f aca="false">IF(D365="","",IF(G365&gt;=$P$2,MIN(D365,C365),D365))</f>
        <v>8</v>
      </c>
      <c r="B366" s="13" t="n">
        <f aca="false">IF(A366="","",A366/8)</f>
        <v>1</v>
      </c>
      <c r="C366" s="13" t="n">
        <f aca="false">IF(OR(A366="",B366=""),"",A366+B366)</f>
        <v>9</v>
      </c>
      <c r="D366" s="13" t="n">
        <f aca="false">IF(A366="","",A366+SUMIFS(Registros!$AP:$AP,Registros!$C:$C,H366))</f>
        <v>8</v>
      </c>
      <c r="E366" s="13" t="n">
        <f aca="false">IF(A366="","",ROUND(A366-8*B366,2))</f>
        <v>0</v>
      </c>
      <c r="F366" s="13" t="n">
        <f aca="false">IF(OR(D366="",C366=""),"",D366-C366)</f>
        <v>-1</v>
      </c>
      <c r="G366" s="20" t="n">
        <f aca="false">IF(G365="","",G365+1)</f>
        <v>365</v>
      </c>
      <c r="H366" s="15"/>
      <c r="I366" s="14"/>
      <c r="J366" s="16" t="str">
        <f aca="false">IF(OR(H366="",D366="",C366="",G366&lt;$P$2),"",MAX(0,ROUND(D366-C366,2)))</f>
        <v/>
      </c>
      <c r="K366" s="17"/>
      <c r="L366" s="16" t="str">
        <f aca="false">IF(NOT(ISNUMBER(K366)),"",ROUND(K366-N(M365)-N(J366),2))</f>
        <v/>
      </c>
      <c r="M366" s="16" t="n">
        <f aca="false">IF(ISNUMBER(K366),K366,N(M365))</f>
        <v>0</v>
      </c>
      <c r="N366" s="0" t="str">
        <f aca="true">IF(AND(H366="",K366=""),"",TRIM(IF(AND(H366&lt;&gt;"",NOT(AND(LEN(H366)=10,MID(H366,5,1)="-",MID(H366,8,1)="-"))),"Fecha con formato invalido (usa AAAA-MM-DD). ","")&amp;IF(AND(H366&lt;&gt;"",COUNTIF($H$2:$H$367,H366)&gt;1),"Fecha repetida en otro dia. ","")&amp;IF(AND(H366&lt;&gt;"",H365&lt;&gt;"",H366&lt;=H365),"La fecha no es posterior a la del dia anterior. ","")&amp;IF(AND(H366&lt;&gt;"",ISNUMBER(A366),ISNUMBER(D365),ISNUMBER(C365),ABS(A366-IF(G365&gt;=$P$2,MIN(D365,C365),D365))&gt;0.005),"Bank roll inicial no sigue la regla del dia anterior (alguien sobrescribio la formula). ","")&amp;IF(AND(H366&lt;&gt;"",ISNUMBER(B366),ISNUMBER(A366),ABS(B366-A366/8)&gt;0.00001),"Stake distinto de Bank roll/8. ","")&amp;IF(AND(H366&lt;&gt;"",ISNUMBER(E366),ABS(E366)&gt;0.005),"Residuo distinto de 0. ","")&amp;IF(AND(K366&lt;&gt;"",OR(NOT(ISNUMBER(K366)),N(K366)&lt;0)),"Saldo L2 no numerico o negativo. ","")&amp;IF(AND(H366&lt;&gt;"",H366&lt;TEXT(TODAY(),"yyyy-mm-dd"),G366&gt;=$P$2,K366="",OR(N(J366)&gt;0,N(M365)&gt;0)),"Falta cerrar el Saldo L2 de este dia. ","")&amp;IF(AND(H366&lt;&gt;"",SUMPRODUCT((Registros!$C$2:$C$3000=H366)*ISTEXT(Registros!$AP$2:$AP$3000))&gt;0),"Hay P/L guardado como texto en Registros (no suma). ","")))</f>
        <v/>
      </c>
    </row>
    <row r="367" customFormat="false" ht="15" hidden="false" customHeight="true" outlineLevel="0" collapsed="false">
      <c r="A367" s="13" t="n">
        <f aca="false">IF(D366="","",IF(G366&gt;=$P$2,MIN(D366,C366),D366))</f>
        <v>8</v>
      </c>
      <c r="B367" s="13" t="n">
        <f aca="false">IF(A367="","",A367/8)</f>
        <v>1</v>
      </c>
      <c r="C367" s="13" t="n">
        <f aca="false">IF(OR(A367="",B367=""),"",A367+B367)</f>
        <v>9</v>
      </c>
      <c r="D367" s="13" t="n">
        <f aca="false">IF(A367="","",A367+SUMIFS(Registros!$AP:$AP,Registros!$C:$C,H367))</f>
        <v>8</v>
      </c>
      <c r="E367" s="13" t="n">
        <f aca="false">IF(A367="","",ROUND(A367-8*B367,2))</f>
        <v>0</v>
      </c>
      <c r="F367" s="13" t="n">
        <f aca="false">IF(OR(D367="",C367=""),"",D367-C367)</f>
        <v>-1</v>
      </c>
      <c r="G367" s="20" t="n">
        <f aca="false">IF(G366="","",G366+1)</f>
        <v>366</v>
      </c>
      <c r="H367" s="15"/>
      <c r="I367" s="14"/>
      <c r="J367" s="16" t="str">
        <f aca="false">IF(OR(H367="",D367="",C367="",G367&lt;$P$2),"",MAX(0,ROUND(D367-C367,2)))</f>
        <v/>
      </c>
      <c r="K367" s="17"/>
      <c r="L367" s="16" t="str">
        <f aca="false">IF(NOT(ISNUMBER(K367)),"",ROUND(K367-N(M366)-N(J367),2))</f>
        <v/>
      </c>
      <c r="M367" s="16" t="n">
        <f aca="false">IF(ISNUMBER(K367),K367,N(M366))</f>
        <v>0</v>
      </c>
      <c r="N367" s="0" t="str">
        <f aca="true">IF(AND(H367="",K367=""),"",TRIM(IF(AND(H367&lt;&gt;"",NOT(AND(LEN(H367)=10,MID(H367,5,1)="-",MID(H367,8,1)="-"))),"Fecha con formato invalido (usa AAAA-MM-DD). ","")&amp;IF(AND(H367&lt;&gt;"",COUNTIF($H$2:$H$367,H367)&gt;1),"Fecha repetida en otro dia. ","")&amp;IF(AND(H367&lt;&gt;"",H366&lt;&gt;"",H367&lt;=H366),"La fecha no es posterior a la del dia anterior. ","")&amp;IF(AND(H367&lt;&gt;"",ISNUMBER(A367),ISNUMBER(D366),ISNUMBER(C366),ABS(A367-IF(G366&gt;=$P$2,MIN(D366,C366),D366))&gt;0.005),"Bank roll inicial no sigue la regla del dia anterior (alguien sobrescribio la formula). ","")&amp;IF(AND(H367&lt;&gt;"",ISNUMBER(B367),ISNUMBER(A367),ABS(B367-A367/8)&gt;0.00001),"Stake distinto de Bank roll/8. ","")&amp;IF(AND(H367&lt;&gt;"",ISNUMBER(E367),ABS(E367)&gt;0.005),"Residuo distinto de 0. ","")&amp;IF(AND(K367&lt;&gt;"",OR(NOT(ISNUMBER(K367)),N(K367)&lt;0)),"Saldo L2 no numerico o negativo. ","")&amp;IF(AND(H367&lt;&gt;"",H367&lt;TEXT(TODAY(),"yyyy-mm-dd"),G367&gt;=$P$2,K367="",OR(N(J367)&gt;0,N(M366)&gt;0)),"Falta cerrar el Saldo L2 de este dia. ","")&amp;IF(AND(H367&lt;&gt;"",SUMPRODUCT((Registros!$C$2:$C$3000=H367)*ISTEXT(Registros!$AP$2:$AP$3000))&gt;0),"Hay P/L guardado como texto en Registros (no suma). ","")))</f>
        <v/>
      </c>
    </row>
  </sheetData>
  <conditionalFormatting sqref="F2:F367">
    <cfRule type="expression" priority="2" aboveAverage="0" equalAverage="0" bottom="0" percent="0" rank="0" text="" dxfId="0">
      <formula>$D2&gt;=$C2</formula>
    </cfRule>
    <cfRule type="expression" priority="3" aboveAverage="0" equalAverage="0" bottom="0" percent="0" rank="0" text="" dxfId="1">
      <formula>AND($D2&gt;=$A2,$D2&lt;$C2)</formula>
    </cfRule>
    <cfRule type="expression" priority="4" aboveAverage="0" equalAverage="0" bottom="0" percent="0" rank="0" text="" dxfId="2">
      <formula>$D2&lt;$A2</formula>
    </cfRule>
  </conditionalFormatting>
  <conditionalFormatting sqref="A2:E367 G2:N367">
    <cfRule type="expression" priority="5" aboveAverage="0" equalAverage="0" bottom="0" percent="0" rank="0" text="" dxfId="3">
      <formula>LEN($N2)&gt;0</formula>
    </cfRule>
  </conditionalFormatting>
  <conditionalFormatting sqref="Q2:R2">
    <cfRule type="expression" priority="6" aboveAverage="0" equalAverage="0" bottom="0" percent="0" rank="0" text="" dxfId="3">
      <formula>Q2&gt;0</formula>
    </cfRule>
  </conditionalFormatting>
  <conditionalFormatting sqref="J2:M367">
    <cfRule type="expression" priority="7" aboveAverage="0" equalAverage="0" bottom="0" percent="0" rank="0" text="" dxfId="4">
      <formula>AND($H2="",$K2="")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2026-08-15T02:32:20Z</dcterms:created>
  <dc:creator>openpyxl</dc:creator>
  <dc:description/>
  <dc:language>en-US</dc:language>
  <cp:lastModifiedBy/>
  <dcterms:modified xsi:type="dcterms:W3CDTF">2026-10-05T00:23:42Z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