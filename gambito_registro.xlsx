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Registros" sheetId="2" state="visible" r:id="rId4"/>
    <sheet name="Scout_Core" sheetId="3" state="visible" r:id="rId5"/>
    <sheet name="Perfil_Ligas" sheetId="4" state="visible" r:id="rId6"/>
    <sheet name="Bitacor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<sst xmlns="http://schemas.openxmlformats.org/spreadsheetml/2006/main" count="185" uniqueCount="166">
  <si>
    <t xml:space="preserve">GAMBITO / GOAL HUNTER — Registro de apuestas</t>
  </si>
  <si>
    <t xml:space="preserve">Código de color</t>
  </si>
  <si>
    <t xml:space="preserve">Texto AZUL = tú lo escribes a mano.</t>
  </si>
  <si>
    <t xml:space="preserve">Texto NEGRO = se calcula solo con fórmula. No lo edites directamente.</t>
  </si>
  <si>
    <t xml:space="preserve">mercado vs. mercado_detalle — no son lo mismo</t>
  </si>
  <si>
    <t xml:space="preserve">mercado = la apuesta que colocas: Over 0.5 / Over 1 / Over 2.5 / Over 3 (todos leídos como goles restantes desde el minuto de entrada, no goles totales del partido), Ganador del partido, Empata o gana, Tarjeta roja (se usa cuando el catalizador de la entrada es una expulsión — asumimos que abre el partido a un gol más), u Otro.</t>
  </si>
  <si>
    <t xml:space="preserve">mercado_detalle = el contexto táctico de la tabla de situaciones (en qué momento y con qué señal entraste), no la apuesta en sí. Si sientes que se solapa con 'estrategia' o con 'mercado', dímelo y lo simplificamos — quedó así por una duda tuya sin resolver del todo.</t>
  </si>
  <si>
    <t xml:space="preserve">Columnas calculadas automáticamente</t>
  </si>
  <si>
    <t xml:space="preserve">prob_estimada, edge, ev — motor Poisson sobre el xG proyectado desde el minuto de entrada. Se calculan para Over 0.5 / Over 1 / Over 2.5 / Over 3 / Tarjeta roja. Para 'Ganador del partido', 'Empata o gana' y 'Otro' quedan en blanco: esos mercados necesitan una matriz de resultado (local/empate/visitante) que en Sheets es frágil de mantener — calcúlalas aparte o pide que se agregue.</t>
  </si>
  <si>
    <t xml:space="preserve">pl — según el valor de 'resultado': Ganada = stake*(cuota-1); Perdida = -stake; Push/Anulada = 0.</t>
  </si>
  <si>
    <t xml:space="preserve">clv — solo se calcula si llenas cuota_cierre (normalmente solo cuando pierdes el pronóstico).</t>
  </si>
  <si>
    <t xml:space="preserve">pct_00_1 / pct_00_2 — se calculan solas a partir de 'partidos_revisados' y 'partidos_00' que tú cuentas a mano.</t>
  </si>
  <si>
    <t xml:space="preserve">De dónde sale cada dato manual</t>
  </si>
  <si>
    <t xml:space="preserve">partidos_revisados_1/2 y partidos_00_1/2 — cuenta de los últimos 10-15 partidos del equipo en Sofascore (pestaña Partidos/H2H), FBref.com (match log) o Flashscore (historial). Anota cuántos revisaste y cuántos de esos terminaron 0-0.</t>
  </si>
  <si>
    <t xml:space="preserve">cuota_cierre — la cuota que muestra la casa de apuestas en el momento en que se confirma el resultado. Solo suele existir cuando pierdes, porque si ganas el mercado desaparece con tu acierto.</t>
  </si>
  <si>
    <t xml:space="preserve">Escenario de entrada — prefiltro obligatorio</t>
  </si>
  <si>
    <t xml:space="preserve">Antes de cualquier otro dato, Goal Hunter exige elegir uno de 6 escenarios predefinidos (o 'Otro'). Al elegirlo, el Patrón táctico se autoselecciona solo (editable después a mano). Reemplaza a la columna 'mercado_detalle' que existía antes — esa columna ya no se usa.</t>
  </si>
  <si>
    <t xml:space="preserve">Metacognición e Índice de Calidad de Decisión (ICD)</t>
  </si>
  <si>
    <t xml:space="preserve">Solo en Goal Hunter. Al entrar, puedes marcar si sentiste el impulso de romper una regla y qué sesgo(s) — 11 opciones (Confirmación, Exceso de confianza, FOMO, Aversión a la pérdida, Persecución de pérdidas, Ilusión de control, Impaciencia, Necesidad de acción, Anclaje, Disponibilidad, Escalada del compromiso). Al cerrar, respondes 4 preguntas de reflexión que no dependen de si ganaste: ¿seguí mi sistema?, ¿rompí alguna regla?, ¿repetiría esta apuesta sabiendo solo lo de antes?, ¿qué sesgo dominó?, y una frase de aprendizaje.</t>
  </si>
  <si>
    <t xml:space="preserve">icd_calidad (0-4) se calcula solo: +1 por cada señal saludable (seguí el sistema / no rompí regla / repetiría / sin sesgo dominante). Es independiente del resultado — puedes perder con ICD 4 (proceso correcto, mala suerte) o ganar con ICD 0 (proceso malo, buena suerte). El objetivo es que el ICD promedio suba con el tiempo, no solo el winrate.</t>
  </si>
  <si>
    <t xml:space="preserve">Reglas activas (resumen)</t>
  </si>
  <si>
    <t xml:space="preserve">Stake fijo diario (tú lo defines, no lo calcula esta hoja). Stop-loss: 2 pérdidas acumuladas si el bankroll del día está por debajo del inicio; 3 si vas en tablas o ganando. Cuota mínima 1.35. Líneas +0.5/+1 asiático. Máximo 8 entradas entre semana, 16 sábado y domingo. Máximo 1 partido abierto entre semana, 2 en fin de semana.</t>
  </si>
  <si>
    <t xml:space="preserve">Pestaña Bitácora — escalado de banca</t>
  </si>
  <si>
    <t xml:space="preserve">Empieza en cero: la fila 2 es el Día 1 (mañana). Bank roll inicial = $8 (semilla manual), Día = 1 (semilla manual). Todo lo demás se calcula solo, día tras día, mientras registres tus partidos en el HTML.</t>
  </si>
  <si>
    <t xml:space="preserve">IMPORTANTE — formato de fecha: la columna 'fecha' de Registros y de Bitácora están formateadas como TEXTO PLANO a propósito, no como fecha de calendario. Escribe siempre AAAA-MM-DD (ej. 2026-08-02), igual en ambas pestañas. Si Sheets la convierte sola a un formato de fecha visual, la comparación que hace la fórmula de Bitácora deja de encontrar coincidencias y 'BR final real' no se mueve del bankroll inicial, aunque Registros sí se esté llenando.</t>
  </si>
  <si>
    <t xml:space="preserve">stake = (Bank roll inicial − 6.7% de reserva) / 8 — el mismo criterio de las 8 unidades diarias de tus reglas, ahora como fórmula en vez de cálculo externo.</t>
  </si>
  <si>
    <t xml:space="preserve">BR final planificado = Bank roll inicial + stake.</t>
  </si>
  <si>
    <t xml:space="preserve">BR final real = Bank roll inicial + suma de 'pl' de todas las apuestas de esa fecha en Registros. Por eso la fecha que pongas aquí debe coincidir con la fecha de esas apuestas en Registros.</t>
  </si>
  <si>
    <t xml:space="preserve">Reserva = 6.7% del bankroll inicial del día.</t>
  </si>
  <si>
    <t xml:space="preserve">Dif = BR final real − BR final planificado. Color automático: verde si igualaste o superaste el plan del día; amarillo si no llegaste a la meta pero aun así cerraste por encima del bankroll con el que empezó el día; rojo si cerraste por debajo — pérdida neta del día.</t>
  </si>
  <si>
    <t xml:space="preserve">El día siguiente hereda como 'Bank roll inicial' el 'BR final real' del día anterior — la escalera es automática, no hay que copiar nada a mano.</t>
  </si>
  <si>
    <t xml:space="preserve">Pestaña Scout_Core — segunda lectura, 100% estadística</t>
  </si>
  <si>
    <t xml:space="preserve">Motor prematch independiente de Goal Hunter (que ya no calcula nada, solo tu checklist). Replica el sistema Gambito v3.0: λ base (xG forma 70% / temporada 30%) → ajuste por momentum → ajuste por contexto (suspensiones, motivación, sede neutral, suerte xG) → matriz Poisson con corrección Dixon-Coles (ρ = -0.13 por defecto) → probabilidades de 1X2, Over/Under 2.5 y BTTS → edge/EV contra tus cuotas → veto por movimiento de línea → veto por divergencia con xGscore → stake sugerido (Kelly 25%, tope 3% del bankroll, piso $0.50).</t>
  </si>
  <si>
    <t xml:space="preserve">Se llena 100% desde el HTML — esta pestaña es solo el destino de esos datos. No hace falta que la edites a mano salvo para revisar o corregir un registro puntual.</t>
  </si>
  <si>
    <t xml:space="preserve">mercado_recomendado / edge / ev / semaforo reflejan el mejor candidato de la tabla completa que viste en el HTML al momento de guardar, no todos los mercados evaluados — si quieres el detalle mercado por mercado, lo tienes en pantalla al calcular, aquí solo se guarda la selección.</t>
  </si>
  <si>
    <t xml:space="preserve">Columnas notas_* (alineación, sentimiento, H2H, motivación, clima)</t>
  </si>
  <si>
    <t xml:space="preserve">Texto libre, generado copiando/pegando desde Grok con los prompts que trae el HTML. NUNCA pesan en el cálculo — no entran a λ, edge, EV ni Kelly. Son observación cualitativa pura, para tu propio criterio final.</t>
  </si>
  <si>
    <t xml:space="preserve">Pestaña Perfil_Ligas</t>
  </si>
  <si>
    <t xml:space="preserve">Una fila por LIGA, no por partido — se llena una sola vez y se actualiza cuando algo estructural cambie, no antes de cada análisis. La usan tanto Goal Hunter como Scout Core: al escribir la liga en cualquiera de los dos, el HTML la busca sola por nombre y te muestra el resumen_clave.</t>
  </si>
  <si>
    <t xml:space="preserve">Nota: puedo extender el Apps Script (cuando subas este libro y lo conectes a tu Web App) para que la app HTML también lea y escriba esta pestaña — hoy la conexión vive solo dentro de este mismo archivo, entre pestañas.</t>
  </si>
  <si>
    <t xml:space="preserve">id</t>
  </si>
  <si>
    <t xml:space="preserve">estado</t>
  </si>
  <si>
    <t xml:space="preserve">fecha</t>
  </si>
  <si>
    <t xml:space="preserve">minuto_entrada</t>
  </si>
  <si>
    <t xml:space="preserve">score_entrada</t>
  </si>
  <si>
    <t xml:space="preserve">partido</t>
  </si>
  <si>
    <t xml:space="preserve">liga</t>
  </si>
  <si>
    <t xml:space="preserve">favorito</t>
  </si>
  <si>
    <t xml:space="preserve">cuota_prepartido</t>
  </si>
  <si>
    <t xml:space="preserve">posicion_tabla1</t>
  </si>
  <si>
    <t xml:space="preserve">posicion_tabla2</t>
  </si>
  <si>
    <t xml:space="preserve">partidos_revisados_1</t>
  </si>
  <si>
    <t xml:space="preserve">partidos_00_1</t>
  </si>
  <si>
    <t xml:space="preserve">pct_00_1</t>
  </si>
  <si>
    <t xml:space="preserve">partidos_revisados_2</t>
  </si>
  <si>
    <t xml:space="preserve">partidos_00_2</t>
  </si>
  <si>
    <t xml:space="preserve">pct_00_2</t>
  </si>
  <si>
    <t xml:space="preserve">lluvia</t>
  </si>
  <si>
    <t xml:space="preserve">corners1</t>
  </si>
  <si>
    <t xml:space="preserve">tiros1</t>
  </si>
  <si>
    <t xml:space="preserve">posesion1</t>
  </si>
  <si>
    <t xml:space="preserve">xg1</t>
  </si>
  <si>
    <t xml:space="preserve">corners2</t>
  </si>
  <si>
    <t xml:space="preserve">tiros2</t>
  </si>
  <si>
    <t xml:space="preserve">posesion2</t>
  </si>
  <si>
    <t xml:space="preserve">xg2</t>
  </si>
  <si>
    <t xml:space="preserve">confianza</t>
  </si>
  <si>
    <t xml:space="preserve">mercado</t>
  </si>
  <si>
    <t xml:space="preserve">escenario_entrada</t>
  </si>
  <si>
    <t xml:space="preserve">patron_tipo</t>
  </si>
  <si>
    <t xml:space="preserve">cuota</t>
  </si>
  <si>
    <t xml:space="preserve">stake</t>
  </si>
  <si>
    <t xml:space="preserve">prob_estimada</t>
  </si>
  <si>
    <t xml:space="preserve">edge</t>
  </si>
  <si>
    <t xml:space="preserve">ev</t>
  </si>
  <si>
    <t xml:space="preserve">estrategia</t>
  </si>
  <si>
    <t xml:space="preserve">minuto_gol</t>
  </si>
  <si>
    <t xml:space="preserve">score_final</t>
  </si>
  <si>
    <t xml:space="preserve">resultado</t>
  </si>
  <si>
    <t xml:space="preserve">cuota_cierre</t>
  </si>
  <si>
    <t xml:space="preserve">clv</t>
  </si>
  <si>
    <t xml:space="preserve">pl</t>
  </si>
  <si>
    <t xml:space="preserve">observacion</t>
  </si>
  <si>
    <t xml:space="preserve">fecha_cierre</t>
  </si>
  <si>
    <t xml:space="preserve">check_sofascore</t>
  </si>
  <si>
    <t xml:space="preserve">check_flashscore</t>
  </si>
  <si>
    <t xml:space="preserve">check_overlyzer</t>
  </si>
  <si>
    <t xml:space="preserve">check_tarjeta_roja_previa</t>
  </si>
  <si>
    <t xml:space="preserve">check_alineacion_ok</t>
  </si>
  <si>
    <t xml:space="preserve">dia_semana</t>
  </si>
  <si>
    <t xml:space="preserve">nomarco_1</t>
  </si>
  <si>
    <t xml:space="preserve">pct_nomarco_1</t>
  </si>
  <si>
    <t xml:space="preserve">nomarco_2</t>
  </si>
  <si>
    <t xml:space="preserve">pct_nomarco_2</t>
  </si>
  <si>
    <t xml:space="preserve">impulso_hubo</t>
  </si>
  <si>
    <t xml:space="preserve">impulso_pensamiento</t>
  </si>
  <si>
    <t xml:space="preserve">impulso_sesgos</t>
  </si>
  <si>
    <t xml:space="preserve">reflexion_seguiste_sistema</t>
  </si>
  <si>
    <t xml:space="preserve">reflexion_rompiste_regla</t>
  </si>
  <si>
    <t xml:space="preserve">reflexion_cual_regla</t>
  </si>
  <si>
    <t xml:space="preserve">reflexion_repetiria</t>
  </si>
  <si>
    <t xml:space="preserve">reflexion_sesgos</t>
  </si>
  <si>
    <t xml:space="preserve">reflexion_aprendizaje</t>
  </si>
  <si>
    <t xml:space="preserve">icd_calidad</t>
  </si>
  <si>
    <t xml:space="preserve">minuto_inicio_analisis</t>
  </si>
  <si>
    <t xml:space="preserve">minuto_fin_analisis</t>
  </si>
  <si>
    <t xml:space="preserve">evento_durante_analisis</t>
  </si>
  <si>
    <t xml:space="preserve">evento_detalle</t>
  </si>
  <si>
    <t xml:space="preserve">notas_alineacion_gh</t>
  </si>
  <si>
    <t xml:space="preserve">notas_motivacion_gh</t>
  </si>
  <si>
    <t xml:space="preserve">forma_l_anot</t>
  </si>
  <si>
    <t xml:space="preserve">forma_l_rec</t>
  </si>
  <si>
    <t xml:space="preserve">temp_l_anot</t>
  </si>
  <si>
    <t xml:space="preserve">temp_l_rec</t>
  </si>
  <si>
    <t xml:space="preserve">forma_v_anot</t>
  </si>
  <si>
    <t xml:space="preserve">forma_v_rec</t>
  </si>
  <si>
    <t xml:space="preserve">temp_v_anot</t>
  </si>
  <si>
    <t xml:space="preserve">temp_v_rec</t>
  </si>
  <si>
    <t xml:space="preserve">pts_l</t>
  </si>
  <si>
    <t xml:space="preserve">pts_v</t>
  </si>
  <si>
    <t xml:space="preserve">susp_l</t>
  </si>
  <si>
    <t xml:space="preserve">susp_v</t>
  </si>
  <si>
    <t xml:space="preserve">motivacion</t>
  </si>
  <si>
    <t xml:space="preserve">sede_neutral</t>
  </si>
  <si>
    <t xml:space="preserve">suerte_l</t>
  </si>
  <si>
    <t xml:space="preserve">suerte_v</t>
  </si>
  <si>
    <t xml:space="preserve">cuota_local</t>
  </si>
  <si>
    <t xml:space="preserve">cuota_empate</t>
  </si>
  <si>
    <t xml:space="preserve">cuota_visitante</t>
  </si>
  <si>
    <t xml:space="preserve">cuota_over25</t>
  </si>
  <si>
    <t xml:space="preserve">cuota_under25</t>
  </si>
  <si>
    <t xml:space="preserve">cuota_btts_si</t>
  </si>
  <si>
    <t xml:space="preserve">cuota_btts_no</t>
  </si>
  <si>
    <t xml:space="preserve">apertura_local</t>
  </si>
  <si>
    <t xml:space="preserve">apertura_visitante</t>
  </si>
  <si>
    <t xml:space="preserve">xgs_local</t>
  </si>
  <si>
    <t xml:space="preserve">xgs_empate</t>
  </si>
  <si>
    <t xml:space="preserve">xgs_visitante</t>
  </si>
  <si>
    <t xml:space="preserve">rho_usado</t>
  </si>
  <si>
    <t xml:space="preserve">lambda_local</t>
  </si>
  <si>
    <t xml:space="preserve">lambda_visitante</t>
  </si>
  <si>
    <t xml:space="preserve">adjustments_log</t>
  </si>
  <si>
    <t xml:space="preserve">mercado_recomendado</t>
  </si>
  <si>
    <t xml:space="preserve">probabilidad_modelo</t>
  </si>
  <si>
    <t xml:space="preserve">cuota_tomada</t>
  </si>
  <si>
    <t xml:space="preserve">veto</t>
  </si>
  <si>
    <t xml:space="preserve">divergencia_pp</t>
  </si>
  <si>
    <t xml:space="preserve">stake_kelly</t>
  </si>
  <si>
    <t xml:space="preserve">semaforo</t>
  </si>
  <si>
    <t xml:space="preserve">notas_alineacion_local</t>
  </si>
  <si>
    <t xml:space="preserve">notas_alineacion_visitante</t>
  </si>
  <si>
    <t xml:space="preserve">notas_sentimiento_local</t>
  </si>
  <si>
    <t xml:space="preserve">notas_sentimiento_visitante</t>
  </si>
  <si>
    <t xml:space="preserve">notas_h2h</t>
  </si>
  <si>
    <t xml:space="preserve">notas_motivacion_contextual</t>
  </si>
  <si>
    <t xml:space="preserve">notas_clima</t>
  </si>
  <si>
    <t xml:space="preserve">fecha_actualizacion</t>
  </si>
  <si>
    <t xml:space="preserve">informe_completo</t>
  </si>
  <si>
    <t xml:space="preserve">resumen_clave</t>
  </si>
  <si>
    <t xml:space="preserve">Bank roll inicial</t>
  </si>
  <si>
    <t xml:space="preserve">BR final planificado</t>
  </si>
  <si>
    <t xml:space="preserve">BR final real</t>
  </si>
  <si>
    <t xml:space="preserve">Reserva</t>
  </si>
  <si>
    <t xml:space="preserve">Dif</t>
  </si>
  <si>
    <t xml:space="preserve">Dia</t>
  </si>
  <si>
    <t xml:space="preserve">Meta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</si>
</sst>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.000"/>
    <numFmt numFmtId="167" formatCode="0.0"/>
    <numFmt numFmtId="168" formatCode="\$#,##0.00"/>
    <numFmt numFmtId="169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F1826"/>
        <bgColor rgb="FF000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F1826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5"/>
  </cols>
  <sheetData>
    <row r="1" customFormat="false" ht="21.75" hidden="false" customHeight="true" outlineLevel="0" collapsed="false">
      <c r="A1" s="1" t="s">
        <v>0</v>
      </c>
    </row>
    <row r="2" customFormat="false" ht="7.5" hidden="false" customHeight="true" outlineLevel="0" collapsed="false">
      <c r="A2" s="2"/>
    </row>
    <row r="3" customFormat="false" ht="21.75" hidden="false" customHeight="true" outlineLevel="0" collapsed="false">
      <c r="A3" s="3" t="s">
        <v>1</v>
      </c>
    </row>
    <row r="4" customFormat="false" ht="21.75" hidden="false" customHeight="true" outlineLevel="0" collapsed="false">
      <c r="A4" s="2" t="s">
        <v>2</v>
      </c>
    </row>
    <row r="5" customFormat="false" ht="21.75" hidden="false" customHeight="true" outlineLevel="0" collapsed="false">
      <c r="A5" s="2" t="s">
        <v>3</v>
      </c>
    </row>
    <row r="6" customFormat="false" ht="7.5" hidden="false" customHeight="true" outlineLevel="0" collapsed="false">
      <c r="A6" s="2"/>
    </row>
    <row r="7" customFormat="false" ht="21.75" hidden="false" customHeight="true" outlineLevel="0" collapsed="false">
      <c r="A7" s="3" t="s">
        <v>4</v>
      </c>
    </row>
    <row r="8" customFormat="false" ht="33.75" hidden="false" customHeight="true" outlineLevel="0" collapsed="false">
      <c r="A8" s="2" t="s">
        <v>5</v>
      </c>
    </row>
    <row r="9" customFormat="false" ht="33.75" hidden="false" customHeight="true" outlineLevel="0" collapsed="false">
      <c r="A9" s="2" t="s">
        <v>6</v>
      </c>
    </row>
    <row r="10" customFormat="false" ht="7.5" hidden="false" customHeight="true" outlineLevel="0" collapsed="false">
      <c r="A10" s="2"/>
    </row>
    <row r="11" customFormat="false" ht="21.75" hidden="false" customHeight="true" outlineLevel="0" collapsed="false">
      <c r="A11" s="3" t="s">
        <v>7</v>
      </c>
    </row>
    <row r="12" customFormat="false" ht="33.75" hidden="false" customHeight="true" outlineLevel="0" collapsed="false">
      <c r="A12" s="2" t="s">
        <v>8</v>
      </c>
    </row>
    <row r="13" customFormat="false" ht="33.75" hidden="false" customHeight="true" outlineLevel="0" collapsed="false">
      <c r="A13" s="2" t="s">
        <v>9</v>
      </c>
    </row>
    <row r="14" customFormat="false" ht="33.75" hidden="false" customHeight="true" outlineLevel="0" collapsed="false">
      <c r="A14" s="2" t="s">
        <v>10</v>
      </c>
    </row>
    <row r="15" customFormat="false" ht="33.75" hidden="false" customHeight="true" outlineLevel="0" collapsed="false">
      <c r="A15" s="2" t="s">
        <v>11</v>
      </c>
    </row>
    <row r="16" customFormat="false" ht="7.5" hidden="false" customHeight="true" outlineLevel="0" collapsed="false">
      <c r="A16" s="2"/>
    </row>
    <row r="17" customFormat="false" ht="21.75" hidden="false" customHeight="true" outlineLevel="0" collapsed="false">
      <c r="A17" s="3" t="s">
        <v>12</v>
      </c>
    </row>
    <row r="18" customFormat="false" ht="33.75" hidden="false" customHeight="true" outlineLevel="0" collapsed="false">
      <c r="A18" s="2" t="s">
        <v>13</v>
      </c>
    </row>
    <row r="19" customFormat="false" ht="33.75" hidden="false" customHeight="true" outlineLevel="0" collapsed="false">
      <c r="A19" s="2" t="s">
        <v>14</v>
      </c>
    </row>
    <row r="20" customFormat="false" ht="7.5" hidden="false" customHeight="true" outlineLevel="0" collapsed="false">
      <c r="A20" s="2"/>
    </row>
    <row r="21" customFormat="false" ht="21.75" hidden="false" customHeight="true" outlineLevel="0" collapsed="false">
      <c r="A21" s="3" t="s">
        <v>15</v>
      </c>
    </row>
    <row r="22" customFormat="false" ht="33.75" hidden="false" customHeight="true" outlineLevel="0" collapsed="false">
      <c r="A22" s="2" t="s">
        <v>16</v>
      </c>
    </row>
    <row r="23" customFormat="false" ht="7.5" hidden="false" customHeight="true" outlineLevel="0" collapsed="false">
      <c r="A23" s="2"/>
    </row>
    <row r="24" customFormat="false" ht="21.75" hidden="false" customHeight="true" outlineLevel="0" collapsed="false">
      <c r="A24" s="3" t="s">
        <v>17</v>
      </c>
    </row>
    <row r="25" customFormat="false" ht="33.75" hidden="false" customHeight="true" outlineLevel="0" collapsed="false">
      <c r="A25" s="2" t="s">
        <v>18</v>
      </c>
    </row>
    <row r="26" customFormat="false" ht="33.75" hidden="false" customHeight="true" outlineLevel="0" collapsed="false">
      <c r="A26" s="2" t="s">
        <v>19</v>
      </c>
    </row>
    <row r="27" customFormat="false" ht="7.5" hidden="false" customHeight="true" outlineLevel="0" collapsed="false">
      <c r="A27" s="2"/>
    </row>
    <row r="28" customFormat="false" ht="21.75" hidden="false" customHeight="true" outlineLevel="0" collapsed="false">
      <c r="A28" s="3" t="s">
        <v>20</v>
      </c>
    </row>
    <row r="29" customFormat="false" ht="33.75" hidden="false" customHeight="true" outlineLevel="0" collapsed="false">
      <c r="A29" s="2" t="s">
        <v>21</v>
      </c>
    </row>
    <row r="30" customFormat="false" ht="7.5" hidden="false" customHeight="true" outlineLevel="0" collapsed="false">
      <c r="A30" s="2"/>
    </row>
    <row r="31" customFormat="false" ht="21.75" hidden="false" customHeight="true" outlineLevel="0" collapsed="false">
      <c r="A31" s="3" t="s">
        <v>22</v>
      </c>
    </row>
    <row r="32" customFormat="false" ht="33.75" hidden="false" customHeight="true" outlineLevel="0" collapsed="false">
      <c r="A32" s="2" t="s">
        <v>23</v>
      </c>
    </row>
    <row r="33" customFormat="false" ht="33.75" hidden="false" customHeight="true" outlineLevel="0" collapsed="false">
      <c r="A33" s="2" t="s">
        <v>24</v>
      </c>
    </row>
    <row r="34" customFormat="false" ht="33.75" hidden="false" customHeight="true" outlineLevel="0" collapsed="false">
      <c r="A34" s="2" t="s">
        <v>25</v>
      </c>
    </row>
    <row r="35" customFormat="false" ht="21.75" hidden="false" customHeight="true" outlineLevel="0" collapsed="false">
      <c r="A35" s="2" t="s">
        <v>26</v>
      </c>
    </row>
    <row r="36" customFormat="false" ht="33.75" hidden="false" customHeight="true" outlineLevel="0" collapsed="false">
      <c r="A36" s="2" t="s">
        <v>27</v>
      </c>
    </row>
    <row r="37" customFormat="false" ht="21.75" hidden="false" customHeight="true" outlineLevel="0" collapsed="false">
      <c r="A37" s="2" t="s">
        <v>28</v>
      </c>
    </row>
    <row r="38" customFormat="false" ht="33.75" hidden="false" customHeight="true" outlineLevel="0" collapsed="false">
      <c r="A38" s="2" t="s">
        <v>29</v>
      </c>
    </row>
    <row r="39" customFormat="false" ht="33.75" hidden="false" customHeight="true" outlineLevel="0" collapsed="false">
      <c r="A39" s="2" t="s">
        <v>30</v>
      </c>
    </row>
    <row r="40" customFormat="false" ht="7.5" hidden="false" customHeight="true" outlineLevel="0" collapsed="false">
      <c r="A40" s="2"/>
    </row>
    <row r="41" customFormat="false" ht="21.75" hidden="false" customHeight="true" outlineLevel="0" collapsed="false">
      <c r="A41" s="3" t="s">
        <v>31</v>
      </c>
    </row>
    <row r="42" customFormat="false" ht="33.75" hidden="false" customHeight="true" outlineLevel="0" collapsed="false">
      <c r="A42" s="2" t="s">
        <v>32</v>
      </c>
    </row>
    <row r="43" customFormat="false" ht="33.75" hidden="false" customHeight="true" outlineLevel="0" collapsed="false">
      <c r="A43" s="2" t="s">
        <v>33</v>
      </c>
    </row>
    <row r="44" customFormat="false" ht="33.75" hidden="false" customHeight="true" outlineLevel="0" collapsed="false">
      <c r="A44" s="2" t="s">
        <v>34</v>
      </c>
    </row>
    <row r="45" customFormat="false" ht="7.5" hidden="false" customHeight="true" outlineLevel="0" collapsed="false">
      <c r="A45" s="2"/>
    </row>
    <row r="46" customFormat="false" ht="21.75" hidden="false" customHeight="true" outlineLevel="0" collapsed="false">
      <c r="A46" s="3" t="s">
        <v>35</v>
      </c>
    </row>
    <row r="47" customFormat="false" ht="33.75" hidden="false" customHeight="true" outlineLevel="0" collapsed="false">
      <c r="A47" s="2" t="s">
        <v>36</v>
      </c>
    </row>
    <row r="48" customFormat="false" ht="7.5" hidden="false" customHeight="true" outlineLevel="0" collapsed="false">
      <c r="A48" s="2"/>
    </row>
    <row r="49" customFormat="false" ht="21.75" hidden="false" customHeight="true" outlineLevel="0" collapsed="false">
      <c r="A49" s="3" t="s">
        <v>37</v>
      </c>
    </row>
    <row r="50" customFormat="false" ht="33.75" hidden="false" customHeight="true" outlineLevel="0" collapsed="false">
      <c r="A50" s="2" t="s">
        <v>38</v>
      </c>
    </row>
    <row r="51" customFormat="false" ht="7.5" hidden="false" customHeight="true" outlineLevel="0" collapsed="false">
      <c r="A51" s="2"/>
    </row>
    <row r="52" customFormat="false" ht="33.75" hidden="false" customHeight="true" outlineLevel="0" collapsed="false">
      <c r="A52" s="2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1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8" min="6" style="0" width="11"/>
    <col collapsed="false" customWidth="true" hidden="false" outlineLevel="0" max="9" min="9" style="0" width="18"/>
    <col collapsed="false" customWidth="true" hidden="false" outlineLevel="0" max="11" min="10" style="0" width="17"/>
    <col collapsed="false" customWidth="true" hidden="false" outlineLevel="0" max="12" min="12" style="0" width="22"/>
    <col collapsed="false" customWidth="true" hidden="false" outlineLevel="0" max="13" min="13" style="0" width="15"/>
    <col collapsed="false" customWidth="true" hidden="false" outlineLevel="0" max="14" min="14" style="0" width="11"/>
    <col collapsed="false" customWidth="true" hidden="false" outlineLevel="0" max="15" min="15" style="0" width="22"/>
    <col collapsed="false" customWidth="true" hidden="false" outlineLevel="0" max="16" min="16" style="0" width="15"/>
    <col collapsed="false" customWidth="true" hidden="false" outlineLevel="0" max="28" min="17" style="0" width="11"/>
    <col collapsed="false" customWidth="true" hidden="false" outlineLevel="0" max="29" min="29" style="0" width="19"/>
    <col collapsed="false" customWidth="true" hidden="false" outlineLevel="0" max="30" min="30" style="0" width="13"/>
    <col collapsed="false" customWidth="true" hidden="false" outlineLevel="0" max="32" min="31" style="0" width="11"/>
    <col collapsed="false" customWidth="true" hidden="false" outlineLevel="0" max="33" min="33" style="0" width="15"/>
    <col collapsed="false" customWidth="true" hidden="false" outlineLevel="0" max="35" min="34" style="0" width="11"/>
    <col collapsed="false" customWidth="true" hidden="false" outlineLevel="0" max="37" min="36" style="0" width="12"/>
    <col collapsed="false" customWidth="true" hidden="false" outlineLevel="0" max="38" min="38" style="0" width="13"/>
    <col collapsed="false" customWidth="true" hidden="false" outlineLevel="0" max="39" min="39" style="0" width="11"/>
    <col collapsed="false" customWidth="true" hidden="false" outlineLevel="0" max="40" min="40" style="0" width="14"/>
    <col collapsed="false" customWidth="true" hidden="false" outlineLevel="0" max="42" min="41" style="0" width="11"/>
    <col collapsed="false" customWidth="true" hidden="false" outlineLevel="0" max="43" min="43" style="0" width="13"/>
    <col collapsed="false" customWidth="true" hidden="false" outlineLevel="0" max="44" min="44" style="0" width="14"/>
    <col collapsed="false" customWidth="true" hidden="false" outlineLevel="0" max="45" min="45" style="0" width="17"/>
    <col collapsed="false" customWidth="true" hidden="false" outlineLevel="0" max="46" min="46" style="0" width="18"/>
    <col collapsed="false" customWidth="true" hidden="false" outlineLevel="0" max="47" min="47" style="0" width="17"/>
    <col collapsed="false" customWidth="true" hidden="false" outlineLevel="0" max="48" min="48" style="0" width="27"/>
    <col collapsed="false" customWidth="true" hidden="false" outlineLevel="0" max="49" min="49" style="0" width="21"/>
    <col collapsed="false" customWidth="true" hidden="false" outlineLevel="0" max="50" min="50" style="0" width="12"/>
    <col collapsed="false" customWidth="true" hidden="false" outlineLevel="0" max="51" min="51" style="0" width="11"/>
    <col collapsed="false" customWidth="true" hidden="false" outlineLevel="0" max="52" min="52" style="0" width="15"/>
    <col collapsed="false" customWidth="true" hidden="false" outlineLevel="0" max="53" min="53" style="0" width="11"/>
    <col collapsed="false" customWidth="true" hidden="false" outlineLevel="0" max="54" min="54" style="0" width="15"/>
    <col collapsed="false" customWidth="true" hidden="false" outlineLevel="0" max="55" min="55" style="0" width="14"/>
    <col collapsed="false" customWidth="true" hidden="false" outlineLevel="0" max="56" min="56" style="0" width="21"/>
    <col collapsed="false" customWidth="true" hidden="false" outlineLevel="0" max="57" min="57" style="0" width="16"/>
    <col collapsed="false" customWidth="true" hidden="false" outlineLevel="0" max="58" min="58" style="0" width="28"/>
    <col collapsed="false" customWidth="true" hidden="false" outlineLevel="0" max="59" min="59" style="0" width="26"/>
    <col collapsed="false" customWidth="true" hidden="false" outlineLevel="0" max="60" min="60" style="0" width="22"/>
    <col collapsed="false" customWidth="true" hidden="false" outlineLevel="0" max="61" min="61" style="0" width="21"/>
    <col collapsed="false" customWidth="true" hidden="false" outlineLevel="0" max="62" min="62" style="0" width="18"/>
    <col collapsed="false" customWidth="true" hidden="false" outlineLevel="0" max="63" min="63" style="0" width="23"/>
    <col collapsed="false" customWidth="true" hidden="false" outlineLevel="0" max="64" min="64" style="0" width="13"/>
    <col collapsed="false" customWidth="true" hidden="false" outlineLevel="0" max="65" min="65" style="0" width="24"/>
    <col collapsed="false" customWidth="true" hidden="false" outlineLevel="0" max="66" min="66" style="0" width="21"/>
    <col collapsed="false" customWidth="true" hidden="false" outlineLevel="0" max="67" min="67" style="0" width="25"/>
    <col collapsed="false" customWidth="true" hidden="false" outlineLevel="0" max="68" min="68" style="0" width="16"/>
    <col collapsed="false" customWidth="true" hidden="false" outlineLevel="0" max="70" min="69" style="0" width="21"/>
  </cols>
  <sheetData>
    <row r="1" customFormat="false" ht="15" hidden="false" customHeight="false" outlineLevel="0" collapsed="false">
      <c r="A1" s="4" t="s">
        <v>40</v>
      </c>
      <c r="B1" s="4" t="s">
        <v>41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48</v>
      </c>
      <c r="J1" s="4" t="s">
        <v>49</v>
      </c>
      <c r="K1" s="4" t="s">
        <v>50</v>
      </c>
      <c r="L1" s="4" t="s">
        <v>51</v>
      </c>
      <c r="M1" s="4" t="s">
        <v>52</v>
      </c>
      <c r="N1" s="4" t="s">
        <v>53</v>
      </c>
      <c r="O1" s="4" t="s">
        <v>54</v>
      </c>
      <c r="P1" s="4" t="s">
        <v>55</v>
      </c>
      <c r="Q1" s="4" t="s">
        <v>56</v>
      </c>
      <c r="R1" s="4" t="s">
        <v>57</v>
      </c>
      <c r="S1" s="4" t="s">
        <v>58</v>
      </c>
      <c r="T1" s="4" t="s">
        <v>59</v>
      </c>
      <c r="U1" s="4" t="s">
        <v>60</v>
      </c>
      <c r="V1" s="4" t="s">
        <v>61</v>
      </c>
      <c r="W1" s="4" t="s">
        <v>62</v>
      </c>
      <c r="X1" s="4" t="s">
        <v>63</v>
      </c>
      <c r="Y1" s="4" t="s">
        <v>64</v>
      </c>
      <c r="Z1" s="4" t="s">
        <v>65</v>
      </c>
      <c r="AA1" s="4" t="s">
        <v>66</v>
      </c>
      <c r="AB1" s="4" t="s">
        <v>67</v>
      </c>
      <c r="AC1" s="4" t="s">
        <v>68</v>
      </c>
      <c r="AD1" s="4" t="s">
        <v>69</v>
      </c>
      <c r="AE1" s="4" t="s">
        <v>70</v>
      </c>
      <c r="AF1" s="4" t="s">
        <v>71</v>
      </c>
      <c r="AG1" s="4" t="s">
        <v>72</v>
      </c>
      <c r="AH1" s="4" t="s">
        <v>73</v>
      </c>
      <c r="AI1" s="4" t="s">
        <v>74</v>
      </c>
      <c r="AJ1" s="4" t="s">
        <v>75</v>
      </c>
      <c r="AK1" s="4" t="s">
        <v>76</v>
      </c>
      <c r="AL1" s="4" t="s">
        <v>77</v>
      </c>
      <c r="AM1" s="4" t="s">
        <v>78</v>
      </c>
      <c r="AN1" s="4" t="s">
        <v>79</v>
      </c>
      <c r="AO1" s="4" t="s">
        <v>80</v>
      </c>
      <c r="AP1" s="4" t="s">
        <v>81</v>
      </c>
      <c r="AQ1" s="4" t="s">
        <v>82</v>
      </c>
      <c r="AR1" s="4" t="s">
        <v>83</v>
      </c>
      <c r="AS1" s="4" t="s">
        <v>84</v>
      </c>
      <c r="AT1" s="4" t="s">
        <v>85</v>
      </c>
      <c r="AU1" s="4" t="s">
        <v>86</v>
      </c>
      <c r="AV1" s="4" t="s">
        <v>87</v>
      </c>
      <c r="AW1" s="4" t="s">
        <v>88</v>
      </c>
      <c r="AX1" s="4" t="s">
        <v>89</v>
      </c>
      <c r="AY1" s="4" t="s">
        <v>90</v>
      </c>
      <c r="AZ1" s="4" t="s">
        <v>91</v>
      </c>
      <c r="BA1" s="4" t="s">
        <v>92</v>
      </c>
      <c r="BB1" s="4" t="s">
        <v>93</v>
      </c>
      <c r="BC1" s="4" t="s">
        <v>94</v>
      </c>
      <c r="BD1" s="4" t="s">
        <v>95</v>
      </c>
      <c r="BE1" s="4" t="s">
        <v>96</v>
      </c>
      <c r="BF1" s="4" t="s">
        <v>97</v>
      </c>
      <c r="BG1" s="4" t="s">
        <v>98</v>
      </c>
      <c r="BH1" s="4" t="s">
        <v>99</v>
      </c>
      <c r="BI1" s="4" t="s">
        <v>100</v>
      </c>
      <c r="BJ1" s="4" t="s">
        <v>101</v>
      </c>
      <c r="BK1" s="4" t="s">
        <v>102</v>
      </c>
      <c r="BL1" s="4" t="s">
        <v>103</v>
      </c>
      <c r="BM1" s="4" t="s">
        <v>104</v>
      </c>
      <c r="BN1" s="4" t="s">
        <v>105</v>
      </c>
      <c r="BO1" s="4" t="s">
        <v>106</v>
      </c>
      <c r="BP1" s="4" t="s">
        <v>107</v>
      </c>
      <c r="BQ1" s="4" t="s">
        <v>108</v>
      </c>
      <c r="BR1" s="4" t="s">
        <v>109</v>
      </c>
    </row>
    <row r="2" customFormat="false" ht="18" hidden="false" customHeight="true" outlineLevel="0" collapsed="false">
      <c r="C2" s="5"/>
      <c r="AR2" s="5"/>
    </row>
    <row r="3" customFormat="false" ht="18" hidden="false" customHeight="true" outlineLevel="0" collapsed="false">
      <c r="C3" s="5"/>
      <c r="AR3" s="5"/>
    </row>
    <row r="4" customFormat="false" ht="18" hidden="false" customHeight="true" outlineLevel="0" collapsed="false">
      <c r="C4" s="5"/>
      <c r="AR4" s="5"/>
    </row>
    <row r="5" customFormat="false" ht="18" hidden="false" customHeight="true" outlineLevel="0" collapsed="false">
      <c r="C5" s="5"/>
      <c r="AR5" s="5"/>
    </row>
    <row r="6" customFormat="false" ht="18" hidden="false" customHeight="true" outlineLevel="0" collapsed="false">
      <c r="C6" s="5"/>
      <c r="AR6" s="5"/>
    </row>
    <row r="7" customFormat="false" ht="18" hidden="false" customHeight="true" outlineLevel="0" collapsed="false">
      <c r="C7" s="5"/>
      <c r="AR7" s="5"/>
    </row>
    <row r="8" customFormat="false" ht="18" hidden="false" customHeight="true" outlineLevel="0" collapsed="false">
      <c r="C8" s="5"/>
      <c r="AR8" s="5"/>
    </row>
    <row r="9" customFormat="false" ht="18" hidden="false" customHeight="true" outlineLevel="0" collapsed="false">
      <c r="C9" s="5"/>
      <c r="AR9" s="5"/>
    </row>
    <row r="10" customFormat="false" ht="18" hidden="false" customHeight="true" outlineLevel="0" collapsed="false">
      <c r="C10" s="5"/>
      <c r="AR10" s="5"/>
    </row>
    <row r="11" customFormat="false" ht="18" hidden="false" customHeight="true" outlineLevel="0" collapsed="false">
      <c r="C11" s="5"/>
      <c r="AR11" s="5"/>
    </row>
    <row r="12" customFormat="false" ht="18" hidden="false" customHeight="true" outlineLevel="0" collapsed="false">
      <c r="C12" s="5"/>
      <c r="AR12" s="5"/>
    </row>
    <row r="13" customFormat="false" ht="18" hidden="false" customHeight="true" outlineLevel="0" collapsed="false">
      <c r="C13" s="5"/>
      <c r="AR13" s="5"/>
    </row>
    <row r="14" customFormat="false" ht="18" hidden="false" customHeight="true" outlineLevel="0" collapsed="false">
      <c r="C14" s="5"/>
      <c r="AR14" s="5"/>
    </row>
    <row r="15" customFormat="false" ht="18" hidden="false" customHeight="true" outlineLevel="0" collapsed="false">
      <c r="C15" s="5"/>
      <c r="AR15" s="5"/>
    </row>
    <row r="16" customFormat="false" ht="18" hidden="false" customHeight="true" outlineLevel="0" collapsed="false">
      <c r="C16" s="5"/>
      <c r="AR16" s="5"/>
    </row>
    <row r="17" customFormat="false" ht="18" hidden="false" customHeight="true" outlineLevel="0" collapsed="false">
      <c r="C17" s="5"/>
      <c r="AR17" s="5"/>
    </row>
    <row r="18" customFormat="false" ht="18" hidden="false" customHeight="true" outlineLevel="0" collapsed="false">
      <c r="C18" s="5"/>
      <c r="AR18" s="5"/>
    </row>
    <row r="19" customFormat="false" ht="18" hidden="false" customHeight="true" outlineLevel="0" collapsed="false">
      <c r="C19" s="5"/>
      <c r="AR19" s="5"/>
    </row>
    <row r="20" customFormat="false" ht="18" hidden="false" customHeight="true" outlineLevel="0" collapsed="false">
      <c r="C20" s="5"/>
      <c r="AR20" s="5"/>
    </row>
    <row r="21" customFormat="false" ht="18" hidden="false" customHeight="true" outlineLevel="0" collapsed="false">
      <c r="C21" s="5"/>
      <c r="AR21" s="5"/>
    </row>
    <row r="22" customFormat="false" ht="18" hidden="false" customHeight="true" outlineLevel="0" collapsed="false">
      <c r="C22" s="5"/>
      <c r="AR22" s="5"/>
    </row>
    <row r="23" customFormat="false" ht="18" hidden="false" customHeight="true" outlineLevel="0" collapsed="false">
      <c r="C23" s="5"/>
      <c r="AR23" s="5"/>
    </row>
    <row r="24" customFormat="false" ht="18" hidden="false" customHeight="true" outlineLevel="0" collapsed="false">
      <c r="C24" s="5"/>
      <c r="AR24" s="5"/>
    </row>
    <row r="25" customFormat="false" ht="18" hidden="false" customHeight="true" outlineLevel="0" collapsed="false">
      <c r="C25" s="5"/>
      <c r="AR25" s="5"/>
    </row>
    <row r="26" customFormat="false" ht="18" hidden="false" customHeight="true" outlineLevel="0" collapsed="false">
      <c r="C26" s="5"/>
      <c r="AR26" s="5"/>
    </row>
    <row r="27" customFormat="false" ht="18" hidden="false" customHeight="true" outlineLevel="0" collapsed="false">
      <c r="C27" s="5"/>
      <c r="AR27" s="5"/>
    </row>
    <row r="28" customFormat="false" ht="18" hidden="false" customHeight="true" outlineLevel="0" collapsed="false">
      <c r="C28" s="5"/>
      <c r="AR28" s="5"/>
    </row>
    <row r="29" customFormat="false" ht="18" hidden="false" customHeight="true" outlineLevel="0" collapsed="false">
      <c r="C29" s="5"/>
      <c r="AR29" s="5"/>
    </row>
    <row r="30" customFormat="false" ht="18" hidden="false" customHeight="true" outlineLevel="0" collapsed="false">
      <c r="C30" s="5"/>
      <c r="AR30" s="5"/>
    </row>
    <row r="31" customFormat="false" ht="18" hidden="false" customHeight="true" outlineLevel="0" collapsed="false">
      <c r="C31" s="5"/>
      <c r="AR31" s="5"/>
    </row>
    <row r="32" customFormat="false" ht="18" hidden="false" customHeight="true" outlineLevel="0" collapsed="false">
      <c r="C32" s="5"/>
      <c r="AR32" s="5"/>
    </row>
    <row r="33" customFormat="false" ht="18" hidden="false" customHeight="true" outlineLevel="0" collapsed="false">
      <c r="C33" s="5"/>
      <c r="AR33" s="5"/>
    </row>
    <row r="34" customFormat="false" ht="18" hidden="false" customHeight="true" outlineLevel="0" collapsed="false">
      <c r="C34" s="5"/>
      <c r="AR34" s="5"/>
    </row>
    <row r="35" customFormat="false" ht="18" hidden="false" customHeight="true" outlineLevel="0" collapsed="false">
      <c r="C35" s="5"/>
      <c r="AR35" s="5"/>
    </row>
    <row r="36" customFormat="false" ht="18" hidden="false" customHeight="true" outlineLevel="0" collapsed="false">
      <c r="C36" s="5"/>
      <c r="AR36" s="5"/>
    </row>
    <row r="37" customFormat="false" ht="18" hidden="false" customHeight="true" outlineLevel="0" collapsed="false">
      <c r="C37" s="5"/>
      <c r="AR37" s="5"/>
    </row>
    <row r="38" customFormat="false" ht="18" hidden="false" customHeight="true" outlineLevel="0" collapsed="false">
      <c r="C38" s="5"/>
      <c r="AR38" s="5"/>
    </row>
    <row r="39" customFormat="false" ht="18" hidden="false" customHeight="true" outlineLevel="0" collapsed="false">
      <c r="C39" s="5"/>
      <c r="AR39" s="5"/>
    </row>
    <row r="40" customFormat="false" ht="18" hidden="false" customHeight="true" outlineLevel="0" collapsed="false">
      <c r="C40" s="5"/>
      <c r="AR40" s="5"/>
    </row>
    <row r="41" customFormat="false" ht="18" hidden="false" customHeight="true" outlineLevel="0" collapsed="false">
      <c r="C41" s="5"/>
      <c r="AR41" s="5"/>
    </row>
    <row r="42" customFormat="false" ht="18" hidden="false" customHeight="true" outlineLevel="0" collapsed="false">
      <c r="C42" s="5"/>
      <c r="AR42" s="5"/>
    </row>
    <row r="43" customFormat="false" ht="18" hidden="false" customHeight="true" outlineLevel="0" collapsed="false">
      <c r="C43" s="5"/>
      <c r="AR43" s="5"/>
    </row>
    <row r="44" customFormat="false" ht="18" hidden="false" customHeight="true" outlineLevel="0" collapsed="false">
      <c r="C44" s="5"/>
      <c r="AR44" s="5"/>
    </row>
    <row r="45" customFormat="false" ht="18" hidden="false" customHeight="true" outlineLevel="0" collapsed="false">
      <c r="C45" s="5"/>
      <c r="AR45" s="5"/>
    </row>
    <row r="46" customFormat="false" ht="18" hidden="false" customHeight="true" outlineLevel="0" collapsed="false">
      <c r="C46" s="5"/>
      <c r="AR46" s="5"/>
    </row>
    <row r="47" customFormat="false" ht="18" hidden="false" customHeight="true" outlineLevel="0" collapsed="false">
      <c r="C47" s="5"/>
      <c r="AR47" s="5"/>
    </row>
    <row r="48" customFormat="false" ht="18" hidden="false" customHeight="true" outlineLevel="0" collapsed="false">
      <c r="C48" s="5"/>
      <c r="AR48" s="5"/>
    </row>
    <row r="49" customFormat="false" ht="18" hidden="false" customHeight="true" outlineLevel="0" collapsed="false">
      <c r="C49" s="5"/>
      <c r="AR49" s="5"/>
    </row>
    <row r="50" customFormat="false" ht="18" hidden="false" customHeight="true" outlineLevel="0" collapsed="false">
      <c r="C50" s="5"/>
      <c r="AR50" s="5"/>
    </row>
    <row r="51" customFormat="false" ht="18" hidden="false" customHeight="true" outlineLevel="0" collapsed="false">
      <c r="C51" s="5"/>
      <c r="AR51" s="5"/>
    </row>
    <row r="52" customFormat="false" ht="18" hidden="false" customHeight="true" outlineLevel="0" collapsed="false">
      <c r="C52" s="5"/>
      <c r="AR52" s="5"/>
    </row>
    <row r="53" customFormat="false" ht="18" hidden="false" customHeight="true" outlineLevel="0" collapsed="false">
      <c r="C53" s="5"/>
      <c r="AR53" s="5"/>
    </row>
    <row r="54" customFormat="false" ht="18" hidden="false" customHeight="true" outlineLevel="0" collapsed="false">
      <c r="C54" s="5"/>
      <c r="AR54" s="5"/>
    </row>
    <row r="55" customFormat="false" ht="18" hidden="false" customHeight="true" outlineLevel="0" collapsed="false">
      <c r="C55" s="5"/>
      <c r="AR55" s="5"/>
    </row>
    <row r="56" customFormat="false" ht="18" hidden="false" customHeight="true" outlineLevel="0" collapsed="false">
      <c r="C56" s="5"/>
      <c r="AR56" s="5"/>
    </row>
    <row r="57" customFormat="false" ht="18" hidden="false" customHeight="true" outlineLevel="0" collapsed="false">
      <c r="C57" s="5"/>
      <c r="AR57" s="5"/>
    </row>
    <row r="58" customFormat="false" ht="18" hidden="false" customHeight="true" outlineLevel="0" collapsed="false">
      <c r="C58" s="5"/>
      <c r="AR58" s="5"/>
    </row>
    <row r="59" customFormat="false" ht="18" hidden="false" customHeight="true" outlineLevel="0" collapsed="false">
      <c r="C59" s="5"/>
      <c r="AR59" s="5"/>
    </row>
    <row r="60" customFormat="false" ht="18" hidden="false" customHeight="true" outlineLevel="0" collapsed="false">
      <c r="C60" s="5"/>
      <c r="AR60" s="5"/>
    </row>
    <row r="61" customFormat="false" ht="18" hidden="false" customHeight="true" outlineLevel="0" collapsed="false">
      <c r="C61" s="5"/>
      <c r="AR61" s="5"/>
    </row>
    <row r="62" customFormat="false" ht="18" hidden="false" customHeight="true" outlineLevel="0" collapsed="false">
      <c r="C62" s="5"/>
      <c r="AR62" s="5"/>
    </row>
    <row r="63" customFormat="false" ht="18" hidden="false" customHeight="true" outlineLevel="0" collapsed="false">
      <c r="C63" s="5"/>
      <c r="AR63" s="5"/>
    </row>
    <row r="64" customFormat="false" ht="18" hidden="false" customHeight="true" outlineLevel="0" collapsed="false">
      <c r="C64" s="5"/>
      <c r="AR64" s="5"/>
    </row>
    <row r="65" customFormat="false" ht="18" hidden="false" customHeight="true" outlineLevel="0" collapsed="false">
      <c r="C65" s="5"/>
      <c r="AR65" s="5"/>
    </row>
    <row r="66" customFormat="false" ht="18" hidden="false" customHeight="true" outlineLevel="0" collapsed="false">
      <c r="C66" s="5"/>
      <c r="AR66" s="5"/>
    </row>
    <row r="67" customFormat="false" ht="18" hidden="false" customHeight="true" outlineLevel="0" collapsed="false">
      <c r="C67" s="5"/>
      <c r="AR67" s="5"/>
    </row>
    <row r="68" customFormat="false" ht="18" hidden="false" customHeight="true" outlineLevel="0" collapsed="false">
      <c r="C68" s="5"/>
      <c r="AR68" s="5"/>
    </row>
    <row r="69" customFormat="false" ht="18" hidden="false" customHeight="true" outlineLevel="0" collapsed="false">
      <c r="C69" s="5"/>
      <c r="AR69" s="5"/>
    </row>
    <row r="70" customFormat="false" ht="18" hidden="false" customHeight="true" outlineLevel="0" collapsed="false">
      <c r="C70" s="5"/>
      <c r="AR70" s="5"/>
    </row>
    <row r="71" customFormat="false" ht="18" hidden="false" customHeight="true" outlineLevel="0" collapsed="false">
      <c r="C71" s="5"/>
      <c r="AR71" s="5"/>
    </row>
    <row r="72" customFormat="false" ht="18" hidden="false" customHeight="true" outlineLevel="0" collapsed="false">
      <c r="C72" s="5"/>
      <c r="AR72" s="5"/>
    </row>
    <row r="73" customFormat="false" ht="18" hidden="false" customHeight="true" outlineLevel="0" collapsed="false">
      <c r="C73" s="5"/>
      <c r="AR73" s="5"/>
    </row>
    <row r="74" customFormat="false" ht="18" hidden="false" customHeight="true" outlineLevel="0" collapsed="false">
      <c r="C74" s="5"/>
      <c r="AR74" s="5"/>
    </row>
    <row r="75" customFormat="false" ht="18" hidden="false" customHeight="true" outlineLevel="0" collapsed="false">
      <c r="C75" s="5"/>
      <c r="AR75" s="5"/>
    </row>
    <row r="76" customFormat="false" ht="18" hidden="false" customHeight="true" outlineLevel="0" collapsed="false">
      <c r="C76" s="5"/>
      <c r="AR76" s="5"/>
    </row>
    <row r="77" customFormat="false" ht="18" hidden="false" customHeight="true" outlineLevel="0" collapsed="false">
      <c r="C77" s="5"/>
      <c r="AR77" s="5"/>
    </row>
    <row r="78" customFormat="false" ht="18" hidden="false" customHeight="true" outlineLevel="0" collapsed="false">
      <c r="C78" s="5"/>
      <c r="AR78" s="5"/>
    </row>
    <row r="79" customFormat="false" ht="18" hidden="false" customHeight="true" outlineLevel="0" collapsed="false">
      <c r="C79" s="5"/>
      <c r="AR79" s="5"/>
    </row>
    <row r="80" customFormat="false" ht="18" hidden="false" customHeight="true" outlineLevel="0" collapsed="false">
      <c r="C80" s="5"/>
      <c r="AR80" s="5"/>
    </row>
    <row r="81" customFormat="false" ht="18" hidden="false" customHeight="true" outlineLevel="0" collapsed="false">
      <c r="C81" s="5"/>
      <c r="AR81" s="5"/>
    </row>
    <row r="82" customFormat="false" ht="18" hidden="false" customHeight="true" outlineLevel="0" collapsed="false">
      <c r="C82" s="5"/>
      <c r="AR82" s="5"/>
    </row>
    <row r="83" customFormat="false" ht="18" hidden="false" customHeight="true" outlineLevel="0" collapsed="false">
      <c r="C83" s="5"/>
      <c r="AR83" s="5"/>
    </row>
    <row r="84" customFormat="false" ht="18" hidden="false" customHeight="true" outlineLevel="0" collapsed="false">
      <c r="C84" s="5"/>
      <c r="AR84" s="5"/>
    </row>
    <row r="85" customFormat="false" ht="18" hidden="false" customHeight="true" outlineLevel="0" collapsed="false">
      <c r="C85" s="5"/>
      <c r="AR85" s="5"/>
    </row>
    <row r="86" customFormat="false" ht="18" hidden="false" customHeight="true" outlineLevel="0" collapsed="false">
      <c r="C86" s="5"/>
      <c r="AR86" s="5"/>
    </row>
    <row r="87" customFormat="false" ht="18" hidden="false" customHeight="true" outlineLevel="0" collapsed="false">
      <c r="C87" s="5"/>
      <c r="AR87" s="5"/>
    </row>
    <row r="88" customFormat="false" ht="18" hidden="false" customHeight="true" outlineLevel="0" collapsed="false">
      <c r="C88" s="5"/>
      <c r="AR88" s="5"/>
    </row>
    <row r="89" customFormat="false" ht="18" hidden="false" customHeight="true" outlineLevel="0" collapsed="false">
      <c r="C89" s="5"/>
      <c r="AR89" s="5"/>
    </row>
    <row r="90" customFormat="false" ht="18" hidden="false" customHeight="true" outlineLevel="0" collapsed="false">
      <c r="C90" s="5"/>
      <c r="AR90" s="5"/>
    </row>
    <row r="91" customFormat="false" ht="18" hidden="false" customHeight="true" outlineLevel="0" collapsed="false">
      <c r="C91" s="5"/>
      <c r="AR91" s="5"/>
    </row>
    <row r="92" customFormat="false" ht="18" hidden="false" customHeight="true" outlineLevel="0" collapsed="false">
      <c r="C92" s="5"/>
      <c r="AR92" s="5"/>
    </row>
    <row r="93" customFormat="false" ht="18" hidden="false" customHeight="true" outlineLevel="0" collapsed="false">
      <c r="C93" s="5"/>
      <c r="AR93" s="5"/>
    </row>
    <row r="94" customFormat="false" ht="18" hidden="false" customHeight="true" outlineLevel="0" collapsed="false">
      <c r="C94" s="5"/>
      <c r="AR94" s="5"/>
    </row>
    <row r="95" customFormat="false" ht="18" hidden="false" customHeight="true" outlineLevel="0" collapsed="false">
      <c r="C95" s="5"/>
      <c r="AR95" s="5"/>
    </row>
    <row r="96" customFormat="false" ht="18" hidden="false" customHeight="true" outlineLevel="0" collapsed="false">
      <c r="C96" s="5"/>
      <c r="AR96" s="5"/>
    </row>
    <row r="97" customFormat="false" ht="18" hidden="false" customHeight="true" outlineLevel="0" collapsed="false">
      <c r="C97" s="5"/>
      <c r="AR97" s="5"/>
    </row>
    <row r="98" customFormat="false" ht="18" hidden="false" customHeight="true" outlineLevel="0" collapsed="false">
      <c r="C98" s="5"/>
      <c r="AR98" s="5"/>
    </row>
    <row r="99" customFormat="false" ht="18" hidden="false" customHeight="true" outlineLevel="0" collapsed="false">
      <c r="C99" s="5"/>
      <c r="AR99" s="5"/>
    </row>
    <row r="100" customFormat="false" ht="18" hidden="false" customHeight="true" outlineLevel="0" collapsed="false">
      <c r="C100" s="5"/>
      <c r="AR100" s="5"/>
    </row>
    <row r="101" customFormat="false" ht="18" hidden="false" customHeight="true" outlineLevel="0" collapsed="false">
      <c r="C101" s="5"/>
      <c r="AR101" s="5"/>
    </row>
    <row r="102" customFormat="false" ht="18" hidden="false" customHeight="true" outlineLevel="0" collapsed="false">
      <c r="C102" s="5"/>
      <c r="AR102" s="5"/>
    </row>
    <row r="103" customFormat="false" ht="18" hidden="false" customHeight="true" outlineLevel="0" collapsed="false">
      <c r="C103" s="5"/>
      <c r="AR103" s="5"/>
    </row>
    <row r="104" customFormat="false" ht="18" hidden="false" customHeight="true" outlineLevel="0" collapsed="false">
      <c r="C104" s="5"/>
      <c r="AR104" s="5"/>
    </row>
    <row r="105" customFormat="false" ht="18" hidden="false" customHeight="true" outlineLevel="0" collapsed="false">
      <c r="C105" s="5"/>
      <c r="AR105" s="5"/>
    </row>
    <row r="106" customFormat="false" ht="18" hidden="false" customHeight="true" outlineLevel="0" collapsed="false">
      <c r="C106" s="5"/>
      <c r="AR106" s="5"/>
    </row>
    <row r="107" customFormat="false" ht="18" hidden="false" customHeight="true" outlineLevel="0" collapsed="false">
      <c r="C107" s="5"/>
      <c r="AR107" s="5"/>
    </row>
    <row r="108" customFormat="false" ht="18" hidden="false" customHeight="true" outlineLevel="0" collapsed="false">
      <c r="C108" s="5"/>
      <c r="AR108" s="5"/>
    </row>
    <row r="109" customFormat="false" ht="18" hidden="false" customHeight="true" outlineLevel="0" collapsed="false">
      <c r="C109" s="5"/>
      <c r="AR109" s="5"/>
    </row>
    <row r="110" customFormat="false" ht="18" hidden="false" customHeight="true" outlineLevel="0" collapsed="false">
      <c r="C110" s="5"/>
      <c r="AR110" s="5"/>
    </row>
    <row r="111" customFormat="false" ht="18" hidden="false" customHeight="true" outlineLevel="0" collapsed="false">
      <c r="C111" s="5"/>
      <c r="AR111" s="5"/>
    </row>
    <row r="112" customFormat="false" ht="18" hidden="false" customHeight="true" outlineLevel="0" collapsed="false">
      <c r="C112" s="5"/>
      <c r="AR112" s="5"/>
    </row>
    <row r="113" customFormat="false" ht="18" hidden="false" customHeight="true" outlineLevel="0" collapsed="false">
      <c r="C113" s="5"/>
      <c r="AR113" s="5"/>
    </row>
    <row r="114" customFormat="false" ht="18" hidden="false" customHeight="true" outlineLevel="0" collapsed="false">
      <c r="C114" s="5"/>
      <c r="AR114" s="5"/>
    </row>
    <row r="115" customFormat="false" ht="18" hidden="false" customHeight="true" outlineLevel="0" collapsed="false">
      <c r="C115" s="5"/>
      <c r="AR115" s="5"/>
    </row>
    <row r="116" customFormat="false" ht="18" hidden="false" customHeight="true" outlineLevel="0" collapsed="false">
      <c r="C116" s="5"/>
      <c r="AR116" s="5"/>
    </row>
    <row r="117" customFormat="false" ht="18" hidden="false" customHeight="true" outlineLevel="0" collapsed="false">
      <c r="C117" s="5"/>
      <c r="AR117" s="5"/>
    </row>
    <row r="118" customFormat="false" ht="18" hidden="false" customHeight="true" outlineLevel="0" collapsed="false">
      <c r="C118" s="5"/>
      <c r="AR118" s="5"/>
    </row>
    <row r="119" customFormat="false" ht="18" hidden="false" customHeight="true" outlineLevel="0" collapsed="false">
      <c r="C119" s="5"/>
      <c r="AR119" s="5"/>
    </row>
    <row r="120" customFormat="false" ht="18" hidden="false" customHeight="true" outlineLevel="0" collapsed="false">
      <c r="C120" s="5"/>
      <c r="AR120" s="5"/>
    </row>
    <row r="121" customFormat="false" ht="18" hidden="false" customHeight="true" outlineLevel="0" collapsed="false">
      <c r="C121" s="5"/>
      <c r="AR121" s="5"/>
    </row>
    <row r="122" customFormat="false" ht="18" hidden="false" customHeight="true" outlineLevel="0" collapsed="false">
      <c r="C122" s="5"/>
      <c r="AR122" s="5"/>
    </row>
    <row r="123" customFormat="false" ht="18" hidden="false" customHeight="true" outlineLevel="0" collapsed="false">
      <c r="C123" s="5"/>
      <c r="AR123" s="5"/>
    </row>
    <row r="124" customFormat="false" ht="18" hidden="false" customHeight="true" outlineLevel="0" collapsed="false">
      <c r="C124" s="5"/>
      <c r="AR124" s="5"/>
    </row>
    <row r="125" customFormat="false" ht="18" hidden="false" customHeight="true" outlineLevel="0" collapsed="false">
      <c r="C125" s="5"/>
      <c r="AR125" s="5"/>
    </row>
    <row r="126" customFormat="false" ht="18" hidden="false" customHeight="true" outlineLevel="0" collapsed="false">
      <c r="C126" s="5"/>
      <c r="AR126" s="5"/>
    </row>
    <row r="127" customFormat="false" ht="18" hidden="false" customHeight="true" outlineLevel="0" collapsed="false">
      <c r="C127" s="5"/>
      <c r="AR127" s="5"/>
    </row>
    <row r="128" customFormat="false" ht="18" hidden="false" customHeight="true" outlineLevel="0" collapsed="false">
      <c r="C128" s="5"/>
      <c r="AR128" s="5"/>
    </row>
    <row r="129" customFormat="false" ht="18" hidden="false" customHeight="true" outlineLevel="0" collapsed="false">
      <c r="C129" s="5"/>
      <c r="AR129" s="5"/>
    </row>
    <row r="130" customFormat="false" ht="18" hidden="false" customHeight="true" outlineLevel="0" collapsed="false">
      <c r="C130" s="5"/>
      <c r="AR130" s="5"/>
    </row>
    <row r="131" customFormat="false" ht="18" hidden="false" customHeight="true" outlineLevel="0" collapsed="false">
      <c r="C131" s="5"/>
      <c r="AR131" s="5"/>
    </row>
    <row r="132" customFormat="false" ht="18" hidden="false" customHeight="true" outlineLevel="0" collapsed="false">
      <c r="C132" s="5"/>
      <c r="AR132" s="5"/>
    </row>
    <row r="133" customFormat="false" ht="18" hidden="false" customHeight="true" outlineLevel="0" collapsed="false">
      <c r="C133" s="5"/>
      <c r="AR133" s="5"/>
    </row>
    <row r="134" customFormat="false" ht="18" hidden="false" customHeight="true" outlineLevel="0" collapsed="false">
      <c r="C134" s="5"/>
      <c r="AR134" s="5"/>
    </row>
    <row r="135" customFormat="false" ht="18" hidden="false" customHeight="true" outlineLevel="0" collapsed="false">
      <c r="C135" s="5"/>
      <c r="AR135" s="5"/>
    </row>
    <row r="136" customFormat="false" ht="18" hidden="false" customHeight="true" outlineLevel="0" collapsed="false">
      <c r="C136" s="5"/>
      <c r="AR136" s="5"/>
    </row>
    <row r="137" customFormat="false" ht="18" hidden="false" customHeight="true" outlineLevel="0" collapsed="false">
      <c r="C137" s="5"/>
      <c r="AR137" s="5"/>
    </row>
    <row r="138" customFormat="false" ht="18" hidden="false" customHeight="true" outlineLevel="0" collapsed="false">
      <c r="C138" s="5"/>
      <c r="AR138" s="5"/>
    </row>
    <row r="139" customFormat="false" ht="18" hidden="false" customHeight="true" outlineLevel="0" collapsed="false">
      <c r="C139" s="5"/>
      <c r="AR139" s="5"/>
    </row>
    <row r="140" customFormat="false" ht="18" hidden="false" customHeight="true" outlineLevel="0" collapsed="false">
      <c r="C140" s="5"/>
      <c r="AR140" s="5"/>
    </row>
    <row r="141" customFormat="false" ht="18" hidden="false" customHeight="true" outlineLevel="0" collapsed="false">
      <c r="C141" s="5"/>
      <c r="AR141" s="5"/>
    </row>
    <row r="142" customFormat="false" ht="18" hidden="false" customHeight="true" outlineLevel="0" collapsed="false">
      <c r="C142" s="5"/>
      <c r="AR142" s="5"/>
    </row>
    <row r="143" customFormat="false" ht="18" hidden="false" customHeight="true" outlineLevel="0" collapsed="false">
      <c r="C143" s="5"/>
      <c r="AR143" s="5"/>
    </row>
    <row r="144" customFormat="false" ht="18" hidden="false" customHeight="true" outlineLevel="0" collapsed="false">
      <c r="C144" s="5"/>
      <c r="AR144" s="5"/>
    </row>
    <row r="145" customFormat="false" ht="18" hidden="false" customHeight="true" outlineLevel="0" collapsed="false">
      <c r="C145" s="5"/>
      <c r="AR145" s="5"/>
    </row>
    <row r="146" customFormat="false" ht="18" hidden="false" customHeight="true" outlineLevel="0" collapsed="false">
      <c r="C146" s="5"/>
      <c r="AR146" s="5"/>
    </row>
    <row r="147" customFormat="false" ht="18" hidden="false" customHeight="true" outlineLevel="0" collapsed="false">
      <c r="C147" s="5"/>
      <c r="AR147" s="5"/>
    </row>
    <row r="148" customFormat="false" ht="18" hidden="false" customHeight="true" outlineLevel="0" collapsed="false">
      <c r="C148" s="5"/>
      <c r="AR148" s="5"/>
    </row>
    <row r="149" customFormat="false" ht="18" hidden="false" customHeight="true" outlineLevel="0" collapsed="false">
      <c r="C149" s="5"/>
      <c r="AR149" s="5"/>
    </row>
    <row r="150" customFormat="false" ht="18" hidden="false" customHeight="true" outlineLevel="0" collapsed="false">
      <c r="C150" s="5"/>
      <c r="AR150" s="5"/>
    </row>
    <row r="151" customFormat="false" ht="18" hidden="false" customHeight="true" outlineLevel="0" collapsed="false">
      <c r="C151" s="5"/>
      <c r="AR151" s="5"/>
    </row>
    <row r="152" customFormat="false" ht="18" hidden="false" customHeight="true" outlineLevel="0" collapsed="false">
      <c r="C152" s="5"/>
      <c r="AR152" s="5"/>
    </row>
    <row r="153" customFormat="false" ht="18" hidden="false" customHeight="true" outlineLevel="0" collapsed="false">
      <c r="C153" s="5"/>
      <c r="AR153" s="5"/>
    </row>
    <row r="154" customFormat="false" ht="18" hidden="false" customHeight="true" outlineLevel="0" collapsed="false">
      <c r="C154" s="5"/>
      <c r="AR154" s="5"/>
    </row>
    <row r="155" customFormat="false" ht="18" hidden="false" customHeight="true" outlineLevel="0" collapsed="false">
      <c r="C155" s="5"/>
      <c r="AR155" s="5"/>
    </row>
    <row r="156" customFormat="false" ht="18" hidden="false" customHeight="true" outlineLevel="0" collapsed="false">
      <c r="C156" s="5"/>
      <c r="AR156" s="5"/>
    </row>
    <row r="157" customFormat="false" ht="18" hidden="false" customHeight="true" outlineLevel="0" collapsed="false">
      <c r="C157" s="5"/>
      <c r="AR157" s="5"/>
    </row>
    <row r="158" customFormat="false" ht="18" hidden="false" customHeight="true" outlineLevel="0" collapsed="false">
      <c r="C158" s="5"/>
      <c r="AR158" s="5"/>
    </row>
    <row r="159" customFormat="false" ht="18" hidden="false" customHeight="true" outlineLevel="0" collapsed="false">
      <c r="C159" s="5"/>
      <c r="AR159" s="5"/>
    </row>
    <row r="160" customFormat="false" ht="18" hidden="false" customHeight="true" outlineLevel="0" collapsed="false">
      <c r="C160" s="5"/>
      <c r="AR160" s="5"/>
    </row>
    <row r="161" customFormat="false" ht="18" hidden="false" customHeight="true" outlineLevel="0" collapsed="false">
      <c r="C161" s="5"/>
      <c r="AR161" s="5"/>
    </row>
    <row r="162" customFormat="false" ht="18" hidden="false" customHeight="true" outlineLevel="0" collapsed="false">
      <c r="C162" s="5"/>
      <c r="AR162" s="5"/>
    </row>
    <row r="163" customFormat="false" ht="18" hidden="false" customHeight="true" outlineLevel="0" collapsed="false">
      <c r="C163" s="5"/>
      <c r="AR163" s="5"/>
    </row>
    <row r="164" customFormat="false" ht="18" hidden="false" customHeight="true" outlineLevel="0" collapsed="false">
      <c r="C164" s="5"/>
      <c r="AR164" s="5"/>
    </row>
    <row r="165" customFormat="false" ht="18" hidden="false" customHeight="true" outlineLevel="0" collapsed="false">
      <c r="C165" s="5"/>
      <c r="AR165" s="5"/>
    </row>
    <row r="166" customFormat="false" ht="18" hidden="false" customHeight="true" outlineLevel="0" collapsed="false">
      <c r="C166" s="5"/>
      <c r="AR166" s="5"/>
    </row>
    <row r="167" customFormat="false" ht="18" hidden="false" customHeight="true" outlineLevel="0" collapsed="false">
      <c r="C167" s="5"/>
      <c r="AR167" s="5"/>
    </row>
    <row r="168" customFormat="false" ht="18" hidden="false" customHeight="true" outlineLevel="0" collapsed="false">
      <c r="C168" s="5"/>
      <c r="AR168" s="5"/>
    </row>
    <row r="169" customFormat="false" ht="18" hidden="false" customHeight="true" outlineLevel="0" collapsed="false">
      <c r="C169" s="5"/>
      <c r="AR169" s="5"/>
    </row>
    <row r="170" customFormat="false" ht="18" hidden="false" customHeight="true" outlineLevel="0" collapsed="false">
      <c r="C170" s="5"/>
      <c r="AR170" s="5"/>
    </row>
    <row r="171" customFormat="false" ht="18" hidden="false" customHeight="true" outlineLevel="0" collapsed="false">
      <c r="C171" s="5"/>
      <c r="AR171" s="5"/>
    </row>
    <row r="172" customFormat="false" ht="18" hidden="false" customHeight="true" outlineLevel="0" collapsed="false">
      <c r="C172" s="5"/>
      <c r="AR172" s="5"/>
    </row>
    <row r="173" customFormat="false" ht="18" hidden="false" customHeight="true" outlineLevel="0" collapsed="false">
      <c r="C173" s="5"/>
      <c r="AR173" s="5"/>
    </row>
    <row r="174" customFormat="false" ht="18" hidden="false" customHeight="true" outlineLevel="0" collapsed="false">
      <c r="C174" s="5"/>
      <c r="AR174" s="5"/>
    </row>
    <row r="175" customFormat="false" ht="18" hidden="false" customHeight="true" outlineLevel="0" collapsed="false">
      <c r="C175" s="5"/>
      <c r="AR175" s="5"/>
    </row>
    <row r="176" customFormat="false" ht="18" hidden="false" customHeight="true" outlineLevel="0" collapsed="false">
      <c r="C176" s="5"/>
      <c r="AR176" s="5"/>
    </row>
    <row r="177" customFormat="false" ht="18" hidden="false" customHeight="true" outlineLevel="0" collapsed="false">
      <c r="C177" s="5"/>
      <c r="AR177" s="5"/>
    </row>
    <row r="178" customFormat="false" ht="18" hidden="false" customHeight="true" outlineLevel="0" collapsed="false">
      <c r="C178" s="5"/>
      <c r="AR178" s="5"/>
    </row>
    <row r="179" customFormat="false" ht="18" hidden="false" customHeight="true" outlineLevel="0" collapsed="false">
      <c r="C179" s="5"/>
      <c r="AR179" s="5"/>
    </row>
    <row r="180" customFormat="false" ht="18" hidden="false" customHeight="true" outlineLevel="0" collapsed="false">
      <c r="C180" s="5"/>
      <c r="AR180" s="5"/>
    </row>
    <row r="181" customFormat="false" ht="18" hidden="false" customHeight="true" outlineLevel="0" collapsed="false">
      <c r="C181" s="5"/>
      <c r="AR181" s="5"/>
    </row>
    <row r="182" customFormat="false" ht="18" hidden="false" customHeight="true" outlineLevel="0" collapsed="false">
      <c r="C182" s="5"/>
      <c r="AR182" s="5"/>
    </row>
    <row r="183" customFormat="false" ht="18" hidden="false" customHeight="true" outlineLevel="0" collapsed="false">
      <c r="C183" s="5"/>
      <c r="AR183" s="5"/>
    </row>
    <row r="184" customFormat="false" ht="18" hidden="false" customHeight="true" outlineLevel="0" collapsed="false">
      <c r="C184" s="5"/>
      <c r="AR184" s="5"/>
    </row>
    <row r="185" customFormat="false" ht="18" hidden="false" customHeight="true" outlineLevel="0" collapsed="false">
      <c r="C185" s="5"/>
      <c r="AR185" s="5"/>
    </row>
    <row r="186" customFormat="false" ht="18" hidden="false" customHeight="true" outlineLevel="0" collapsed="false">
      <c r="C186" s="5"/>
      <c r="AR186" s="5"/>
    </row>
    <row r="187" customFormat="false" ht="18" hidden="false" customHeight="true" outlineLevel="0" collapsed="false">
      <c r="C187" s="5"/>
      <c r="AR187" s="5"/>
    </row>
    <row r="188" customFormat="false" ht="18" hidden="false" customHeight="true" outlineLevel="0" collapsed="false">
      <c r="C188" s="5"/>
      <c r="AR188" s="5"/>
    </row>
    <row r="189" customFormat="false" ht="18" hidden="false" customHeight="true" outlineLevel="0" collapsed="false">
      <c r="C189" s="5"/>
      <c r="AR189" s="5"/>
    </row>
    <row r="190" customFormat="false" ht="18" hidden="false" customHeight="true" outlineLevel="0" collapsed="false">
      <c r="C190" s="5"/>
      <c r="AR190" s="5"/>
    </row>
    <row r="191" customFormat="false" ht="18" hidden="false" customHeight="true" outlineLevel="0" collapsed="false">
      <c r="C191" s="5"/>
      <c r="AR191" s="5"/>
    </row>
    <row r="192" customFormat="false" ht="18" hidden="false" customHeight="true" outlineLevel="0" collapsed="false">
      <c r="C192" s="5"/>
      <c r="AR192" s="5"/>
    </row>
    <row r="193" customFormat="false" ht="18" hidden="false" customHeight="true" outlineLevel="0" collapsed="false">
      <c r="C193" s="5"/>
      <c r="AR193" s="5"/>
    </row>
    <row r="194" customFormat="false" ht="18" hidden="false" customHeight="true" outlineLevel="0" collapsed="false">
      <c r="C194" s="5"/>
      <c r="AR194" s="5"/>
    </row>
    <row r="195" customFormat="false" ht="18" hidden="false" customHeight="true" outlineLevel="0" collapsed="false">
      <c r="C195" s="5"/>
      <c r="AR195" s="5"/>
    </row>
    <row r="196" customFormat="false" ht="18" hidden="false" customHeight="true" outlineLevel="0" collapsed="false">
      <c r="C196" s="5"/>
      <c r="AR196" s="5"/>
    </row>
    <row r="197" customFormat="false" ht="18" hidden="false" customHeight="true" outlineLevel="0" collapsed="false">
      <c r="C197" s="5"/>
      <c r="AR197" s="5"/>
    </row>
    <row r="198" customFormat="false" ht="18" hidden="false" customHeight="true" outlineLevel="0" collapsed="false">
      <c r="C198" s="5"/>
      <c r="AR198" s="5"/>
    </row>
    <row r="199" customFormat="false" ht="18" hidden="false" customHeight="true" outlineLevel="0" collapsed="false">
      <c r="C199" s="5"/>
      <c r="AR199" s="5"/>
    </row>
    <row r="200" customFormat="false" ht="18" hidden="false" customHeight="true" outlineLevel="0" collapsed="false">
      <c r="C200" s="5"/>
      <c r="AR200" s="5"/>
    </row>
    <row r="201" customFormat="false" ht="18" hidden="false" customHeight="true" outlineLevel="0" collapsed="false">
      <c r="C201" s="5"/>
      <c r="AR201" s="5"/>
    </row>
    <row r="202" customFormat="false" ht="18" hidden="false" customHeight="true" outlineLevel="0" collapsed="false">
      <c r="C202" s="5"/>
      <c r="AR202" s="5"/>
    </row>
    <row r="203" customFormat="false" ht="18" hidden="false" customHeight="true" outlineLevel="0" collapsed="false">
      <c r="C203" s="5"/>
      <c r="AR203" s="5"/>
    </row>
    <row r="204" customFormat="false" ht="18" hidden="false" customHeight="true" outlineLevel="0" collapsed="false">
      <c r="C204" s="5"/>
      <c r="AR204" s="5"/>
    </row>
    <row r="205" customFormat="false" ht="18" hidden="false" customHeight="true" outlineLevel="0" collapsed="false">
      <c r="C205" s="5"/>
      <c r="AR205" s="5"/>
    </row>
    <row r="206" customFormat="false" ht="18" hidden="false" customHeight="true" outlineLevel="0" collapsed="false">
      <c r="C206" s="5"/>
      <c r="AR206" s="5"/>
    </row>
    <row r="207" customFormat="false" ht="18" hidden="false" customHeight="true" outlineLevel="0" collapsed="false">
      <c r="C207" s="5"/>
      <c r="AR207" s="5"/>
    </row>
    <row r="208" customFormat="false" ht="18" hidden="false" customHeight="true" outlineLevel="0" collapsed="false">
      <c r="C208" s="5"/>
      <c r="AR208" s="5"/>
    </row>
    <row r="209" customFormat="false" ht="18" hidden="false" customHeight="true" outlineLevel="0" collapsed="false">
      <c r="C209" s="5"/>
      <c r="AR209" s="5"/>
    </row>
    <row r="210" customFormat="false" ht="18" hidden="false" customHeight="true" outlineLevel="0" collapsed="false">
      <c r="C210" s="5"/>
      <c r="AR210" s="5"/>
    </row>
    <row r="211" customFormat="false" ht="18" hidden="false" customHeight="true" outlineLevel="0" collapsed="false">
      <c r="C211" s="5"/>
      <c r="AR211" s="5"/>
    </row>
    <row r="212" customFormat="false" ht="18" hidden="false" customHeight="true" outlineLevel="0" collapsed="false">
      <c r="C212" s="5"/>
      <c r="AR212" s="5"/>
    </row>
    <row r="213" customFormat="false" ht="18" hidden="false" customHeight="true" outlineLevel="0" collapsed="false">
      <c r="C213" s="5"/>
      <c r="AR213" s="5"/>
    </row>
    <row r="214" customFormat="false" ht="18" hidden="false" customHeight="true" outlineLevel="0" collapsed="false">
      <c r="C214" s="5"/>
      <c r="AR214" s="5"/>
    </row>
    <row r="215" customFormat="false" ht="18" hidden="false" customHeight="true" outlineLevel="0" collapsed="false">
      <c r="C215" s="5"/>
      <c r="AR215" s="5"/>
    </row>
    <row r="216" customFormat="false" ht="18" hidden="false" customHeight="true" outlineLevel="0" collapsed="false">
      <c r="C216" s="5"/>
      <c r="AR216" s="5"/>
    </row>
    <row r="217" customFormat="false" ht="18" hidden="false" customHeight="true" outlineLevel="0" collapsed="false">
      <c r="C217" s="5"/>
      <c r="AR217" s="5"/>
    </row>
    <row r="218" customFormat="false" ht="18" hidden="false" customHeight="true" outlineLevel="0" collapsed="false">
      <c r="C218" s="5"/>
      <c r="AR218" s="5"/>
    </row>
    <row r="219" customFormat="false" ht="18" hidden="false" customHeight="true" outlineLevel="0" collapsed="false">
      <c r="C219" s="5"/>
      <c r="AR219" s="5"/>
    </row>
    <row r="220" customFormat="false" ht="18" hidden="false" customHeight="true" outlineLevel="0" collapsed="false">
      <c r="C220" s="5"/>
      <c r="AR220" s="5"/>
    </row>
    <row r="221" customFormat="false" ht="18" hidden="false" customHeight="true" outlineLevel="0" collapsed="false">
      <c r="C221" s="5"/>
      <c r="AR221" s="5"/>
    </row>
    <row r="222" customFormat="false" ht="18" hidden="false" customHeight="true" outlineLevel="0" collapsed="false">
      <c r="C222" s="5"/>
      <c r="AR222" s="5"/>
    </row>
    <row r="223" customFormat="false" ht="18" hidden="false" customHeight="true" outlineLevel="0" collapsed="false">
      <c r="C223" s="5"/>
      <c r="AR223" s="5"/>
    </row>
    <row r="224" customFormat="false" ht="18" hidden="false" customHeight="true" outlineLevel="0" collapsed="false">
      <c r="C224" s="5"/>
      <c r="AR224" s="5"/>
    </row>
    <row r="225" customFormat="false" ht="18" hidden="false" customHeight="true" outlineLevel="0" collapsed="false">
      <c r="C225" s="5"/>
      <c r="AR225" s="5"/>
    </row>
    <row r="226" customFormat="false" ht="18" hidden="false" customHeight="true" outlineLevel="0" collapsed="false">
      <c r="C226" s="5"/>
      <c r="AR226" s="5"/>
    </row>
    <row r="227" customFormat="false" ht="18" hidden="false" customHeight="true" outlineLevel="0" collapsed="false">
      <c r="C227" s="5"/>
      <c r="AR227" s="5"/>
    </row>
    <row r="228" customFormat="false" ht="18" hidden="false" customHeight="true" outlineLevel="0" collapsed="false">
      <c r="C228" s="5"/>
      <c r="AR228" s="5"/>
    </row>
    <row r="229" customFormat="false" ht="18" hidden="false" customHeight="true" outlineLevel="0" collapsed="false">
      <c r="C229" s="5"/>
      <c r="AR229" s="5"/>
    </row>
    <row r="230" customFormat="false" ht="18" hidden="false" customHeight="true" outlineLevel="0" collapsed="false">
      <c r="C230" s="5"/>
      <c r="AR230" s="5"/>
    </row>
    <row r="231" customFormat="false" ht="18" hidden="false" customHeight="true" outlineLevel="0" collapsed="false">
      <c r="C231" s="5"/>
      <c r="AR231" s="5"/>
    </row>
    <row r="232" customFormat="false" ht="18" hidden="false" customHeight="true" outlineLevel="0" collapsed="false">
      <c r="C232" s="5"/>
      <c r="AR232" s="5"/>
    </row>
    <row r="233" customFormat="false" ht="18" hidden="false" customHeight="true" outlineLevel="0" collapsed="false">
      <c r="C233" s="5"/>
      <c r="AR233" s="5"/>
    </row>
    <row r="234" customFormat="false" ht="18" hidden="false" customHeight="true" outlineLevel="0" collapsed="false">
      <c r="C234" s="5"/>
      <c r="AR234" s="5"/>
    </row>
    <row r="235" customFormat="false" ht="18" hidden="false" customHeight="true" outlineLevel="0" collapsed="false">
      <c r="C235" s="5"/>
      <c r="AR235" s="5"/>
    </row>
    <row r="236" customFormat="false" ht="18" hidden="false" customHeight="true" outlineLevel="0" collapsed="false">
      <c r="C236" s="5"/>
      <c r="AR236" s="5"/>
    </row>
    <row r="237" customFormat="false" ht="18" hidden="false" customHeight="true" outlineLevel="0" collapsed="false">
      <c r="C237" s="5"/>
      <c r="AR237" s="5"/>
    </row>
    <row r="238" customFormat="false" ht="18" hidden="false" customHeight="true" outlineLevel="0" collapsed="false">
      <c r="C238" s="5"/>
      <c r="AR238" s="5"/>
    </row>
    <row r="239" customFormat="false" ht="18" hidden="false" customHeight="true" outlineLevel="0" collapsed="false">
      <c r="C239" s="5"/>
      <c r="AR239" s="5"/>
    </row>
    <row r="240" customFormat="false" ht="18" hidden="false" customHeight="true" outlineLevel="0" collapsed="false">
      <c r="C240" s="5"/>
      <c r="AR240" s="5"/>
    </row>
    <row r="241" customFormat="false" ht="18" hidden="false" customHeight="true" outlineLevel="0" collapsed="false">
      <c r="C241" s="5"/>
      <c r="AR241" s="5"/>
    </row>
    <row r="242" customFormat="false" ht="18" hidden="false" customHeight="true" outlineLevel="0" collapsed="false">
      <c r="C242" s="5"/>
      <c r="AR242" s="5"/>
    </row>
    <row r="243" customFormat="false" ht="18" hidden="false" customHeight="true" outlineLevel="0" collapsed="false">
      <c r="C243" s="5"/>
      <c r="AR243" s="5"/>
    </row>
    <row r="244" customFormat="false" ht="18" hidden="false" customHeight="true" outlineLevel="0" collapsed="false">
      <c r="C244" s="5"/>
      <c r="AR244" s="5"/>
    </row>
    <row r="245" customFormat="false" ht="18" hidden="false" customHeight="true" outlineLevel="0" collapsed="false">
      <c r="C245" s="5"/>
      <c r="AR245" s="5"/>
    </row>
    <row r="246" customFormat="false" ht="18" hidden="false" customHeight="true" outlineLevel="0" collapsed="false">
      <c r="C246" s="5"/>
      <c r="AR246" s="5"/>
    </row>
    <row r="247" customFormat="false" ht="18" hidden="false" customHeight="true" outlineLevel="0" collapsed="false">
      <c r="C247" s="5"/>
      <c r="AR247" s="5"/>
    </row>
    <row r="248" customFormat="false" ht="18" hidden="false" customHeight="true" outlineLevel="0" collapsed="false">
      <c r="C248" s="5"/>
      <c r="AR248" s="5"/>
    </row>
    <row r="249" customFormat="false" ht="18" hidden="false" customHeight="true" outlineLevel="0" collapsed="false">
      <c r="C249" s="5"/>
      <c r="AR249" s="5"/>
    </row>
    <row r="250" customFormat="false" ht="18" hidden="false" customHeight="true" outlineLevel="0" collapsed="false">
      <c r="C250" s="5"/>
      <c r="AR250" s="5"/>
    </row>
    <row r="251" customFormat="false" ht="18" hidden="false" customHeight="true" outlineLevel="0" collapsed="false">
      <c r="C251" s="5"/>
      <c r="AR251" s="5"/>
    </row>
    <row r="252" customFormat="false" ht="18" hidden="false" customHeight="true" outlineLevel="0" collapsed="false">
      <c r="C252" s="5"/>
      <c r="AR252" s="5"/>
    </row>
    <row r="253" customFormat="false" ht="18" hidden="false" customHeight="true" outlineLevel="0" collapsed="false">
      <c r="C253" s="5"/>
      <c r="AR253" s="5"/>
    </row>
    <row r="254" customFormat="false" ht="18" hidden="false" customHeight="true" outlineLevel="0" collapsed="false">
      <c r="C254" s="5"/>
      <c r="AR254" s="5"/>
    </row>
    <row r="255" customFormat="false" ht="18" hidden="false" customHeight="true" outlineLevel="0" collapsed="false">
      <c r="C255" s="5"/>
      <c r="AR255" s="5"/>
    </row>
    <row r="256" customFormat="false" ht="18" hidden="false" customHeight="true" outlineLevel="0" collapsed="false">
      <c r="C256" s="5"/>
      <c r="AR256" s="5"/>
    </row>
    <row r="257" customFormat="false" ht="18" hidden="false" customHeight="true" outlineLevel="0" collapsed="false">
      <c r="C257" s="5"/>
      <c r="AR257" s="5"/>
    </row>
    <row r="258" customFormat="false" ht="18" hidden="false" customHeight="true" outlineLevel="0" collapsed="false">
      <c r="C258" s="5"/>
      <c r="AR258" s="5"/>
    </row>
    <row r="259" customFormat="false" ht="18" hidden="false" customHeight="true" outlineLevel="0" collapsed="false">
      <c r="C259" s="5"/>
      <c r="AR259" s="5"/>
    </row>
    <row r="260" customFormat="false" ht="18" hidden="false" customHeight="true" outlineLevel="0" collapsed="false">
      <c r="C260" s="5"/>
      <c r="AR260" s="5"/>
    </row>
    <row r="261" customFormat="false" ht="18" hidden="false" customHeight="true" outlineLevel="0" collapsed="false">
      <c r="C261" s="5"/>
      <c r="AR261" s="5"/>
    </row>
    <row r="262" customFormat="false" ht="18" hidden="false" customHeight="true" outlineLevel="0" collapsed="false">
      <c r="C262" s="5"/>
      <c r="AR262" s="5"/>
    </row>
    <row r="263" customFormat="false" ht="18" hidden="false" customHeight="true" outlineLevel="0" collapsed="false">
      <c r="C263" s="5"/>
      <c r="AR263" s="5"/>
    </row>
    <row r="264" customFormat="false" ht="18" hidden="false" customHeight="true" outlineLevel="0" collapsed="false">
      <c r="C264" s="5"/>
      <c r="AR264" s="5"/>
    </row>
    <row r="265" customFormat="false" ht="18" hidden="false" customHeight="true" outlineLevel="0" collapsed="false">
      <c r="C265" s="5"/>
      <c r="AR265" s="5"/>
    </row>
    <row r="266" customFormat="false" ht="18" hidden="false" customHeight="true" outlineLevel="0" collapsed="false">
      <c r="C266" s="5"/>
      <c r="AR266" s="5"/>
    </row>
    <row r="267" customFormat="false" ht="18" hidden="false" customHeight="true" outlineLevel="0" collapsed="false">
      <c r="C267" s="5"/>
      <c r="AR267" s="5"/>
    </row>
    <row r="268" customFormat="false" ht="18" hidden="false" customHeight="true" outlineLevel="0" collapsed="false">
      <c r="C268" s="5"/>
      <c r="AR268" s="5"/>
    </row>
    <row r="269" customFormat="false" ht="18" hidden="false" customHeight="true" outlineLevel="0" collapsed="false">
      <c r="C269" s="5"/>
      <c r="AR269" s="5"/>
    </row>
    <row r="270" customFormat="false" ht="18" hidden="false" customHeight="true" outlineLevel="0" collapsed="false">
      <c r="C270" s="5"/>
      <c r="AR270" s="5"/>
    </row>
    <row r="271" customFormat="false" ht="18" hidden="false" customHeight="true" outlineLevel="0" collapsed="false">
      <c r="C271" s="5"/>
      <c r="AR271" s="5"/>
    </row>
    <row r="272" customFormat="false" ht="18" hidden="false" customHeight="true" outlineLevel="0" collapsed="false">
      <c r="C272" s="5"/>
      <c r="AR272" s="5"/>
    </row>
    <row r="273" customFormat="false" ht="18" hidden="false" customHeight="true" outlineLevel="0" collapsed="false">
      <c r="C273" s="5"/>
      <c r="AR273" s="5"/>
    </row>
    <row r="274" customFormat="false" ht="18" hidden="false" customHeight="true" outlineLevel="0" collapsed="false">
      <c r="C274" s="5"/>
      <c r="AR274" s="5"/>
    </row>
    <row r="275" customFormat="false" ht="18" hidden="false" customHeight="true" outlineLevel="0" collapsed="false">
      <c r="C275" s="5"/>
      <c r="AR275" s="5"/>
    </row>
    <row r="276" customFormat="false" ht="18" hidden="false" customHeight="true" outlineLevel="0" collapsed="false">
      <c r="C276" s="5"/>
      <c r="AR276" s="5"/>
    </row>
    <row r="277" customFormat="false" ht="18" hidden="false" customHeight="true" outlineLevel="0" collapsed="false">
      <c r="C277" s="5"/>
      <c r="AR277" s="5"/>
    </row>
    <row r="278" customFormat="false" ht="18" hidden="false" customHeight="true" outlineLevel="0" collapsed="false">
      <c r="C278" s="5"/>
      <c r="AR278" s="5"/>
    </row>
    <row r="279" customFormat="false" ht="18" hidden="false" customHeight="true" outlineLevel="0" collapsed="false">
      <c r="C279" s="5"/>
      <c r="AR279" s="5"/>
    </row>
    <row r="280" customFormat="false" ht="18" hidden="false" customHeight="true" outlineLevel="0" collapsed="false">
      <c r="C280" s="5"/>
      <c r="AR280" s="5"/>
    </row>
    <row r="281" customFormat="false" ht="18" hidden="false" customHeight="true" outlineLevel="0" collapsed="false">
      <c r="C281" s="5"/>
      <c r="AR281" s="5"/>
    </row>
    <row r="282" customFormat="false" ht="18" hidden="false" customHeight="true" outlineLevel="0" collapsed="false">
      <c r="C282" s="5"/>
      <c r="AR282" s="5"/>
    </row>
    <row r="283" customFormat="false" ht="18" hidden="false" customHeight="true" outlineLevel="0" collapsed="false">
      <c r="C283" s="5"/>
      <c r="AR283" s="5"/>
    </row>
    <row r="284" customFormat="false" ht="18" hidden="false" customHeight="true" outlineLevel="0" collapsed="false">
      <c r="C284" s="5"/>
      <c r="AR284" s="5"/>
    </row>
    <row r="285" customFormat="false" ht="18" hidden="false" customHeight="true" outlineLevel="0" collapsed="false">
      <c r="C285" s="5"/>
      <c r="AR285" s="5"/>
    </row>
    <row r="286" customFormat="false" ht="18" hidden="false" customHeight="true" outlineLevel="0" collapsed="false">
      <c r="C286" s="5"/>
      <c r="AR286" s="5"/>
    </row>
    <row r="287" customFormat="false" ht="18" hidden="false" customHeight="true" outlineLevel="0" collapsed="false">
      <c r="C287" s="5"/>
      <c r="AR287" s="5"/>
    </row>
    <row r="288" customFormat="false" ht="18" hidden="false" customHeight="true" outlineLevel="0" collapsed="false">
      <c r="C288" s="5"/>
      <c r="AR288" s="5"/>
    </row>
    <row r="289" customFormat="false" ht="18" hidden="false" customHeight="true" outlineLevel="0" collapsed="false">
      <c r="C289" s="5"/>
      <c r="AR289" s="5"/>
    </row>
    <row r="290" customFormat="false" ht="18" hidden="false" customHeight="true" outlineLevel="0" collapsed="false">
      <c r="C290" s="5"/>
      <c r="AR290" s="5"/>
    </row>
    <row r="291" customFormat="false" ht="18" hidden="false" customHeight="true" outlineLevel="0" collapsed="false">
      <c r="C291" s="5"/>
      <c r="AR291" s="5"/>
    </row>
    <row r="292" customFormat="false" ht="18" hidden="false" customHeight="true" outlineLevel="0" collapsed="false">
      <c r="C292" s="5"/>
      <c r="AR292" s="5"/>
    </row>
    <row r="293" customFormat="false" ht="18" hidden="false" customHeight="true" outlineLevel="0" collapsed="false">
      <c r="C293" s="5"/>
      <c r="AR293" s="5"/>
    </row>
    <row r="294" customFormat="false" ht="18" hidden="false" customHeight="true" outlineLevel="0" collapsed="false">
      <c r="C294" s="5"/>
      <c r="AR294" s="5"/>
    </row>
    <row r="295" customFormat="false" ht="18" hidden="false" customHeight="true" outlineLevel="0" collapsed="false">
      <c r="C295" s="5"/>
      <c r="AR295" s="5"/>
    </row>
    <row r="296" customFormat="false" ht="18" hidden="false" customHeight="true" outlineLevel="0" collapsed="false">
      <c r="C296" s="5"/>
      <c r="AR296" s="5"/>
    </row>
    <row r="297" customFormat="false" ht="18" hidden="false" customHeight="true" outlineLevel="0" collapsed="false">
      <c r="C297" s="5"/>
      <c r="AR297" s="5"/>
    </row>
    <row r="298" customFormat="false" ht="18" hidden="false" customHeight="true" outlineLevel="0" collapsed="false">
      <c r="C298" s="5"/>
      <c r="AR298" s="5"/>
    </row>
    <row r="299" customFormat="false" ht="18" hidden="false" customHeight="true" outlineLevel="0" collapsed="false">
      <c r="C299" s="5"/>
      <c r="AR299" s="5"/>
    </row>
    <row r="300" customFormat="false" ht="18" hidden="false" customHeight="true" outlineLevel="0" collapsed="false">
      <c r="C300" s="5"/>
      <c r="AR300" s="5"/>
    </row>
    <row r="301" customFormat="false" ht="18" hidden="false" customHeight="true" outlineLevel="0" collapsed="false">
      <c r="C301" s="5"/>
      <c r="AR301" s="5"/>
    </row>
    <row r="302" customFormat="false" ht="18" hidden="false" customHeight="true" outlineLevel="0" collapsed="false">
      <c r="C302" s="5"/>
      <c r="AR302" s="5"/>
    </row>
    <row r="303" customFormat="false" ht="18" hidden="false" customHeight="true" outlineLevel="0" collapsed="false">
      <c r="C303" s="5"/>
      <c r="AR303" s="5"/>
    </row>
    <row r="304" customFormat="false" ht="18" hidden="false" customHeight="true" outlineLevel="0" collapsed="false">
      <c r="C304" s="5"/>
      <c r="AR304" s="5"/>
    </row>
    <row r="305" customFormat="false" ht="18" hidden="false" customHeight="true" outlineLevel="0" collapsed="false">
      <c r="C305" s="5"/>
      <c r="AR305" s="5"/>
    </row>
    <row r="306" customFormat="false" ht="18" hidden="false" customHeight="true" outlineLevel="0" collapsed="false">
      <c r="C306" s="5"/>
      <c r="AR306" s="5"/>
    </row>
    <row r="307" customFormat="false" ht="18" hidden="false" customHeight="true" outlineLevel="0" collapsed="false">
      <c r="C307" s="5"/>
      <c r="AR307" s="5"/>
    </row>
    <row r="308" customFormat="false" ht="18" hidden="false" customHeight="true" outlineLevel="0" collapsed="false">
      <c r="C308" s="5"/>
      <c r="AR308" s="5"/>
    </row>
    <row r="309" customFormat="false" ht="18" hidden="false" customHeight="true" outlineLevel="0" collapsed="false">
      <c r="C309" s="5"/>
      <c r="AR309" s="5"/>
    </row>
    <row r="310" customFormat="false" ht="18" hidden="false" customHeight="true" outlineLevel="0" collapsed="false">
      <c r="C310" s="5"/>
      <c r="AR310" s="5"/>
    </row>
    <row r="311" customFormat="false" ht="18" hidden="false" customHeight="true" outlineLevel="0" collapsed="false">
      <c r="C311" s="5"/>
      <c r="AR311" s="5"/>
    </row>
    <row r="312" customFormat="false" ht="18" hidden="false" customHeight="true" outlineLevel="0" collapsed="false">
      <c r="C312" s="5"/>
      <c r="AR312" s="5"/>
    </row>
    <row r="313" customFormat="false" ht="18" hidden="false" customHeight="true" outlineLevel="0" collapsed="false">
      <c r="C313" s="5"/>
      <c r="AR313" s="5"/>
    </row>
    <row r="314" customFormat="false" ht="18" hidden="false" customHeight="true" outlineLevel="0" collapsed="false">
      <c r="C314" s="5"/>
      <c r="AR314" s="5"/>
    </row>
    <row r="315" customFormat="false" ht="18" hidden="false" customHeight="true" outlineLevel="0" collapsed="false">
      <c r="C315" s="5"/>
      <c r="AR315" s="5"/>
    </row>
    <row r="316" customFormat="false" ht="18" hidden="false" customHeight="true" outlineLevel="0" collapsed="false">
      <c r="C316" s="5"/>
      <c r="AR316" s="5"/>
    </row>
    <row r="317" customFormat="false" ht="18" hidden="false" customHeight="true" outlineLevel="0" collapsed="false">
      <c r="C317" s="5"/>
      <c r="AR317" s="5"/>
    </row>
    <row r="318" customFormat="false" ht="18" hidden="false" customHeight="true" outlineLevel="0" collapsed="false">
      <c r="C318" s="5"/>
      <c r="AR318" s="5"/>
    </row>
    <row r="319" customFormat="false" ht="18" hidden="false" customHeight="true" outlineLevel="0" collapsed="false">
      <c r="C319" s="5"/>
      <c r="AR319" s="5"/>
    </row>
    <row r="320" customFormat="false" ht="18" hidden="false" customHeight="true" outlineLevel="0" collapsed="false">
      <c r="C320" s="5"/>
      <c r="AR320" s="5"/>
    </row>
    <row r="321" customFormat="false" ht="18" hidden="false" customHeight="true" outlineLevel="0" collapsed="false">
      <c r="C321" s="5"/>
      <c r="AR321" s="5"/>
    </row>
    <row r="322" customFormat="false" ht="18" hidden="false" customHeight="true" outlineLevel="0" collapsed="false">
      <c r="C322" s="5"/>
      <c r="AR322" s="5"/>
    </row>
    <row r="323" customFormat="false" ht="18" hidden="false" customHeight="true" outlineLevel="0" collapsed="false">
      <c r="C323" s="5"/>
      <c r="AR323" s="5"/>
    </row>
    <row r="324" customFormat="false" ht="18" hidden="false" customHeight="true" outlineLevel="0" collapsed="false">
      <c r="C324" s="5"/>
      <c r="AR324" s="5"/>
    </row>
    <row r="325" customFormat="false" ht="18" hidden="false" customHeight="true" outlineLevel="0" collapsed="false">
      <c r="C325" s="5"/>
      <c r="AR325" s="5"/>
    </row>
    <row r="326" customFormat="false" ht="18" hidden="false" customHeight="true" outlineLevel="0" collapsed="false">
      <c r="C326" s="5"/>
      <c r="AR326" s="5"/>
    </row>
    <row r="327" customFormat="false" ht="18" hidden="false" customHeight="true" outlineLevel="0" collapsed="false">
      <c r="C327" s="5"/>
      <c r="AR327" s="5"/>
    </row>
    <row r="328" customFormat="false" ht="18" hidden="false" customHeight="true" outlineLevel="0" collapsed="false">
      <c r="C328" s="5"/>
      <c r="AR328" s="5"/>
    </row>
    <row r="329" customFormat="false" ht="18" hidden="false" customHeight="true" outlineLevel="0" collapsed="false">
      <c r="C329" s="5"/>
      <c r="AR329" s="5"/>
    </row>
    <row r="330" customFormat="false" ht="18" hidden="false" customHeight="true" outlineLevel="0" collapsed="false">
      <c r="C330" s="5"/>
      <c r="AR330" s="5"/>
    </row>
    <row r="331" customFormat="false" ht="18" hidden="false" customHeight="true" outlineLevel="0" collapsed="false">
      <c r="C331" s="5"/>
      <c r="AR331" s="5"/>
    </row>
    <row r="332" customFormat="false" ht="18" hidden="false" customHeight="true" outlineLevel="0" collapsed="false">
      <c r="C332" s="5"/>
      <c r="AR332" s="5"/>
    </row>
    <row r="333" customFormat="false" ht="18" hidden="false" customHeight="true" outlineLevel="0" collapsed="false">
      <c r="C333" s="5"/>
      <c r="AR333" s="5"/>
    </row>
    <row r="334" customFormat="false" ht="18" hidden="false" customHeight="true" outlineLevel="0" collapsed="false">
      <c r="C334" s="5"/>
      <c r="AR334" s="5"/>
    </row>
    <row r="335" customFormat="false" ht="18" hidden="false" customHeight="true" outlineLevel="0" collapsed="false">
      <c r="C335" s="5"/>
      <c r="AR335" s="5"/>
    </row>
    <row r="336" customFormat="false" ht="18" hidden="false" customHeight="true" outlineLevel="0" collapsed="false">
      <c r="C336" s="5"/>
      <c r="AR336" s="5"/>
    </row>
    <row r="337" customFormat="false" ht="18" hidden="false" customHeight="true" outlineLevel="0" collapsed="false">
      <c r="C337" s="5"/>
      <c r="AR337" s="5"/>
    </row>
    <row r="338" customFormat="false" ht="18" hidden="false" customHeight="true" outlineLevel="0" collapsed="false">
      <c r="C338" s="5"/>
      <c r="AR338" s="5"/>
    </row>
    <row r="339" customFormat="false" ht="18" hidden="false" customHeight="true" outlineLevel="0" collapsed="false">
      <c r="C339" s="5"/>
      <c r="AR339" s="5"/>
    </row>
    <row r="340" customFormat="false" ht="18" hidden="false" customHeight="true" outlineLevel="0" collapsed="false">
      <c r="C340" s="5"/>
      <c r="AR340" s="5"/>
    </row>
    <row r="341" customFormat="false" ht="18" hidden="false" customHeight="true" outlineLevel="0" collapsed="false">
      <c r="C341" s="5"/>
      <c r="AR341" s="5"/>
    </row>
    <row r="342" customFormat="false" ht="18" hidden="false" customHeight="true" outlineLevel="0" collapsed="false">
      <c r="C342" s="5"/>
      <c r="AR342" s="5"/>
    </row>
    <row r="343" customFormat="false" ht="18" hidden="false" customHeight="true" outlineLevel="0" collapsed="false">
      <c r="C343" s="5"/>
      <c r="AR343" s="5"/>
    </row>
    <row r="344" customFormat="false" ht="18" hidden="false" customHeight="true" outlineLevel="0" collapsed="false">
      <c r="C344" s="5"/>
      <c r="AR344" s="5"/>
    </row>
    <row r="345" customFormat="false" ht="18" hidden="false" customHeight="true" outlineLevel="0" collapsed="false">
      <c r="C345" s="5"/>
      <c r="AR345" s="5"/>
    </row>
    <row r="346" customFormat="false" ht="18" hidden="false" customHeight="true" outlineLevel="0" collapsed="false">
      <c r="C346" s="5"/>
      <c r="AR346" s="5"/>
    </row>
    <row r="347" customFormat="false" ht="18" hidden="false" customHeight="true" outlineLevel="0" collapsed="false">
      <c r="C347" s="5"/>
      <c r="AR347" s="5"/>
    </row>
    <row r="348" customFormat="false" ht="18" hidden="false" customHeight="true" outlineLevel="0" collapsed="false">
      <c r="C348" s="5"/>
      <c r="AR348" s="5"/>
    </row>
    <row r="349" customFormat="false" ht="18" hidden="false" customHeight="true" outlineLevel="0" collapsed="false">
      <c r="C349" s="5"/>
      <c r="AR349" s="5"/>
    </row>
    <row r="350" customFormat="false" ht="18" hidden="false" customHeight="true" outlineLevel="0" collapsed="false">
      <c r="C350" s="5"/>
      <c r="AR350" s="5"/>
    </row>
    <row r="351" customFormat="false" ht="18" hidden="false" customHeight="true" outlineLevel="0" collapsed="false">
      <c r="C351" s="5"/>
      <c r="AR351" s="5"/>
    </row>
    <row r="352" customFormat="false" ht="18" hidden="false" customHeight="true" outlineLevel="0" collapsed="false">
      <c r="C352" s="5"/>
      <c r="AR352" s="5"/>
    </row>
    <row r="353" customFormat="false" ht="18" hidden="false" customHeight="true" outlineLevel="0" collapsed="false">
      <c r="C353" s="5"/>
      <c r="AR353" s="5"/>
    </row>
    <row r="354" customFormat="false" ht="18" hidden="false" customHeight="true" outlineLevel="0" collapsed="false">
      <c r="C354" s="5"/>
      <c r="AR354" s="5"/>
    </row>
    <row r="355" customFormat="false" ht="18" hidden="false" customHeight="true" outlineLevel="0" collapsed="false">
      <c r="C355" s="5"/>
      <c r="AR355" s="5"/>
    </row>
    <row r="356" customFormat="false" ht="18" hidden="false" customHeight="true" outlineLevel="0" collapsed="false">
      <c r="C356" s="5"/>
      <c r="AR356" s="5"/>
    </row>
    <row r="357" customFormat="false" ht="18" hidden="false" customHeight="true" outlineLevel="0" collapsed="false">
      <c r="C357" s="5"/>
      <c r="AR357" s="5"/>
    </row>
    <row r="358" customFormat="false" ht="18" hidden="false" customHeight="true" outlineLevel="0" collapsed="false">
      <c r="C358" s="5"/>
      <c r="AR358" s="5"/>
    </row>
    <row r="359" customFormat="false" ht="18" hidden="false" customHeight="true" outlineLevel="0" collapsed="false">
      <c r="C359" s="5"/>
      <c r="AR359" s="5"/>
    </row>
    <row r="360" customFormat="false" ht="18" hidden="false" customHeight="true" outlineLevel="0" collapsed="false">
      <c r="C360" s="5"/>
      <c r="AR360" s="5"/>
    </row>
    <row r="361" customFormat="false" ht="18" hidden="false" customHeight="true" outlineLevel="0" collapsed="false">
      <c r="C361" s="5"/>
      <c r="AR361" s="5"/>
    </row>
    <row r="362" customFormat="false" ht="18" hidden="false" customHeight="true" outlineLevel="0" collapsed="false">
      <c r="C362" s="5"/>
      <c r="AR362" s="5"/>
    </row>
    <row r="363" customFormat="false" ht="18" hidden="false" customHeight="true" outlineLevel="0" collapsed="false">
      <c r="C363" s="5"/>
      <c r="AR363" s="5"/>
    </row>
    <row r="364" customFormat="false" ht="18" hidden="false" customHeight="true" outlineLevel="0" collapsed="false">
      <c r="C364" s="5"/>
      <c r="AR364" s="5"/>
    </row>
    <row r="365" customFormat="false" ht="18" hidden="false" customHeight="true" outlineLevel="0" collapsed="false">
      <c r="C365" s="5"/>
      <c r="AR365" s="5"/>
    </row>
    <row r="366" customFormat="false" ht="18" hidden="false" customHeight="true" outlineLevel="0" collapsed="false">
      <c r="C366" s="5"/>
      <c r="AR366" s="5"/>
    </row>
    <row r="367" customFormat="false" ht="18" hidden="false" customHeight="true" outlineLevel="0" collapsed="false">
      <c r="C367" s="5"/>
      <c r="AR367" s="5"/>
    </row>
    <row r="368" customFormat="false" ht="18" hidden="false" customHeight="true" outlineLevel="0" collapsed="false">
      <c r="C368" s="5"/>
      <c r="AR368" s="5"/>
    </row>
    <row r="369" customFormat="false" ht="18" hidden="false" customHeight="true" outlineLevel="0" collapsed="false">
      <c r="C369" s="5"/>
      <c r="AR369" s="5"/>
    </row>
    <row r="370" customFormat="false" ht="18" hidden="false" customHeight="true" outlineLevel="0" collapsed="false">
      <c r="C370" s="5"/>
      <c r="AR370" s="5"/>
    </row>
    <row r="371" customFormat="false" ht="18" hidden="false" customHeight="true" outlineLevel="0" collapsed="false">
      <c r="C371" s="5"/>
      <c r="AR371" s="5"/>
    </row>
    <row r="372" customFormat="false" ht="18" hidden="false" customHeight="true" outlineLevel="0" collapsed="false">
      <c r="C372" s="5"/>
      <c r="AR372" s="5"/>
    </row>
    <row r="373" customFormat="false" ht="18" hidden="false" customHeight="true" outlineLevel="0" collapsed="false">
      <c r="C373" s="5"/>
      <c r="AR373" s="5"/>
    </row>
    <row r="374" customFormat="false" ht="18" hidden="false" customHeight="true" outlineLevel="0" collapsed="false">
      <c r="C374" s="5"/>
      <c r="AR374" s="5"/>
    </row>
    <row r="375" customFormat="false" ht="18" hidden="false" customHeight="true" outlineLevel="0" collapsed="false">
      <c r="C375" s="5"/>
      <c r="AR375" s="5"/>
    </row>
    <row r="376" customFormat="false" ht="18" hidden="false" customHeight="true" outlineLevel="0" collapsed="false">
      <c r="C376" s="5"/>
      <c r="AR376" s="5"/>
    </row>
    <row r="377" customFormat="false" ht="18" hidden="false" customHeight="true" outlineLevel="0" collapsed="false">
      <c r="C377" s="5"/>
      <c r="AR377" s="5"/>
    </row>
    <row r="378" customFormat="false" ht="18" hidden="false" customHeight="true" outlineLevel="0" collapsed="false">
      <c r="C378" s="5"/>
      <c r="AR378" s="5"/>
    </row>
    <row r="379" customFormat="false" ht="18" hidden="false" customHeight="true" outlineLevel="0" collapsed="false">
      <c r="C379" s="5"/>
      <c r="AR379" s="5"/>
    </row>
    <row r="380" customFormat="false" ht="18" hidden="false" customHeight="true" outlineLevel="0" collapsed="false">
      <c r="C380" s="5"/>
      <c r="AR380" s="5"/>
    </row>
    <row r="381" customFormat="false" ht="18" hidden="false" customHeight="true" outlineLevel="0" collapsed="false">
      <c r="C381" s="5"/>
      <c r="AR381" s="5"/>
    </row>
    <row r="382" customFormat="false" ht="18" hidden="false" customHeight="true" outlineLevel="0" collapsed="false">
      <c r="C382" s="5"/>
      <c r="AR382" s="5"/>
    </row>
    <row r="383" customFormat="false" ht="18" hidden="false" customHeight="true" outlineLevel="0" collapsed="false">
      <c r="C383" s="5"/>
      <c r="AR383" s="5"/>
    </row>
    <row r="384" customFormat="false" ht="18" hidden="false" customHeight="true" outlineLevel="0" collapsed="false">
      <c r="C384" s="5"/>
      <c r="AR384" s="5"/>
    </row>
    <row r="385" customFormat="false" ht="18" hidden="false" customHeight="true" outlineLevel="0" collapsed="false">
      <c r="C385" s="5"/>
      <c r="AR385" s="5"/>
    </row>
    <row r="386" customFormat="false" ht="18" hidden="false" customHeight="true" outlineLevel="0" collapsed="false">
      <c r="C386" s="5"/>
      <c r="AR386" s="5"/>
    </row>
    <row r="387" customFormat="false" ht="18" hidden="false" customHeight="true" outlineLevel="0" collapsed="false">
      <c r="C387" s="5"/>
      <c r="AR387" s="5"/>
    </row>
    <row r="388" customFormat="false" ht="18" hidden="false" customHeight="true" outlineLevel="0" collapsed="false">
      <c r="C388" s="5"/>
      <c r="AR388" s="5"/>
    </row>
    <row r="389" customFormat="false" ht="18" hidden="false" customHeight="true" outlineLevel="0" collapsed="false">
      <c r="C389" s="5"/>
      <c r="AR389" s="5"/>
    </row>
    <row r="390" customFormat="false" ht="18" hidden="false" customHeight="true" outlineLevel="0" collapsed="false">
      <c r="C390" s="5"/>
      <c r="AR390" s="5"/>
    </row>
    <row r="391" customFormat="false" ht="18" hidden="false" customHeight="true" outlineLevel="0" collapsed="false">
      <c r="C391" s="5"/>
      <c r="AR391" s="5"/>
    </row>
    <row r="392" customFormat="false" ht="18" hidden="false" customHeight="true" outlineLevel="0" collapsed="false">
      <c r="C392" s="5"/>
      <c r="AR392" s="5"/>
    </row>
    <row r="393" customFormat="false" ht="18" hidden="false" customHeight="true" outlineLevel="0" collapsed="false">
      <c r="C393" s="5"/>
      <c r="AR393" s="5"/>
    </row>
    <row r="394" customFormat="false" ht="18" hidden="false" customHeight="true" outlineLevel="0" collapsed="false">
      <c r="C394" s="5"/>
      <c r="AR394" s="5"/>
    </row>
    <row r="395" customFormat="false" ht="18" hidden="false" customHeight="true" outlineLevel="0" collapsed="false">
      <c r="C395" s="5"/>
      <c r="AR395" s="5"/>
    </row>
    <row r="396" customFormat="false" ht="18" hidden="false" customHeight="true" outlineLevel="0" collapsed="false">
      <c r="C396" s="5"/>
      <c r="AR396" s="5"/>
    </row>
    <row r="397" customFormat="false" ht="18" hidden="false" customHeight="true" outlineLevel="0" collapsed="false">
      <c r="C397" s="5"/>
      <c r="AR397" s="5"/>
    </row>
    <row r="398" customFormat="false" ht="18" hidden="false" customHeight="true" outlineLevel="0" collapsed="false">
      <c r="C398" s="5"/>
      <c r="AR398" s="5"/>
    </row>
    <row r="399" customFormat="false" ht="18" hidden="false" customHeight="true" outlineLevel="0" collapsed="false">
      <c r="C399" s="5"/>
      <c r="AR399" s="5"/>
    </row>
    <row r="400" customFormat="false" ht="18" hidden="false" customHeight="true" outlineLevel="0" collapsed="false">
      <c r="C400" s="5"/>
      <c r="AR400" s="5"/>
    </row>
    <row r="401" customFormat="false" ht="18" hidden="false" customHeight="true" outlineLevel="0" collapsed="false">
      <c r="C401" s="5"/>
      <c r="AR401" s="5"/>
    </row>
  </sheetData>
  <dataValidations count="18">
    <dataValidation allowBlank="true" errorStyle="stop" operator="between" showDropDown="false" showErrorMessage="false" showInputMessage="false" sqref="B2:B401" type="list">
      <formula1>"Abierto,Cerrado"</formula1>
      <formula2>0</formula2>
    </dataValidation>
    <dataValidation allowBlank="true" errorStyle="stop" operator="between" showDropDown="false" showErrorMessage="false" showInputMessage="false" sqref="H2:H401" type="list">
      <formula1>"Local,Visitante,Ninguno"</formula1>
      <formula2>0</formula2>
    </dataValidation>
    <dataValidation allowBlank="true" errorStyle="stop" operator="between" showDropDown="false" showErrorMessage="false" showInputMessage="false" sqref="R2:R401" type="list">
      <formula1>"Sí,No"</formula1>
      <formula2>0</formula2>
    </dataValidation>
    <dataValidation allowBlank="true" errorStyle="stop" operator="between" showDropDown="false" showErrorMessage="false" showInputMessage="false" sqref="AA2:AA401" type="list">
      <formula1>"1,2,3,4,5"</formula1>
      <formula2>0</formula2>
    </dataValidation>
    <dataValidation allowBlank="true" errorStyle="stop" operator="between" showDropDown="false" showErrorMessage="false" showInputMessage="false" sqref="AB2:AB401" type="list">
      <formula1>"Over 0.5,Over 1,Over 1.5,Over 2,Over 2.5,Over 3,Ganador del partido,Empata o gana,Tarjeta roja,Otro (especificar)"</formula1>
      <formula2>0</formula2>
    </dataValidation>
    <dataValidation allowBlank="true" errorStyle="stop" operator="between" showDropDown="false" showErrorMessage="false" showInputMessage="false" sqref="AC2:AC401" type="list">
      <formula1>"Favorito atascado en 0-0,Marcador prestado,Empate motivado — 1-1,Empate motivado — 2-2,Superioridad numérica del favorito,Dominio extremo unilateral,Otro"</formula1>
      <formula2>0</formula2>
    </dataValidation>
    <dataValidation allowBlank="true" errorStyle="stop" operator="between" showDropDown="false" showErrorMessage="false" showInputMessage="false" sqref="AD2:AD401" type="list">
      <formula1>"P1 Favorito atascado,P2 Marcador prestado,P3 Roja + dominio,P4 0-0 caliente,P5 Urgencia 2T,P6 Dominio estéril convertido,P7 Set piece zona caliente,P8 Contraataque dominante,P9 Partido de vuelta,P10 Cambio táctico disruptivo,P11 1-1 con favorito dominante"</formula1>
      <formula2>0</formula2>
    </dataValidation>
    <dataValidation allowBlank="true" errorStyle="stop" operator="between" showDropDown="false" showErrorMessage="false" showInputMessage="false" sqref="AM2:AM401" type="list">
      <formula1>"Ganada,Perdida,Push,Cash out,Anulada"</formula1>
      <formula2>0</formula2>
    </dataValidation>
    <dataValidation allowBlank="true" errorStyle="stop" operator="between" showDropDown="false" showErrorMessage="false" showInputMessage="false" sqref="AS2:AS401" type="list">
      <formula1>"Sí,No"</formula1>
      <formula2>0</formula2>
    </dataValidation>
    <dataValidation allowBlank="true" errorStyle="stop" operator="between" showDropDown="false" showErrorMessage="false" showInputMessage="false" sqref="AT2:AT401" type="list">
      <formula1>"Sí,No"</formula1>
      <formula2>0</formula2>
    </dataValidation>
    <dataValidation allowBlank="true" errorStyle="stop" operator="between" showDropDown="false" showErrorMessage="false" showInputMessage="false" sqref="AU2:AU401" type="list">
      <formula1>"Sostenido 10-15min,Pico aislado,No disponible"</formula1>
      <formula2>0</formula2>
    </dataValidation>
    <dataValidation allowBlank="true" errorStyle="stop" operator="between" showDropDown="false" showErrorMessage="false" showInputMessage="false" sqref="AV2:AV401" type="list">
      <formula1>"Sí,No"</formula1>
      <formula2>0</formula2>
    </dataValidation>
    <dataValidation allowBlank="true" errorStyle="stop" operator="between" showDropDown="false" showErrorMessage="false" showInputMessage="false" sqref="AW2:AW401" type="list">
      <formula1>"Sí,No"</formula1>
      <formula2>0</formula2>
    </dataValidation>
    <dataValidation allowBlank="true" errorStyle="stop" operator="between" showDropDown="false" showErrorMessage="false" showInputMessage="false" sqref="BC2:BC401" type="list">
      <formula1>"Sí,No"</formula1>
      <formula2>0</formula2>
    </dataValidation>
    <dataValidation allowBlank="true" errorStyle="stop" operator="between" showDropDown="false" showErrorMessage="false" showInputMessage="false" sqref="BF2:BF401" type="list">
      <formula1>"Sí,No"</formula1>
      <formula2>0</formula2>
    </dataValidation>
    <dataValidation allowBlank="true" errorStyle="stop" operator="between" showDropDown="false" showErrorMessage="false" showInputMessage="false" sqref="BG2:BG401" type="list">
      <formula1>"Sí,No"</formula1>
      <formula2>0</formula2>
    </dataValidation>
    <dataValidation allowBlank="true" errorStyle="stop" operator="between" showDropDown="false" showErrorMessage="false" showInputMessage="false" sqref="BI2:BI401" type="list">
      <formula1>"Sí,No"</formula1>
      <formula2>0</formula2>
    </dataValidation>
    <dataValidation allowBlank="true" errorStyle="stop" operator="between" showDropDown="false" showErrorMessage="false" showInputMessage="false" sqref="BO2:BO401" type="list">
      <formula1>"Ninguno,Gol,Tarjeta roja,Otro"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1"/>
    <col collapsed="false" customWidth="true" hidden="false" outlineLevel="0" max="6" min="6" style="0" width="14"/>
    <col collapsed="false" customWidth="true" hidden="false" outlineLevel="0" max="8" min="7" style="0" width="13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2" min="11" style="0" width="13"/>
    <col collapsed="false" customWidth="true" hidden="false" outlineLevel="0" max="13" min="13" style="0" width="12"/>
    <col collapsed="false" customWidth="true" hidden="false" outlineLevel="0" max="17" min="14" style="0" width="11"/>
    <col collapsed="false" customWidth="true" hidden="false" outlineLevel="0" max="18" min="18" style="0" width="12"/>
    <col collapsed="false" customWidth="true" hidden="false" outlineLevel="0" max="19" min="19" style="0" width="14"/>
    <col collapsed="false" customWidth="true" hidden="false" outlineLevel="0" max="21" min="20" style="0" width="11"/>
    <col collapsed="false" customWidth="true" hidden="false" outlineLevel="0" max="22" min="22" style="0" width="13"/>
    <col collapsed="false" customWidth="true" hidden="false" outlineLevel="0" max="23" min="23" style="0" width="14"/>
    <col collapsed="false" customWidth="true" hidden="false" outlineLevel="0" max="24" min="24" style="0" width="17"/>
    <col collapsed="false" customWidth="true" hidden="false" outlineLevel="0" max="25" min="25" style="0" width="14"/>
    <col collapsed="false" customWidth="true" hidden="false" outlineLevel="0" max="28" min="26" style="0" width="15"/>
    <col collapsed="false" customWidth="true" hidden="false" outlineLevel="0" max="29" min="29" style="0" width="16"/>
    <col collapsed="false" customWidth="true" hidden="false" outlineLevel="0" max="30" min="30" style="0" width="20"/>
    <col collapsed="false" customWidth="true" hidden="false" outlineLevel="0" max="31" min="31" style="0" width="11"/>
    <col collapsed="false" customWidth="true" hidden="false" outlineLevel="0" max="32" min="32" style="0" width="12"/>
    <col collapsed="false" customWidth="true" hidden="false" outlineLevel="0" max="33" min="33" style="0" width="15"/>
    <col collapsed="false" customWidth="true" hidden="false" outlineLevel="0" max="34" min="34" style="0" width="11"/>
    <col collapsed="false" customWidth="true" hidden="false" outlineLevel="0" max="35" min="35" style="0" width="14"/>
    <col collapsed="false" customWidth="true" hidden="false" outlineLevel="0" max="36" min="36" style="0" width="18"/>
    <col collapsed="false" customWidth="true" hidden="false" outlineLevel="0" max="37" min="37" style="0" width="17"/>
    <col collapsed="false" customWidth="true" hidden="false" outlineLevel="0" max="39" min="38" style="0" width="21"/>
    <col collapsed="false" customWidth="true" hidden="false" outlineLevel="0" max="40" min="40" style="0" width="14"/>
    <col collapsed="false" customWidth="true" hidden="false" outlineLevel="0" max="43" min="41" style="0" width="11"/>
    <col collapsed="false" customWidth="true" hidden="false" outlineLevel="0" max="44" min="44" style="0" width="16"/>
    <col collapsed="false" customWidth="true" hidden="false" outlineLevel="0" max="45" min="45" style="0" width="13"/>
    <col collapsed="false" customWidth="true" hidden="false" outlineLevel="0" max="46" min="46" style="0" width="11"/>
    <col collapsed="false" customWidth="true" hidden="false" outlineLevel="0" max="47" min="47" style="0" width="12"/>
    <col collapsed="false" customWidth="true" hidden="false" outlineLevel="0" max="49" min="48" style="0" width="11"/>
    <col collapsed="false" customWidth="true" hidden="false" outlineLevel="0" max="50" min="50" style="0" width="14"/>
    <col collapsed="false" customWidth="true" hidden="false" outlineLevel="0" max="51" min="51" style="0" width="11"/>
    <col collapsed="false" customWidth="true" hidden="false" outlineLevel="0" max="52" min="52" style="0" width="13"/>
    <col collapsed="false" customWidth="true" hidden="false" outlineLevel="0" max="53" min="53" style="0" width="14"/>
    <col collapsed="false" customWidth="true" hidden="false" outlineLevel="0" max="54" min="54" style="0" width="12"/>
    <col collapsed="false" customWidth="true" hidden="false" outlineLevel="0" max="55" min="55" style="0" width="24"/>
    <col collapsed="false" customWidth="true" hidden="false" outlineLevel="0" max="56" min="56" style="0" width="28"/>
    <col collapsed="false" customWidth="true" hidden="false" outlineLevel="0" max="57" min="57" style="0" width="25"/>
    <col collapsed="false" customWidth="true" hidden="false" outlineLevel="0" max="58" min="58" style="0" width="29"/>
    <col collapsed="false" customWidth="true" hidden="false" outlineLevel="0" max="59" min="59" style="0" width="11"/>
    <col collapsed="false" customWidth="true" hidden="false" outlineLevel="0" max="60" min="60" style="0" width="29"/>
    <col collapsed="false" customWidth="true" hidden="false" outlineLevel="0" max="61" min="61" style="0" width="13"/>
  </cols>
  <sheetData>
    <row r="1" customFormat="false" ht="15" hidden="false" customHeight="false" outlineLevel="0" collapsed="false">
      <c r="A1" s="4" t="s">
        <v>40</v>
      </c>
      <c r="B1" s="4" t="s">
        <v>41</v>
      </c>
      <c r="C1" s="4" t="s">
        <v>42</v>
      </c>
      <c r="D1" s="4" t="s">
        <v>45</v>
      </c>
      <c r="E1" s="4" t="s">
        <v>46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116</v>
      </c>
      <c r="M1" s="4" t="s">
        <v>117</v>
      </c>
      <c r="N1" s="4" t="s">
        <v>118</v>
      </c>
      <c r="O1" s="4" t="s">
        <v>119</v>
      </c>
      <c r="P1" s="4" t="s">
        <v>120</v>
      </c>
      <c r="Q1" s="4" t="s">
        <v>121</v>
      </c>
      <c r="R1" s="4" t="s">
        <v>122</v>
      </c>
      <c r="S1" s="4" t="s">
        <v>123</v>
      </c>
      <c r="T1" s="4" t="s">
        <v>124</v>
      </c>
      <c r="U1" s="4" t="s">
        <v>125</v>
      </c>
      <c r="V1" s="4" t="s">
        <v>126</v>
      </c>
      <c r="W1" s="4" t="s">
        <v>127</v>
      </c>
      <c r="X1" s="4" t="s">
        <v>128</v>
      </c>
      <c r="Y1" s="4" t="s">
        <v>129</v>
      </c>
      <c r="Z1" s="4" t="s">
        <v>130</v>
      </c>
      <c r="AA1" s="4" t="s">
        <v>131</v>
      </c>
      <c r="AB1" s="4" t="s">
        <v>132</v>
      </c>
      <c r="AC1" s="4" t="s">
        <v>133</v>
      </c>
      <c r="AD1" s="4" t="s">
        <v>134</v>
      </c>
      <c r="AE1" s="4" t="s">
        <v>135</v>
      </c>
      <c r="AF1" s="4" t="s">
        <v>136</v>
      </c>
      <c r="AG1" s="4" t="s">
        <v>137</v>
      </c>
      <c r="AH1" s="4" t="s">
        <v>138</v>
      </c>
      <c r="AI1" s="4" t="s">
        <v>139</v>
      </c>
      <c r="AJ1" s="4" t="s">
        <v>140</v>
      </c>
      <c r="AK1" s="4" t="s">
        <v>141</v>
      </c>
      <c r="AL1" s="4" t="s">
        <v>142</v>
      </c>
      <c r="AM1" s="4" t="s">
        <v>143</v>
      </c>
      <c r="AN1" s="4" t="s">
        <v>144</v>
      </c>
      <c r="AO1" s="4" t="s">
        <v>73</v>
      </c>
      <c r="AP1" s="4" t="s">
        <v>74</v>
      </c>
      <c r="AQ1" s="4" t="s">
        <v>145</v>
      </c>
      <c r="AR1" s="4" t="s">
        <v>146</v>
      </c>
      <c r="AS1" s="4" t="s">
        <v>147</v>
      </c>
      <c r="AT1" s="4" t="s">
        <v>148</v>
      </c>
      <c r="AU1" s="4" t="s">
        <v>75</v>
      </c>
      <c r="AV1" s="4" t="s">
        <v>78</v>
      </c>
      <c r="AW1" s="4" t="s">
        <v>81</v>
      </c>
      <c r="AX1" s="4" t="s">
        <v>79</v>
      </c>
      <c r="AY1" s="4" t="s">
        <v>80</v>
      </c>
      <c r="AZ1" s="4" t="s">
        <v>82</v>
      </c>
      <c r="BA1" s="4" t="s">
        <v>83</v>
      </c>
      <c r="BB1" s="4" t="s">
        <v>89</v>
      </c>
      <c r="BC1" s="4" t="s">
        <v>149</v>
      </c>
      <c r="BD1" s="4" t="s">
        <v>150</v>
      </c>
      <c r="BE1" s="4" t="s">
        <v>151</v>
      </c>
      <c r="BF1" s="4" t="s">
        <v>152</v>
      </c>
      <c r="BG1" s="4" t="s">
        <v>153</v>
      </c>
      <c r="BH1" s="4" t="s">
        <v>154</v>
      </c>
      <c r="BI1" s="4" t="s">
        <v>155</v>
      </c>
    </row>
    <row r="2" customFormat="false" ht="18" hidden="false" customHeight="true" outlineLevel="0" collapsed="false">
      <c r="C2" s="5"/>
      <c r="V2" s="6"/>
      <c r="W2" s="6"/>
      <c r="X2" s="6"/>
      <c r="Y2" s="6"/>
      <c r="Z2" s="6"/>
      <c r="AA2" s="6"/>
      <c r="AB2" s="6"/>
      <c r="AC2" s="6"/>
      <c r="AD2" s="6"/>
      <c r="AM2" s="7"/>
      <c r="AN2" s="6"/>
      <c r="AO2" s="7"/>
      <c r="AP2" s="7"/>
      <c r="AR2" s="7"/>
      <c r="AS2" s="8"/>
      <c r="AW2" s="8"/>
      <c r="AX2" s="6"/>
      <c r="AY2" s="7"/>
      <c r="BA2" s="5"/>
    </row>
    <row r="3" customFormat="false" ht="18" hidden="false" customHeight="true" outlineLevel="0" collapsed="false">
      <c r="C3" s="5"/>
      <c r="V3" s="6"/>
      <c r="W3" s="6"/>
      <c r="X3" s="6"/>
      <c r="Y3" s="6"/>
      <c r="Z3" s="6"/>
      <c r="AA3" s="6"/>
      <c r="AB3" s="6"/>
      <c r="AC3" s="6"/>
      <c r="AD3" s="6"/>
      <c r="AM3" s="7"/>
      <c r="AN3" s="6"/>
      <c r="AO3" s="7"/>
      <c r="AP3" s="7"/>
      <c r="AR3" s="7"/>
      <c r="AS3" s="8"/>
      <c r="AW3" s="8"/>
      <c r="AX3" s="6"/>
      <c r="AY3" s="7"/>
      <c r="BA3" s="5"/>
    </row>
    <row r="4" customFormat="false" ht="18" hidden="false" customHeight="true" outlineLevel="0" collapsed="false">
      <c r="C4" s="5"/>
      <c r="V4" s="6"/>
      <c r="W4" s="6"/>
      <c r="X4" s="6"/>
      <c r="Y4" s="6"/>
      <c r="Z4" s="6"/>
      <c r="AA4" s="6"/>
      <c r="AB4" s="6"/>
      <c r="AC4" s="6"/>
      <c r="AD4" s="6"/>
      <c r="AM4" s="7"/>
      <c r="AN4" s="6"/>
      <c r="AO4" s="7"/>
      <c r="AP4" s="7"/>
      <c r="AR4" s="7"/>
      <c r="AS4" s="8"/>
      <c r="AW4" s="8"/>
      <c r="AX4" s="6"/>
      <c r="AY4" s="7"/>
      <c r="BA4" s="5"/>
    </row>
    <row r="5" customFormat="false" ht="18" hidden="false" customHeight="true" outlineLevel="0" collapsed="false">
      <c r="C5" s="5"/>
      <c r="V5" s="6"/>
      <c r="W5" s="6"/>
      <c r="X5" s="6"/>
      <c r="Y5" s="6"/>
      <c r="Z5" s="6"/>
      <c r="AA5" s="6"/>
      <c r="AB5" s="6"/>
      <c r="AC5" s="6"/>
      <c r="AD5" s="6"/>
      <c r="AM5" s="7"/>
      <c r="AN5" s="6"/>
      <c r="AO5" s="7"/>
      <c r="AP5" s="7"/>
      <c r="AR5" s="7"/>
      <c r="AS5" s="8"/>
      <c r="AW5" s="8"/>
      <c r="AX5" s="6"/>
      <c r="AY5" s="7"/>
      <c r="BA5" s="5"/>
    </row>
    <row r="6" customFormat="false" ht="18" hidden="false" customHeight="true" outlineLevel="0" collapsed="false">
      <c r="C6" s="5"/>
      <c r="V6" s="6"/>
      <c r="W6" s="6"/>
      <c r="X6" s="6"/>
      <c r="Y6" s="6"/>
      <c r="Z6" s="6"/>
      <c r="AA6" s="6"/>
      <c r="AB6" s="6"/>
      <c r="AC6" s="6"/>
      <c r="AD6" s="6"/>
      <c r="AM6" s="7"/>
      <c r="AN6" s="6"/>
      <c r="AO6" s="7"/>
      <c r="AP6" s="7"/>
      <c r="AR6" s="7"/>
      <c r="AS6" s="8"/>
      <c r="AW6" s="8"/>
      <c r="AX6" s="6"/>
      <c r="AY6" s="7"/>
      <c r="BA6" s="5"/>
    </row>
    <row r="7" customFormat="false" ht="18" hidden="false" customHeight="true" outlineLevel="0" collapsed="false">
      <c r="C7" s="5"/>
      <c r="V7" s="6"/>
      <c r="W7" s="6"/>
      <c r="X7" s="6"/>
      <c r="Y7" s="6"/>
      <c r="Z7" s="6"/>
      <c r="AA7" s="6"/>
      <c r="AB7" s="6"/>
      <c r="AC7" s="6"/>
      <c r="AD7" s="6"/>
      <c r="AM7" s="7"/>
      <c r="AN7" s="6"/>
      <c r="AO7" s="7"/>
      <c r="AP7" s="7"/>
      <c r="AR7" s="7"/>
      <c r="AS7" s="8"/>
      <c r="AW7" s="8"/>
      <c r="AX7" s="6"/>
      <c r="AY7" s="7"/>
      <c r="BA7" s="5"/>
    </row>
    <row r="8" customFormat="false" ht="18" hidden="false" customHeight="true" outlineLevel="0" collapsed="false">
      <c r="C8" s="5"/>
      <c r="V8" s="6"/>
      <c r="W8" s="6"/>
      <c r="X8" s="6"/>
      <c r="Y8" s="6"/>
      <c r="Z8" s="6"/>
      <c r="AA8" s="6"/>
      <c r="AB8" s="6"/>
      <c r="AC8" s="6"/>
      <c r="AD8" s="6"/>
      <c r="AM8" s="7"/>
      <c r="AN8" s="6"/>
      <c r="AO8" s="7"/>
      <c r="AP8" s="7"/>
      <c r="AR8" s="7"/>
      <c r="AS8" s="8"/>
      <c r="AW8" s="8"/>
      <c r="AX8" s="6"/>
      <c r="AY8" s="7"/>
      <c r="BA8" s="5"/>
    </row>
    <row r="9" customFormat="false" ht="18" hidden="false" customHeight="true" outlineLevel="0" collapsed="false">
      <c r="C9" s="5"/>
      <c r="V9" s="6"/>
      <c r="W9" s="6"/>
      <c r="X9" s="6"/>
      <c r="Y9" s="6"/>
      <c r="Z9" s="6"/>
      <c r="AA9" s="6"/>
      <c r="AB9" s="6"/>
      <c r="AC9" s="6"/>
      <c r="AD9" s="6"/>
      <c r="AM9" s="7"/>
      <c r="AN9" s="6"/>
      <c r="AO9" s="7"/>
      <c r="AP9" s="7"/>
      <c r="AR9" s="7"/>
      <c r="AS9" s="8"/>
      <c r="AW9" s="8"/>
      <c r="AX9" s="6"/>
      <c r="AY9" s="7"/>
      <c r="BA9" s="5"/>
    </row>
    <row r="10" customFormat="false" ht="18" hidden="false" customHeight="true" outlineLevel="0" collapsed="false">
      <c r="C10" s="5"/>
      <c r="V10" s="6"/>
      <c r="W10" s="6"/>
      <c r="X10" s="6"/>
      <c r="Y10" s="6"/>
      <c r="Z10" s="6"/>
      <c r="AA10" s="6"/>
      <c r="AB10" s="6"/>
      <c r="AC10" s="6"/>
      <c r="AD10" s="6"/>
      <c r="AM10" s="7"/>
      <c r="AN10" s="6"/>
      <c r="AO10" s="7"/>
      <c r="AP10" s="7"/>
      <c r="AR10" s="7"/>
      <c r="AS10" s="8"/>
      <c r="AW10" s="8"/>
      <c r="AX10" s="6"/>
      <c r="AY10" s="7"/>
      <c r="BA10" s="5"/>
    </row>
    <row r="11" customFormat="false" ht="18" hidden="false" customHeight="true" outlineLevel="0" collapsed="false">
      <c r="C11" s="5"/>
      <c r="V11" s="6"/>
      <c r="W11" s="6"/>
      <c r="X11" s="6"/>
      <c r="Y11" s="6"/>
      <c r="Z11" s="6"/>
      <c r="AA11" s="6"/>
      <c r="AB11" s="6"/>
      <c r="AC11" s="6"/>
      <c r="AD11" s="6"/>
      <c r="AM11" s="7"/>
      <c r="AN11" s="6"/>
      <c r="AO11" s="7"/>
      <c r="AP11" s="7"/>
      <c r="AR11" s="7"/>
      <c r="AS11" s="8"/>
      <c r="AW11" s="8"/>
      <c r="AX11" s="6"/>
      <c r="AY11" s="7"/>
      <c r="BA11" s="5"/>
    </row>
    <row r="12" customFormat="false" ht="18" hidden="false" customHeight="true" outlineLevel="0" collapsed="false">
      <c r="C12" s="5"/>
      <c r="V12" s="6"/>
      <c r="W12" s="6"/>
      <c r="X12" s="6"/>
      <c r="Y12" s="6"/>
      <c r="Z12" s="6"/>
      <c r="AA12" s="6"/>
      <c r="AB12" s="6"/>
      <c r="AC12" s="6"/>
      <c r="AD12" s="6"/>
      <c r="AM12" s="7"/>
      <c r="AN12" s="6"/>
      <c r="AO12" s="7"/>
      <c r="AP12" s="7"/>
      <c r="AR12" s="7"/>
      <c r="AS12" s="8"/>
      <c r="AW12" s="8"/>
      <c r="AX12" s="6"/>
      <c r="AY12" s="7"/>
      <c r="BA12" s="5"/>
    </row>
    <row r="13" customFormat="false" ht="18" hidden="false" customHeight="true" outlineLevel="0" collapsed="false">
      <c r="C13" s="5"/>
      <c r="V13" s="6"/>
      <c r="W13" s="6"/>
      <c r="X13" s="6"/>
      <c r="Y13" s="6"/>
      <c r="Z13" s="6"/>
      <c r="AA13" s="6"/>
      <c r="AB13" s="6"/>
      <c r="AC13" s="6"/>
      <c r="AD13" s="6"/>
      <c r="AM13" s="7"/>
      <c r="AN13" s="6"/>
      <c r="AO13" s="7"/>
      <c r="AP13" s="7"/>
      <c r="AR13" s="7"/>
      <c r="AS13" s="8"/>
      <c r="AW13" s="8"/>
      <c r="AX13" s="6"/>
      <c r="AY13" s="7"/>
      <c r="BA13" s="5"/>
    </row>
    <row r="14" customFormat="false" ht="18" hidden="false" customHeight="true" outlineLevel="0" collapsed="false">
      <c r="C14" s="5"/>
      <c r="V14" s="6"/>
      <c r="W14" s="6"/>
      <c r="X14" s="6"/>
      <c r="Y14" s="6"/>
      <c r="Z14" s="6"/>
      <c r="AA14" s="6"/>
      <c r="AB14" s="6"/>
      <c r="AC14" s="6"/>
      <c r="AD14" s="6"/>
      <c r="AM14" s="7"/>
      <c r="AN14" s="6"/>
      <c r="AO14" s="7"/>
      <c r="AP14" s="7"/>
      <c r="AR14" s="7"/>
      <c r="AS14" s="8"/>
      <c r="AW14" s="8"/>
      <c r="AX14" s="6"/>
      <c r="AY14" s="7"/>
      <c r="BA14" s="5"/>
    </row>
    <row r="15" customFormat="false" ht="18" hidden="false" customHeight="true" outlineLevel="0" collapsed="false">
      <c r="C15" s="5"/>
      <c r="V15" s="6"/>
      <c r="W15" s="6"/>
      <c r="X15" s="6"/>
      <c r="Y15" s="6"/>
      <c r="Z15" s="6"/>
      <c r="AA15" s="6"/>
      <c r="AB15" s="6"/>
      <c r="AC15" s="6"/>
      <c r="AD15" s="6"/>
      <c r="AM15" s="7"/>
      <c r="AN15" s="6"/>
      <c r="AO15" s="7"/>
      <c r="AP15" s="7"/>
      <c r="AR15" s="7"/>
      <c r="AS15" s="8"/>
      <c r="AW15" s="8"/>
      <c r="AX15" s="6"/>
      <c r="AY15" s="7"/>
      <c r="BA15" s="5"/>
    </row>
    <row r="16" customFormat="false" ht="18" hidden="false" customHeight="true" outlineLevel="0" collapsed="false">
      <c r="C16" s="5"/>
      <c r="V16" s="6"/>
      <c r="W16" s="6"/>
      <c r="X16" s="6"/>
      <c r="Y16" s="6"/>
      <c r="Z16" s="6"/>
      <c r="AA16" s="6"/>
      <c r="AB16" s="6"/>
      <c r="AC16" s="6"/>
      <c r="AD16" s="6"/>
      <c r="AM16" s="7"/>
      <c r="AN16" s="6"/>
      <c r="AO16" s="7"/>
      <c r="AP16" s="7"/>
      <c r="AR16" s="7"/>
      <c r="AS16" s="8"/>
      <c r="AW16" s="8"/>
      <c r="AX16" s="6"/>
      <c r="AY16" s="7"/>
      <c r="BA16" s="5"/>
    </row>
    <row r="17" customFormat="false" ht="18" hidden="false" customHeight="true" outlineLevel="0" collapsed="false">
      <c r="C17" s="5"/>
      <c r="V17" s="6"/>
      <c r="W17" s="6"/>
      <c r="X17" s="6"/>
      <c r="Y17" s="6"/>
      <c r="Z17" s="6"/>
      <c r="AA17" s="6"/>
      <c r="AB17" s="6"/>
      <c r="AC17" s="6"/>
      <c r="AD17" s="6"/>
      <c r="AM17" s="7"/>
      <c r="AN17" s="6"/>
      <c r="AO17" s="7"/>
      <c r="AP17" s="7"/>
      <c r="AR17" s="7"/>
      <c r="AS17" s="8"/>
      <c r="AW17" s="8"/>
      <c r="AX17" s="6"/>
      <c r="AY17" s="7"/>
      <c r="BA17" s="5"/>
    </row>
    <row r="18" customFormat="false" ht="18" hidden="false" customHeight="true" outlineLevel="0" collapsed="false">
      <c r="C18" s="5"/>
      <c r="V18" s="6"/>
      <c r="W18" s="6"/>
      <c r="X18" s="6"/>
      <c r="Y18" s="6"/>
      <c r="Z18" s="6"/>
      <c r="AA18" s="6"/>
      <c r="AB18" s="6"/>
      <c r="AC18" s="6"/>
      <c r="AD18" s="6"/>
      <c r="AM18" s="7"/>
      <c r="AN18" s="6"/>
      <c r="AO18" s="7"/>
      <c r="AP18" s="7"/>
      <c r="AR18" s="7"/>
      <c r="AS18" s="8"/>
      <c r="AW18" s="8"/>
      <c r="AX18" s="6"/>
      <c r="AY18" s="7"/>
      <c r="BA18" s="5"/>
    </row>
    <row r="19" customFormat="false" ht="18" hidden="false" customHeight="true" outlineLevel="0" collapsed="false">
      <c r="C19" s="5"/>
      <c r="V19" s="6"/>
      <c r="W19" s="6"/>
      <c r="X19" s="6"/>
      <c r="Y19" s="6"/>
      <c r="Z19" s="6"/>
      <c r="AA19" s="6"/>
      <c r="AB19" s="6"/>
      <c r="AC19" s="6"/>
      <c r="AD19" s="6"/>
      <c r="AM19" s="7"/>
      <c r="AN19" s="6"/>
      <c r="AO19" s="7"/>
      <c r="AP19" s="7"/>
      <c r="AR19" s="7"/>
      <c r="AS19" s="8"/>
      <c r="AW19" s="8"/>
      <c r="AX19" s="6"/>
      <c r="AY19" s="7"/>
      <c r="BA19" s="5"/>
    </row>
    <row r="20" customFormat="false" ht="18" hidden="false" customHeight="true" outlineLevel="0" collapsed="false">
      <c r="C20" s="5"/>
      <c r="V20" s="6"/>
      <c r="W20" s="6"/>
      <c r="X20" s="6"/>
      <c r="Y20" s="6"/>
      <c r="Z20" s="6"/>
      <c r="AA20" s="6"/>
      <c r="AB20" s="6"/>
      <c r="AC20" s="6"/>
      <c r="AD20" s="6"/>
      <c r="AM20" s="7"/>
      <c r="AN20" s="6"/>
      <c r="AO20" s="7"/>
      <c r="AP20" s="7"/>
      <c r="AR20" s="7"/>
      <c r="AS20" s="8"/>
      <c r="AW20" s="8"/>
      <c r="AX20" s="6"/>
      <c r="AY20" s="7"/>
      <c r="BA20" s="5"/>
    </row>
    <row r="21" customFormat="false" ht="18" hidden="false" customHeight="true" outlineLevel="0" collapsed="false">
      <c r="C21" s="5"/>
      <c r="V21" s="6"/>
      <c r="W21" s="6"/>
      <c r="X21" s="6"/>
      <c r="Y21" s="6"/>
      <c r="Z21" s="6"/>
      <c r="AA21" s="6"/>
      <c r="AB21" s="6"/>
      <c r="AC21" s="6"/>
      <c r="AD21" s="6"/>
      <c r="AM21" s="7"/>
      <c r="AN21" s="6"/>
      <c r="AO21" s="7"/>
      <c r="AP21" s="7"/>
      <c r="AR21" s="7"/>
      <c r="AS21" s="8"/>
      <c r="AW21" s="8"/>
      <c r="AX21" s="6"/>
      <c r="AY21" s="7"/>
      <c r="BA21" s="5"/>
    </row>
    <row r="22" customFormat="false" ht="18" hidden="false" customHeight="true" outlineLevel="0" collapsed="false">
      <c r="C22" s="5"/>
      <c r="V22" s="6"/>
      <c r="W22" s="6"/>
      <c r="X22" s="6"/>
      <c r="Y22" s="6"/>
      <c r="Z22" s="6"/>
      <c r="AA22" s="6"/>
      <c r="AB22" s="6"/>
      <c r="AC22" s="6"/>
      <c r="AD22" s="6"/>
      <c r="AM22" s="7"/>
      <c r="AN22" s="6"/>
      <c r="AO22" s="7"/>
      <c r="AP22" s="7"/>
      <c r="AR22" s="7"/>
      <c r="AS22" s="8"/>
      <c r="AW22" s="8"/>
      <c r="AX22" s="6"/>
      <c r="AY22" s="7"/>
      <c r="BA22" s="5"/>
    </row>
    <row r="23" customFormat="false" ht="18" hidden="false" customHeight="true" outlineLevel="0" collapsed="false">
      <c r="C23" s="5"/>
      <c r="V23" s="6"/>
      <c r="W23" s="6"/>
      <c r="X23" s="6"/>
      <c r="Y23" s="6"/>
      <c r="Z23" s="6"/>
      <c r="AA23" s="6"/>
      <c r="AB23" s="6"/>
      <c r="AC23" s="6"/>
      <c r="AD23" s="6"/>
      <c r="AM23" s="7"/>
      <c r="AN23" s="6"/>
      <c r="AO23" s="7"/>
      <c r="AP23" s="7"/>
      <c r="AR23" s="7"/>
      <c r="AS23" s="8"/>
      <c r="AW23" s="8"/>
      <c r="AX23" s="6"/>
      <c r="AY23" s="7"/>
      <c r="BA23" s="5"/>
    </row>
    <row r="24" customFormat="false" ht="18" hidden="false" customHeight="true" outlineLevel="0" collapsed="false">
      <c r="C24" s="5"/>
      <c r="V24" s="6"/>
      <c r="W24" s="6"/>
      <c r="X24" s="6"/>
      <c r="Y24" s="6"/>
      <c r="Z24" s="6"/>
      <c r="AA24" s="6"/>
      <c r="AB24" s="6"/>
      <c r="AC24" s="6"/>
      <c r="AD24" s="6"/>
      <c r="AM24" s="7"/>
      <c r="AN24" s="6"/>
      <c r="AO24" s="7"/>
      <c r="AP24" s="7"/>
      <c r="AR24" s="7"/>
      <c r="AS24" s="8"/>
      <c r="AW24" s="8"/>
      <c r="AX24" s="6"/>
      <c r="AY24" s="7"/>
      <c r="BA24" s="5"/>
    </row>
    <row r="25" customFormat="false" ht="18" hidden="false" customHeight="true" outlineLevel="0" collapsed="false">
      <c r="C25" s="5"/>
      <c r="V25" s="6"/>
      <c r="W25" s="6"/>
      <c r="X25" s="6"/>
      <c r="Y25" s="6"/>
      <c r="Z25" s="6"/>
      <c r="AA25" s="6"/>
      <c r="AB25" s="6"/>
      <c r="AC25" s="6"/>
      <c r="AD25" s="6"/>
      <c r="AM25" s="7"/>
      <c r="AN25" s="6"/>
      <c r="AO25" s="7"/>
      <c r="AP25" s="7"/>
      <c r="AR25" s="7"/>
      <c r="AS25" s="8"/>
      <c r="AW25" s="8"/>
      <c r="AX25" s="6"/>
      <c r="AY25" s="7"/>
      <c r="BA25" s="5"/>
    </row>
    <row r="26" customFormat="false" ht="18" hidden="false" customHeight="true" outlineLevel="0" collapsed="false">
      <c r="C26" s="5"/>
      <c r="V26" s="6"/>
      <c r="W26" s="6"/>
      <c r="X26" s="6"/>
      <c r="Y26" s="6"/>
      <c r="Z26" s="6"/>
      <c r="AA26" s="6"/>
      <c r="AB26" s="6"/>
      <c r="AC26" s="6"/>
      <c r="AD26" s="6"/>
      <c r="AM26" s="7"/>
      <c r="AN26" s="6"/>
      <c r="AO26" s="7"/>
      <c r="AP26" s="7"/>
      <c r="AR26" s="7"/>
      <c r="AS26" s="8"/>
      <c r="AW26" s="8"/>
      <c r="AX26" s="6"/>
      <c r="AY26" s="7"/>
      <c r="BA26" s="5"/>
    </row>
    <row r="27" customFormat="false" ht="18" hidden="false" customHeight="true" outlineLevel="0" collapsed="false">
      <c r="C27" s="5"/>
      <c r="V27" s="6"/>
      <c r="W27" s="6"/>
      <c r="X27" s="6"/>
      <c r="Y27" s="6"/>
      <c r="Z27" s="6"/>
      <c r="AA27" s="6"/>
      <c r="AB27" s="6"/>
      <c r="AC27" s="6"/>
      <c r="AD27" s="6"/>
      <c r="AM27" s="7"/>
      <c r="AN27" s="6"/>
      <c r="AO27" s="7"/>
      <c r="AP27" s="7"/>
      <c r="AR27" s="7"/>
      <c r="AS27" s="8"/>
      <c r="AW27" s="8"/>
      <c r="AX27" s="6"/>
      <c r="AY27" s="7"/>
      <c r="BA27" s="5"/>
    </row>
    <row r="28" customFormat="false" ht="18" hidden="false" customHeight="true" outlineLevel="0" collapsed="false">
      <c r="C28" s="5"/>
      <c r="V28" s="6"/>
      <c r="W28" s="6"/>
      <c r="X28" s="6"/>
      <c r="Y28" s="6"/>
      <c r="Z28" s="6"/>
      <c r="AA28" s="6"/>
      <c r="AB28" s="6"/>
      <c r="AC28" s="6"/>
      <c r="AD28" s="6"/>
      <c r="AM28" s="7"/>
      <c r="AN28" s="6"/>
      <c r="AO28" s="7"/>
      <c r="AP28" s="7"/>
      <c r="AR28" s="7"/>
      <c r="AS28" s="8"/>
      <c r="AW28" s="8"/>
      <c r="AX28" s="6"/>
      <c r="AY28" s="7"/>
      <c r="BA28" s="5"/>
    </row>
    <row r="29" customFormat="false" ht="18" hidden="false" customHeight="true" outlineLevel="0" collapsed="false">
      <c r="C29" s="5"/>
      <c r="V29" s="6"/>
      <c r="W29" s="6"/>
      <c r="X29" s="6"/>
      <c r="Y29" s="6"/>
      <c r="Z29" s="6"/>
      <c r="AA29" s="6"/>
      <c r="AB29" s="6"/>
      <c r="AC29" s="6"/>
      <c r="AD29" s="6"/>
      <c r="AM29" s="7"/>
      <c r="AN29" s="6"/>
      <c r="AO29" s="7"/>
      <c r="AP29" s="7"/>
      <c r="AR29" s="7"/>
      <c r="AS29" s="8"/>
      <c r="AW29" s="8"/>
      <c r="AX29" s="6"/>
      <c r="AY29" s="7"/>
      <c r="BA29" s="5"/>
    </row>
    <row r="30" customFormat="false" ht="18" hidden="false" customHeight="true" outlineLevel="0" collapsed="false">
      <c r="C30" s="5"/>
      <c r="V30" s="6"/>
      <c r="W30" s="6"/>
      <c r="X30" s="6"/>
      <c r="Y30" s="6"/>
      <c r="Z30" s="6"/>
      <c r="AA30" s="6"/>
      <c r="AB30" s="6"/>
      <c r="AC30" s="6"/>
      <c r="AD30" s="6"/>
      <c r="AM30" s="7"/>
      <c r="AN30" s="6"/>
      <c r="AO30" s="7"/>
      <c r="AP30" s="7"/>
      <c r="AR30" s="7"/>
      <c r="AS30" s="8"/>
      <c r="AW30" s="8"/>
      <c r="AX30" s="6"/>
      <c r="AY30" s="7"/>
      <c r="BA30" s="5"/>
    </row>
    <row r="31" customFormat="false" ht="18" hidden="false" customHeight="true" outlineLevel="0" collapsed="false">
      <c r="C31" s="5"/>
      <c r="V31" s="6"/>
      <c r="W31" s="6"/>
      <c r="X31" s="6"/>
      <c r="Y31" s="6"/>
      <c r="Z31" s="6"/>
      <c r="AA31" s="6"/>
      <c r="AB31" s="6"/>
      <c r="AC31" s="6"/>
      <c r="AD31" s="6"/>
      <c r="AM31" s="7"/>
      <c r="AN31" s="6"/>
      <c r="AO31" s="7"/>
      <c r="AP31" s="7"/>
      <c r="AR31" s="7"/>
      <c r="AS31" s="8"/>
      <c r="AW31" s="8"/>
      <c r="AX31" s="6"/>
      <c r="AY31" s="7"/>
      <c r="BA31" s="5"/>
    </row>
    <row r="32" customFormat="false" ht="18" hidden="false" customHeight="true" outlineLevel="0" collapsed="false">
      <c r="C32" s="5"/>
      <c r="V32" s="6"/>
      <c r="W32" s="6"/>
      <c r="X32" s="6"/>
      <c r="Y32" s="6"/>
      <c r="Z32" s="6"/>
      <c r="AA32" s="6"/>
      <c r="AB32" s="6"/>
      <c r="AC32" s="6"/>
      <c r="AD32" s="6"/>
      <c r="AM32" s="7"/>
      <c r="AN32" s="6"/>
      <c r="AO32" s="7"/>
      <c r="AP32" s="7"/>
      <c r="AR32" s="7"/>
      <c r="AS32" s="8"/>
      <c r="AW32" s="8"/>
      <c r="AX32" s="6"/>
      <c r="AY32" s="7"/>
      <c r="BA32" s="5"/>
    </row>
    <row r="33" customFormat="false" ht="18" hidden="false" customHeight="true" outlineLevel="0" collapsed="false">
      <c r="C33" s="5"/>
      <c r="V33" s="6"/>
      <c r="W33" s="6"/>
      <c r="X33" s="6"/>
      <c r="Y33" s="6"/>
      <c r="Z33" s="6"/>
      <c r="AA33" s="6"/>
      <c r="AB33" s="6"/>
      <c r="AC33" s="6"/>
      <c r="AD33" s="6"/>
      <c r="AM33" s="7"/>
      <c r="AN33" s="6"/>
      <c r="AO33" s="7"/>
      <c r="AP33" s="7"/>
      <c r="AR33" s="7"/>
      <c r="AS33" s="8"/>
      <c r="AW33" s="8"/>
      <c r="AX33" s="6"/>
      <c r="AY33" s="7"/>
      <c r="BA33" s="5"/>
    </row>
    <row r="34" customFormat="false" ht="18" hidden="false" customHeight="true" outlineLevel="0" collapsed="false">
      <c r="C34" s="5"/>
      <c r="V34" s="6"/>
      <c r="W34" s="6"/>
      <c r="X34" s="6"/>
      <c r="Y34" s="6"/>
      <c r="Z34" s="6"/>
      <c r="AA34" s="6"/>
      <c r="AB34" s="6"/>
      <c r="AC34" s="6"/>
      <c r="AD34" s="6"/>
      <c r="AM34" s="7"/>
      <c r="AN34" s="6"/>
      <c r="AO34" s="7"/>
      <c r="AP34" s="7"/>
      <c r="AR34" s="7"/>
      <c r="AS34" s="8"/>
      <c r="AW34" s="8"/>
      <c r="AX34" s="6"/>
      <c r="AY34" s="7"/>
      <c r="BA34" s="5"/>
    </row>
    <row r="35" customFormat="false" ht="18" hidden="false" customHeight="true" outlineLevel="0" collapsed="false">
      <c r="C35" s="5"/>
      <c r="V35" s="6"/>
      <c r="W35" s="6"/>
      <c r="X35" s="6"/>
      <c r="Y35" s="6"/>
      <c r="Z35" s="6"/>
      <c r="AA35" s="6"/>
      <c r="AB35" s="6"/>
      <c r="AC35" s="6"/>
      <c r="AD35" s="6"/>
      <c r="AM35" s="7"/>
      <c r="AN35" s="6"/>
      <c r="AO35" s="7"/>
      <c r="AP35" s="7"/>
      <c r="AR35" s="7"/>
      <c r="AS35" s="8"/>
      <c r="AW35" s="8"/>
      <c r="AX35" s="6"/>
      <c r="AY35" s="7"/>
      <c r="BA35" s="5"/>
    </row>
    <row r="36" customFormat="false" ht="18" hidden="false" customHeight="true" outlineLevel="0" collapsed="false">
      <c r="C36" s="5"/>
      <c r="V36" s="6"/>
      <c r="W36" s="6"/>
      <c r="X36" s="6"/>
      <c r="Y36" s="6"/>
      <c r="Z36" s="6"/>
      <c r="AA36" s="6"/>
      <c r="AB36" s="6"/>
      <c r="AC36" s="6"/>
      <c r="AD36" s="6"/>
      <c r="AM36" s="7"/>
      <c r="AN36" s="6"/>
      <c r="AO36" s="7"/>
      <c r="AP36" s="7"/>
      <c r="AR36" s="7"/>
      <c r="AS36" s="8"/>
      <c r="AW36" s="8"/>
      <c r="AX36" s="6"/>
      <c r="AY36" s="7"/>
      <c r="BA36" s="5"/>
    </row>
    <row r="37" customFormat="false" ht="18" hidden="false" customHeight="true" outlineLevel="0" collapsed="false">
      <c r="C37" s="5"/>
      <c r="V37" s="6"/>
      <c r="W37" s="6"/>
      <c r="X37" s="6"/>
      <c r="Y37" s="6"/>
      <c r="Z37" s="6"/>
      <c r="AA37" s="6"/>
      <c r="AB37" s="6"/>
      <c r="AC37" s="6"/>
      <c r="AD37" s="6"/>
      <c r="AM37" s="7"/>
      <c r="AN37" s="6"/>
      <c r="AO37" s="7"/>
      <c r="AP37" s="7"/>
      <c r="AR37" s="7"/>
      <c r="AS37" s="8"/>
      <c r="AW37" s="8"/>
      <c r="AX37" s="6"/>
      <c r="AY37" s="7"/>
      <c r="BA37" s="5"/>
    </row>
    <row r="38" customFormat="false" ht="18" hidden="false" customHeight="true" outlineLevel="0" collapsed="false">
      <c r="C38" s="5"/>
      <c r="V38" s="6"/>
      <c r="W38" s="6"/>
      <c r="X38" s="6"/>
      <c r="Y38" s="6"/>
      <c r="Z38" s="6"/>
      <c r="AA38" s="6"/>
      <c r="AB38" s="6"/>
      <c r="AC38" s="6"/>
      <c r="AD38" s="6"/>
      <c r="AM38" s="7"/>
      <c r="AN38" s="6"/>
      <c r="AO38" s="7"/>
      <c r="AP38" s="7"/>
      <c r="AR38" s="7"/>
      <c r="AS38" s="8"/>
      <c r="AW38" s="8"/>
      <c r="AX38" s="6"/>
      <c r="AY38" s="7"/>
      <c r="BA38" s="5"/>
    </row>
    <row r="39" customFormat="false" ht="18" hidden="false" customHeight="true" outlineLevel="0" collapsed="false">
      <c r="C39" s="5"/>
      <c r="V39" s="6"/>
      <c r="W39" s="6"/>
      <c r="X39" s="6"/>
      <c r="Y39" s="6"/>
      <c r="Z39" s="6"/>
      <c r="AA39" s="6"/>
      <c r="AB39" s="6"/>
      <c r="AC39" s="6"/>
      <c r="AD39" s="6"/>
      <c r="AM39" s="7"/>
      <c r="AN39" s="6"/>
      <c r="AO39" s="7"/>
      <c r="AP39" s="7"/>
      <c r="AR39" s="7"/>
      <c r="AS39" s="8"/>
      <c r="AW39" s="8"/>
      <c r="AX39" s="6"/>
      <c r="AY39" s="7"/>
      <c r="BA39" s="5"/>
    </row>
    <row r="40" customFormat="false" ht="18" hidden="false" customHeight="true" outlineLevel="0" collapsed="false">
      <c r="C40" s="5"/>
      <c r="V40" s="6"/>
      <c r="W40" s="6"/>
      <c r="X40" s="6"/>
      <c r="Y40" s="6"/>
      <c r="Z40" s="6"/>
      <c r="AA40" s="6"/>
      <c r="AB40" s="6"/>
      <c r="AC40" s="6"/>
      <c r="AD40" s="6"/>
      <c r="AM40" s="7"/>
      <c r="AN40" s="6"/>
      <c r="AO40" s="7"/>
      <c r="AP40" s="7"/>
      <c r="AR40" s="7"/>
      <c r="AS40" s="8"/>
      <c r="AW40" s="8"/>
      <c r="AX40" s="6"/>
      <c r="AY40" s="7"/>
      <c r="BA40" s="5"/>
    </row>
    <row r="41" customFormat="false" ht="18" hidden="false" customHeight="true" outlineLevel="0" collapsed="false">
      <c r="C41" s="5"/>
      <c r="V41" s="6"/>
      <c r="W41" s="6"/>
      <c r="X41" s="6"/>
      <c r="Y41" s="6"/>
      <c r="Z41" s="6"/>
      <c r="AA41" s="6"/>
      <c r="AB41" s="6"/>
      <c r="AC41" s="6"/>
      <c r="AD41" s="6"/>
      <c r="AM41" s="7"/>
      <c r="AN41" s="6"/>
      <c r="AO41" s="7"/>
      <c r="AP41" s="7"/>
      <c r="AR41" s="7"/>
      <c r="AS41" s="8"/>
      <c r="AW41" s="8"/>
      <c r="AX41" s="6"/>
      <c r="AY41" s="7"/>
      <c r="BA41" s="5"/>
    </row>
    <row r="42" customFormat="false" ht="18" hidden="false" customHeight="true" outlineLevel="0" collapsed="false">
      <c r="C42" s="5"/>
      <c r="V42" s="6"/>
      <c r="W42" s="6"/>
      <c r="X42" s="6"/>
      <c r="Y42" s="6"/>
      <c r="Z42" s="6"/>
      <c r="AA42" s="6"/>
      <c r="AB42" s="6"/>
      <c r="AC42" s="6"/>
      <c r="AD42" s="6"/>
      <c r="AM42" s="7"/>
      <c r="AN42" s="6"/>
      <c r="AO42" s="7"/>
      <c r="AP42" s="7"/>
      <c r="AR42" s="7"/>
      <c r="AS42" s="8"/>
      <c r="AW42" s="8"/>
      <c r="AX42" s="6"/>
      <c r="AY42" s="7"/>
      <c r="BA42" s="5"/>
    </row>
    <row r="43" customFormat="false" ht="18" hidden="false" customHeight="true" outlineLevel="0" collapsed="false">
      <c r="C43" s="5"/>
      <c r="V43" s="6"/>
      <c r="W43" s="6"/>
      <c r="X43" s="6"/>
      <c r="Y43" s="6"/>
      <c r="Z43" s="6"/>
      <c r="AA43" s="6"/>
      <c r="AB43" s="6"/>
      <c r="AC43" s="6"/>
      <c r="AD43" s="6"/>
      <c r="AM43" s="7"/>
      <c r="AN43" s="6"/>
      <c r="AO43" s="7"/>
      <c r="AP43" s="7"/>
      <c r="AR43" s="7"/>
      <c r="AS43" s="8"/>
      <c r="AW43" s="8"/>
      <c r="AX43" s="6"/>
      <c r="AY43" s="7"/>
      <c r="BA43" s="5"/>
    </row>
    <row r="44" customFormat="false" ht="18" hidden="false" customHeight="true" outlineLevel="0" collapsed="false">
      <c r="C44" s="5"/>
      <c r="V44" s="6"/>
      <c r="W44" s="6"/>
      <c r="X44" s="6"/>
      <c r="Y44" s="6"/>
      <c r="Z44" s="6"/>
      <c r="AA44" s="6"/>
      <c r="AB44" s="6"/>
      <c r="AC44" s="6"/>
      <c r="AD44" s="6"/>
      <c r="AM44" s="7"/>
      <c r="AN44" s="6"/>
      <c r="AO44" s="7"/>
      <c r="AP44" s="7"/>
      <c r="AR44" s="7"/>
      <c r="AS44" s="8"/>
      <c r="AW44" s="8"/>
      <c r="AX44" s="6"/>
      <c r="AY44" s="7"/>
      <c r="BA44" s="5"/>
    </row>
    <row r="45" customFormat="false" ht="18" hidden="false" customHeight="true" outlineLevel="0" collapsed="false">
      <c r="C45" s="5"/>
      <c r="V45" s="6"/>
      <c r="W45" s="6"/>
      <c r="X45" s="6"/>
      <c r="Y45" s="6"/>
      <c r="Z45" s="6"/>
      <c r="AA45" s="6"/>
      <c r="AB45" s="6"/>
      <c r="AC45" s="6"/>
      <c r="AD45" s="6"/>
      <c r="AM45" s="7"/>
      <c r="AN45" s="6"/>
      <c r="AO45" s="7"/>
      <c r="AP45" s="7"/>
      <c r="AR45" s="7"/>
      <c r="AS45" s="8"/>
      <c r="AW45" s="8"/>
      <c r="AX45" s="6"/>
      <c r="AY45" s="7"/>
      <c r="BA45" s="5"/>
    </row>
    <row r="46" customFormat="false" ht="18" hidden="false" customHeight="true" outlineLevel="0" collapsed="false">
      <c r="C46" s="5"/>
      <c r="V46" s="6"/>
      <c r="W46" s="6"/>
      <c r="X46" s="6"/>
      <c r="Y46" s="6"/>
      <c r="Z46" s="6"/>
      <c r="AA46" s="6"/>
      <c r="AB46" s="6"/>
      <c r="AC46" s="6"/>
      <c r="AD46" s="6"/>
      <c r="AM46" s="7"/>
      <c r="AN46" s="6"/>
      <c r="AO46" s="7"/>
      <c r="AP46" s="7"/>
      <c r="AR46" s="7"/>
      <c r="AS46" s="8"/>
      <c r="AW46" s="8"/>
      <c r="AX46" s="6"/>
      <c r="AY46" s="7"/>
      <c r="BA46" s="5"/>
    </row>
    <row r="47" customFormat="false" ht="18" hidden="false" customHeight="true" outlineLevel="0" collapsed="false">
      <c r="C47" s="5"/>
      <c r="V47" s="6"/>
      <c r="W47" s="6"/>
      <c r="X47" s="6"/>
      <c r="Y47" s="6"/>
      <c r="Z47" s="6"/>
      <c r="AA47" s="6"/>
      <c r="AB47" s="6"/>
      <c r="AC47" s="6"/>
      <c r="AD47" s="6"/>
      <c r="AM47" s="7"/>
      <c r="AN47" s="6"/>
      <c r="AO47" s="7"/>
      <c r="AP47" s="7"/>
      <c r="AR47" s="7"/>
      <c r="AS47" s="8"/>
      <c r="AW47" s="8"/>
      <c r="AX47" s="6"/>
      <c r="AY47" s="7"/>
      <c r="BA47" s="5"/>
    </row>
    <row r="48" customFormat="false" ht="18" hidden="false" customHeight="true" outlineLevel="0" collapsed="false">
      <c r="C48" s="5"/>
      <c r="V48" s="6"/>
      <c r="W48" s="6"/>
      <c r="X48" s="6"/>
      <c r="Y48" s="6"/>
      <c r="Z48" s="6"/>
      <c r="AA48" s="6"/>
      <c r="AB48" s="6"/>
      <c r="AC48" s="6"/>
      <c r="AD48" s="6"/>
      <c r="AM48" s="7"/>
      <c r="AN48" s="6"/>
      <c r="AO48" s="7"/>
      <c r="AP48" s="7"/>
      <c r="AR48" s="7"/>
      <c r="AS48" s="8"/>
      <c r="AW48" s="8"/>
      <c r="AX48" s="6"/>
      <c r="AY48" s="7"/>
      <c r="BA48" s="5"/>
    </row>
    <row r="49" customFormat="false" ht="18" hidden="false" customHeight="true" outlineLevel="0" collapsed="false">
      <c r="C49" s="5"/>
      <c r="V49" s="6"/>
      <c r="W49" s="6"/>
      <c r="X49" s="6"/>
      <c r="Y49" s="6"/>
      <c r="Z49" s="6"/>
      <c r="AA49" s="6"/>
      <c r="AB49" s="6"/>
      <c r="AC49" s="6"/>
      <c r="AD49" s="6"/>
      <c r="AM49" s="7"/>
      <c r="AN49" s="6"/>
      <c r="AO49" s="7"/>
      <c r="AP49" s="7"/>
      <c r="AR49" s="7"/>
      <c r="AS49" s="8"/>
      <c r="AW49" s="8"/>
      <c r="AX49" s="6"/>
      <c r="AY49" s="7"/>
      <c r="BA49" s="5"/>
    </row>
    <row r="50" customFormat="false" ht="18" hidden="false" customHeight="true" outlineLevel="0" collapsed="false">
      <c r="C50" s="5"/>
      <c r="V50" s="6"/>
      <c r="W50" s="6"/>
      <c r="X50" s="6"/>
      <c r="Y50" s="6"/>
      <c r="Z50" s="6"/>
      <c r="AA50" s="6"/>
      <c r="AB50" s="6"/>
      <c r="AC50" s="6"/>
      <c r="AD50" s="6"/>
      <c r="AM50" s="7"/>
      <c r="AN50" s="6"/>
      <c r="AO50" s="7"/>
      <c r="AP50" s="7"/>
      <c r="AR50" s="7"/>
      <c r="AS50" s="8"/>
      <c r="AW50" s="8"/>
      <c r="AX50" s="6"/>
      <c r="AY50" s="7"/>
      <c r="BA50" s="5"/>
    </row>
    <row r="51" customFormat="false" ht="18" hidden="false" customHeight="true" outlineLevel="0" collapsed="false">
      <c r="C51" s="5"/>
      <c r="V51" s="6"/>
      <c r="W51" s="6"/>
      <c r="X51" s="6"/>
      <c r="Y51" s="6"/>
      <c r="Z51" s="6"/>
      <c r="AA51" s="6"/>
      <c r="AB51" s="6"/>
      <c r="AC51" s="6"/>
      <c r="AD51" s="6"/>
      <c r="AM51" s="7"/>
      <c r="AN51" s="6"/>
      <c r="AO51" s="7"/>
      <c r="AP51" s="7"/>
      <c r="AR51" s="7"/>
      <c r="AS51" s="8"/>
      <c r="AW51" s="8"/>
      <c r="AX51" s="6"/>
      <c r="AY51" s="7"/>
      <c r="BA51" s="5"/>
    </row>
    <row r="52" customFormat="false" ht="18" hidden="false" customHeight="true" outlineLevel="0" collapsed="false">
      <c r="C52" s="5"/>
      <c r="V52" s="6"/>
      <c r="W52" s="6"/>
      <c r="X52" s="6"/>
      <c r="Y52" s="6"/>
      <c r="Z52" s="6"/>
      <c r="AA52" s="6"/>
      <c r="AB52" s="6"/>
      <c r="AC52" s="6"/>
      <c r="AD52" s="6"/>
      <c r="AM52" s="7"/>
      <c r="AN52" s="6"/>
      <c r="AO52" s="7"/>
      <c r="AP52" s="7"/>
      <c r="AR52" s="7"/>
      <c r="AS52" s="8"/>
      <c r="AW52" s="8"/>
      <c r="AX52" s="6"/>
      <c r="AY52" s="7"/>
      <c r="BA52" s="5"/>
    </row>
    <row r="53" customFormat="false" ht="18" hidden="false" customHeight="true" outlineLevel="0" collapsed="false">
      <c r="C53" s="5"/>
      <c r="V53" s="6"/>
      <c r="W53" s="6"/>
      <c r="X53" s="6"/>
      <c r="Y53" s="6"/>
      <c r="Z53" s="6"/>
      <c r="AA53" s="6"/>
      <c r="AB53" s="6"/>
      <c r="AC53" s="6"/>
      <c r="AD53" s="6"/>
      <c r="AM53" s="7"/>
      <c r="AN53" s="6"/>
      <c r="AO53" s="7"/>
      <c r="AP53" s="7"/>
      <c r="AR53" s="7"/>
      <c r="AS53" s="8"/>
      <c r="AW53" s="8"/>
      <c r="AX53" s="6"/>
      <c r="AY53" s="7"/>
      <c r="BA53" s="5"/>
    </row>
    <row r="54" customFormat="false" ht="18" hidden="false" customHeight="true" outlineLevel="0" collapsed="false">
      <c r="C54" s="5"/>
      <c r="V54" s="6"/>
      <c r="W54" s="6"/>
      <c r="X54" s="6"/>
      <c r="Y54" s="6"/>
      <c r="Z54" s="6"/>
      <c r="AA54" s="6"/>
      <c r="AB54" s="6"/>
      <c r="AC54" s="6"/>
      <c r="AD54" s="6"/>
      <c r="AM54" s="7"/>
      <c r="AN54" s="6"/>
      <c r="AO54" s="7"/>
      <c r="AP54" s="7"/>
      <c r="AR54" s="7"/>
      <c r="AS54" s="8"/>
      <c r="AW54" s="8"/>
      <c r="AX54" s="6"/>
      <c r="AY54" s="7"/>
      <c r="BA54" s="5"/>
    </row>
    <row r="55" customFormat="false" ht="18" hidden="false" customHeight="true" outlineLevel="0" collapsed="false">
      <c r="C55" s="5"/>
      <c r="V55" s="6"/>
      <c r="W55" s="6"/>
      <c r="X55" s="6"/>
      <c r="Y55" s="6"/>
      <c r="Z55" s="6"/>
      <c r="AA55" s="6"/>
      <c r="AB55" s="6"/>
      <c r="AC55" s="6"/>
      <c r="AD55" s="6"/>
      <c r="AM55" s="7"/>
      <c r="AN55" s="6"/>
      <c r="AO55" s="7"/>
      <c r="AP55" s="7"/>
      <c r="AR55" s="7"/>
      <c r="AS55" s="8"/>
      <c r="AW55" s="8"/>
      <c r="AX55" s="6"/>
      <c r="AY55" s="7"/>
      <c r="BA55" s="5"/>
    </row>
    <row r="56" customFormat="false" ht="18" hidden="false" customHeight="true" outlineLevel="0" collapsed="false">
      <c r="C56" s="5"/>
      <c r="V56" s="6"/>
      <c r="W56" s="6"/>
      <c r="X56" s="6"/>
      <c r="Y56" s="6"/>
      <c r="Z56" s="6"/>
      <c r="AA56" s="6"/>
      <c r="AB56" s="6"/>
      <c r="AC56" s="6"/>
      <c r="AD56" s="6"/>
      <c r="AM56" s="7"/>
      <c r="AN56" s="6"/>
      <c r="AO56" s="7"/>
      <c r="AP56" s="7"/>
      <c r="AR56" s="7"/>
      <c r="AS56" s="8"/>
      <c r="AW56" s="8"/>
      <c r="AX56" s="6"/>
      <c r="AY56" s="7"/>
      <c r="BA56" s="5"/>
    </row>
    <row r="57" customFormat="false" ht="18" hidden="false" customHeight="true" outlineLevel="0" collapsed="false">
      <c r="C57" s="5"/>
      <c r="V57" s="6"/>
      <c r="W57" s="6"/>
      <c r="X57" s="6"/>
      <c r="Y57" s="6"/>
      <c r="Z57" s="6"/>
      <c r="AA57" s="6"/>
      <c r="AB57" s="6"/>
      <c r="AC57" s="6"/>
      <c r="AD57" s="6"/>
      <c r="AM57" s="7"/>
      <c r="AN57" s="6"/>
      <c r="AO57" s="7"/>
      <c r="AP57" s="7"/>
      <c r="AR57" s="7"/>
      <c r="AS57" s="8"/>
      <c r="AW57" s="8"/>
      <c r="AX57" s="6"/>
      <c r="AY57" s="7"/>
      <c r="BA57" s="5"/>
    </row>
    <row r="58" customFormat="false" ht="18" hidden="false" customHeight="true" outlineLevel="0" collapsed="false">
      <c r="C58" s="5"/>
      <c r="V58" s="6"/>
      <c r="W58" s="6"/>
      <c r="X58" s="6"/>
      <c r="Y58" s="6"/>
      <c r="Z58" s="6"/>
      <c r="AA58" s="6"/>
      <c r="AB58" s="6"/>
      <c r="AC58" s="6"/>
      <c r="AD58" s="6"/>
      <c r="AM58" s="7"/>
      <c r="AN58" s="6"/>
      <c r="AO58" s="7"/>
      <c r="AP58" s="7"/>
      <c r="AR58" s="7"/>
      <c r="AS58" s="8"/>
      <c r="AW58" s="8"/>
      <c r="AX58" s="6"/>
      <c r="AY58" s="7"/>
      <c r="BA58" s="5"/>
    </row>
    <row r="59" customFormat="false" ht="18" hidden="false" customHeight="true" outlineLevel="0" collapsed="false">
      <c r="C59" s="5"/>
      <c r="V59" s="6"/>
      <c r="W59" s="6"/>
      <c r="X59" s="6"/>
      <c r="Y59" s="6"/>
      <c r="Z59" s="6"/>
      <c r="AA59" s="6"/>
      <c r="AB59" s="6"/>
      <c r="AC59" s="6"/>
      <c r="AD59" s="6"/>
      <c r="AM59" s="7"/>
      <c r="AN59" s="6"/>
      <c r="AO59" s="7"/>
      <c r="AP59" s="7"/>
      <c r="AR59" s="7"/>
      <c r="AS59" s="8"/>
      <c r="AW59" s="8"/>
      <c r="AX59" s="6"/>
      <c r="AY59" s="7"/>
      <c r="BA59" s="5"/>
    </row>
    <row r="60" customFormat="false" ht="18" hidden="false" customHeight="true" outlineLevel="0" collapsed="false">
      <c r="C60" s="5"/>
      <c r="V60" s="6"/>
      <c r="W60" s="6"/>
      <c r="X60" s="6"/>
      <c r="Y60" s="6"/>
      <c r="Z60" s="6"/>
      <c r="AA60" s="6"/>
      <c r="AB60" s="6"/>
      <c r="AC60" s="6"/>
      <c r="AD60" s="6"/>
      <c r="AM60" s="7"/>
      <c r="AN60" s="6"/>
      <c r="AO60" s="7"/>
      <c r="AP60" s="7"/>
      <c r="AR60" s="7"/>
      <c r="AS60" s="8"/>
      <c r="AW60" s="8"/>
      <c r="AX60" s="6"/>
      <c r="AY60" s="7"/>
      <c r="BA60" s="5"/>
    </row>
    <row r="61" customFormat="false" ht="18" hidden="false" customHeight="true" outlineLevel="0" collapsed="false">
      <c r="C61" s="5"/>
      <c r="V61" s="6"/>
      <c r="W61" s="6"/>
      <c r="X61" s="6"/>
      <c r="Y61" s="6"/>
      <c r="Z61" s="6"/>
      <c r="AA61" s="6"/>
      <c r="AB61" s="6"/>
      <c r="AC61" s="6"/>
      <c r="AD61" s="6"/>
      <c r="AM61" s="7"/>
      <c r="AN61" s="6"/>
      <c r="AO61" s="7"/>
      <c r="AP61" s="7"/>
      <c r="AR61" s="7"/>
      <c r="AS61" s="8"/>
      <c r="AW61" s="8"/>
      <c r="AX61" s="6"/>
      <c r="AY61" s="7"/>
      <c r="BA61" s="5"/>
    </row>
    <row r="62" customFormat="false" ht="18" hidden="false" customHeight="true" outlineLevel="0" collapsed="false">
      <c r="C62" s="5"/>
      <c r="V62" s="6"/>
      <c r="W62" s="6"/>
      <c r="X62" s="6"/>
      <c r="Y62" s="6"/>
      <c r="Z62" s="6"/>
      <c r="AA62" s="6"/>
      <c r="AB62" s="6"/>
      <c r="AC62" s="6"/>
      <c r="AD62" s="6"/>
      <c r="AM62" s="7"/>
      <c r="AN62" s="6"/>
      <c r="AO62" s="7"/>
      <c r="AP62" s="7"/>
      <c r="AR62" s="7"/>
      <c r="AS62" s="8"/>
      <c r="AW62" s="8"/>
      <c r="AX62" s="6"/>
      <c r="AY62" s="7"/>
      <c r="BA62" s="5"/>
    </row>
    <row r="63" customFormat="false" ht="18" hidden="false" customHeight="true" outlineLevel="0" collapsed="false">
      <c r="C63" s="5"/>
      <c r="V63" s="6"/>
      <c r="W63" s="6"/>
      <c r="X63" s="6"/>
      <c r="Y63" s="6"/>
      <c r="Z63" s="6"/>
      <c r="AA63" s="6"/>
      <c r="AB63" s="6"/>
      <c r="AC63" s="6"/>
      <c r="AD63" s="6"/>
      <c r="AM63" s="7"/>
      <c r="AN63" s="6"/>
      <c r="AO63" s="7"/>
      <c r="AP63" s="7"/>
      <c r="AR63" s="7"/>
      <c r="AS63" s="8"/>
      <c r="AW63" s="8"/>
      <c r="AX63" s="6"/>
      <c r="AY63" s="7"/>
      <c r="BA63" s="5"/>
    </row>
    <row r="64" customFormat="false" ht="18" hidden="false" customHeight="true" outlineLevel="0" collapsed="false">
      <c r="C64" s="5"/>
      <c r="V64" s="6"/>
      <c r="W64" s="6"/>
      <c r="X64" s="6"/>
      <c r="Y64" s="6"/>
      <c r="Z64" s="6"/>
      <c r="AA64" s="6"/>
      <c r="AB64" s="6"/>
      <c r="AC64" s="6"/>
      <c r="AD64" s="6"/>
      <c r="AM64" s="7"/>
      <c r="AN64" s="6"/>
      <c r="AO64" s="7"/>
      <c r="AP64" s="7"/>
      <c r="AR64" s="7"/>
      <c r="AS64" s="8"/>
      <c r="AW64" s="8"/>
      <c r="AX64" s="6"/>
      <c r="AY64" s="7"/>
      <c r="BA64" s="5"/>
    </row>
    <row r="65" customFormat="false" ht="18" hidden="false" customHeight="true" outlineLevel="0" collapsed="false">
      <c r="C65" s="5"/>
      <c r="V65" s="6"/>
      <c r="W65" s="6"/>
      <c r="X65" s="6"/>
      <c r="Y65" s="6"/>
      <c r="Z65" s="6"/>
      <c r="AA65" s="6"/>
      <c r="AB65" s="6"/>
      <c r="AC65" s="6"/>
      <c r="AD65" s="6"/>
      <c r="AM65" s="7"/>
      <c r="AN65" s="6"/>
      <c r="AO65" s="7"/>
      <c r="AP65" s="7"/>
      <c r="AR65" s="7"/>
      <c r="AS65" s="8"/>
      <c r="AW65" s="8"/>
      <c r="AX65" s="6"/>
      <c r="AY65" s="7"/>
      <c r="BA65" s="5"/>
    </row>
    <row r="66" customFormat="false" ht="18" hidden="false" customHeight="true" outlineLevel="0" collapsed="false">
      <c r="C66" s="5"/>
      <c r="V66" s="6"/>
      <c r="W66" s="6"/>
      <c r="X66" s="6"/>
      <c r="Y66" s="6"/>
      <c r="Z66" s="6"/>
      <c r="AA66" s="6"/>
      <c r="AB66" s="6"/>
      <c r="AC66" s="6"/>
      <c r="AD66" s="6"/>
      <c r="AM66" s="7"/>
      <c r="AN66" s="6"/>
      <c r="AO66" s="7"/>
      <c r="AP66" s="7"/>
      <c r="AR66" s="7"/>
      <c r="AS66" s="8"/>
      <c r="AW66" s="8"/>
      <c r="AX66" s="6"/>
      <c r="AY66" s="7"/>
      <c r="BA66" s="5"/>
    </row>
    <row r="67" customFormat="false" ht="18" hidden="false" customHeight="true" outlineLevel="0" collapsed="false">
      <c r="C67" s="5"/>
      <c r="V67" s="6"/>
      <c r="W67" s="6"/>
      <c r="X67" s="6"/>
      <c r="Y67" s="6"/>
      <c r="Z67" s="6"/>
      <c r="AA67" s="6"/>
      <c r="AB67" s="6"/>
      <c r="AC67" s="6"/>
      <c r="AD67" s="6"/>
      <c r="AM67" s="7"/>
      <c r="AN67" s="6"/>
      <c r="AO67" s="7"/>
      <c r="AP67" s="7"/>
      <c r="AR67" s="7"/>
      <c r="AS67" s="8"/>
      <c r="AW67" s="8"/>
      <c r="AX67" s="6"/>
      <c r="AY67" s="7"/>
      <c r="BA67" s="5"/>
    </row>
    <row r="68" customFormat="false" ht="18" hidden="false" customHeight="true" outlineLevel="0" collapsed="false">
      <c r="C68" s="5"/>
      <c r="V68" s="6"/>
      <c r="W68" s="6"/>
      <c r="X68" s="6"/>
      <c r="Y68" s="6"/>
      <c r="Z68" s="6"/>
      <c r="AA68" s="6"/>
      <c r="AB68" s="6"/>
      <c r="AC68" s="6"/>
      <c r="AD68" s="6"/>
      <c r="AM68" s="7"/>
      <c r="AN68" s="6"/>
      <c r="AO68" s="7"/>
      <c r="AP68" s="7"/>
      <c r="AR68" s="7"/>
      <c r="AS68" s="8"/>
      <c r="AW68" s="8"/>
      <c r="AX68" s="6"/>
      <c r="AY68" s="7"/>
      <c r="BA68" s="5"/>
    </row>
    <row r="69" customFormat="false" ht="18" hidden="false" customHeight="true" outlineLevel="0" collapsed="false">
      <c r="C69" s="5"/>
      <c r="V69" s="6"/>
      <c r="W69" s="6"/>
      <c r="X69" s="6"/>
      <c r="Y69" s="6"/>
      <c r="Z69" s="6"/>
      <c r="AA69" s="6"/>
      <c r="AB69" s="6"/>
      <c r="AC69" s="6"/>
      <c r="AD69" s="6"/>
      <c r="AM69" s="7"/>
      <c r="AN69" s="6"/>
      <c r="AO69" s="7"/>
      <c r="AP69" s="7"/>
      <c r="AR69" s="7"/>
      <c r="AS69" s="8"/>
      <c r="AW69" s="8"/>
      <c r="AX69" s="6"/>
      <c r="AY69" s="7"/>
      <c r="BA69" s="5"/>
    </row>
    <row r="70" customFormat="false" ht="18" hidden="false" customHeight="true" outlineLevel="0" collapsed="false">
      <c r="C70" s="5"/>
      <c r="V70" s="6"/>
      <c r="W70" s="6"/>
      <c r="X70" s="6"/>
      <c r="Y70" s="6"/>
      <c r="Z70" s="6"/>
      <c r="AA70" s="6"/>
      <c r="AB70" s="6"/>
      <c r="AC70" s="6"/>
      <c r="AD70" s="6"/>
      <c r="AM70" s="7"/>
      <c r="AN70" s="6"/>
      <c r="AO70" s="7"/>
      <c r="AP70" s="7"/>
      <c r="AR70" s="7"/>
      <c r="AS70" s="8"/>
      <c r="AW70" s="8"/>
      <c r="AX70" s="6"/>
      <c r="AY70" s="7"/>
      <c r="BA70" s="5"/>
    </row>
    <row r="71" customFormat="false" ht="18" hidden="false" customHeight="true" outlineLevel="0" collapsed="false">
      <c r="C71" s="5"/>
      <c r="V71" s="6"/>
      <c r="W71" s="6"/>
      <c r="X71" s="6"/>
      <c r="Y71" s="6"/>
      <c r="Z71" s="6"/>
      <c r="AA71" s="6"/>
      <c r="AB71" s="6"/>
      <c r="AC71" s="6"/>
      <c r="AD71" s="6"/>
      <c r="AM71" s="7"/>
      <c r="AN71" s="6"/>
      <c r="AO71" s="7"/>
      <c r="AP71" s="7"/>
      <c r="AR71" s="7"/>
      <c r="AS71" s="8"/>
      <c r="AW71" s="8"/>
      <c r="AX71" s="6"/>
      <c r="AY71" s="7"/>
      <c r="BA71" s="5"/>
    </row>
    <row r="72" customFormat="false" ht="18" hidden="false" customHeight="true" outlineLevel="0" collapsed="false">
      <c r="C72" s="5"/>
      <c r="V72" s="6"/>
      <c r="W72" s="6"/>
      <c r="X72" s="6"/>
      <c r="Y72" s="6"/>
      <c r="Z72" s="6"/>
      <c r="AA72" s="6"/>
      <c r="AB72" s="6"/>
      <c r="AC72" s="6"/>
      <c r="AD72" s="6"/>
      <c r="AM72" s="7"/>
      <c r="AN72" s="6"/>
      <c r="AO72" s="7"/>
      <c r="AP72" s="7"/>
      <c r="AR72" s="7"/>
      <c r="AS72" s="8"/>
      <c r="AW72" s="8"/>
      <c r="AX72" s="6"/>
      <c r="AY72" s="7"/>
      <c r="BA72" s="5"/>
    </row>
    <row r="73" customFormat="false" ht="18" hidden="false" customHeight="true" outlineLevel="0" collapsed="false">
      <c r="C73" s="5"/>
      <c r="V73" s="6"/>
      <c r="W73" s="6"/>
      <c r="X73" s="6"/>
      <c r="Y73" s="6"/>
      <c r="Z73" s="6"/>
      <c r="AA73" s="6"/>
      <c r="AB73" s="6"/>
      <c r="AC73" s="6"/>
      <c r="AD73" s="6"/>
      <c r="AM73" s="7"/>
      <c r="AN73" s="6"/>
      <c r="AO73" s="7"/>
      <c r="AP73" s="7"/>
      <c r="AR73" s="7"/>
      <c r="AS73" s="8"/>
      <c r="AW73" s="8"/>
      <c r="AX73" s="6"/>
      <c r="AY73" s="7"/>
      <c r="BA73" s="5"/>
    </row>
    <row r="74" customFormat="false" ht="18" hidden="false" customHeight="true" outlineLevel="0" collapsed="false">
      <c r="C74" s="5"/>
      <c r="V74" s="6"/>
      <c r="W74" s="6"/>
      <c r="X74" s="6"/>
      <c r="Y74" s="6"/>
      <c r="Z74" s="6"/>
      <c r="AA74" s="6"/>
      <c r="AB74" s="6"/>
      <c r="AC74" s="6"/>
      <c r="AD74" s="6"/>
      <c r="AM74" s="7"/>
      <c r="AN74" s="6"/>
      <c r="AO74" s="7"/>
      <c r="AP74" s="7"/>
      <c r="AR74" s="7"/>
      <c r="AS74" s="8"/>
      <c r="AW74" s="8"/>
      <c r="AX74" s="6"/>
      <c r="AY74" s="7"/>
      <c r="BA74" s="5"/>
    </row>
    <row r="75" customFormat="false" ht="18" hidden="false" customHeight="true" outlineLevel="0" collapsed="false">
      <c r="C75" s="5"/>
      <c r="V75" s="6"/>
      <c r="W75" s="6"/>
      <c r="X75" s="6"/>
      <c r="Y75" s="6"/>
      <c r="Z75" s="6"/>
      <c r="AA75" s="6"/>
      <c r="AB75" s="6"/>
      <c r="AC75" s="6"/>
      <c r="AD75" s="6"/>
      <c r="AM75" s="7"/>
      <c r="AN75" s="6"/>
      <c r="AO75" s="7"/>
      <c r="AP75" s="7"/>
      <c r="AR75" s="7"/>
      <c r="AS75" s="8"/>
      <c r="AW75" s="8"/>
      <c r="AX75" s="6"/>
      <c r="AY75" s="7"/>
      <c r="BA75" s="5"/>
    </row>
    <row r="76" customFormat="false" ht="18" hidden="false" customHeight="true" outlineLevel="0" collapsed="false">
      <c r="C76" s="5"/>
      <c r="V76" s="6"/>
      <c r="W76" s="6"/>
      <c r="X76" s="6"/>
      <c r="Y76" s="6"/>
      <c r="Z76" s="6"/>
      <c r="AA76" s="6"/>
      <c r="AB76" s="6"/>
      <c r="AC76" s="6"/>
      <c r="AD76" s="6"/>
      <c r="AM76" s="7"/>
      <c r="AN76" s="6"/>
      <c r="AO76" s="7"/>
      <c r="AP76" s="7"/>
      <c r="AR76" s="7"/>
      <c r="AS76" s="8"/>
      <c r="AW76" s="8"/>
      <c r="AX76" s="6"/>
      <c r="AY76" s="7"/>
      <c r="BA76" s="5"/>
    </row>
    <row r="77" customFormat="false" ht="18" hidden="false" customHeight="true" outlineLevel="0" collapsed="false">
      <c r="C77" s="5"/>
      <c r="V77" s="6"/>
      <c r="W77" s="6"/>
      <c r="X77" s="6"/>
      <c r="Y77" s="6"/>
      <c r="Z77" s="6"/>
      <c r="AA77" s="6"/>
      <c r="AB77" s="6"/>
      <c r="AC77" s="6"/>
      <c r="AD77" s="6"/>
      <c r="AM77" s="7"/>
      <c r="AN77" s="6"/>
      <c r="AO77" s="7"/>
      <c r="AP77" s="7"/>
      <c r="AR77" s="7"/>
      <c r="AS77" s="8"/>
      <c r="AW77" s="8"/>
      <c r="AX77" s="6"/>
      <c r="AY77" s="7"/>
      <c r="BA77" s="5"/>
    </row>
    <row r="78" customFormat="false" ht="18" hidden="false" customHeight="true" outlineLevel="0" collapsed="false">
      <c r="C78" s="5"/>
      <c r="V78" s="6"/>
      <c r="W78" s="6"/>
      <c r="X78" s="6"/>
      <c r="Y78" s="6"/>
      <c r="Z78" s="6"/>
      <c r="AA78" s="6"/>
      <c r="AB78" s="6"/>
      <c r="AC78" s="6"/>
      <c r="AD78" s="6"/>
      <c r="AM78" s="7"/>
      <c r="AN78" s="6"/>
      <c r="AO78" s="7"/>
      <c r="AP78" s="7"/>
      <c r="AR78" s="7"/>
      <c r="AS78" s="8"/>
      <c r="AW78" s="8"/>
      <c r="AX78" s="6"/>
      <c r="AY78" s="7"/>
      <c r="BA78" s="5"/>
    </row>
    <row r="79" customFormat="false" ht="18" hidden="false" customHeight="true" outlineLevel="0" collapsed="false">
      <c r="C79" s="5"/>
      <c r="V79" s="6"/>
      <c r="W79" s="6"/>
      <c r="X79" s="6"/>
      <c r="Y79" s="6"/>
      <c r="Z79" s="6"/>
      <c r="AA79" s="6"/>
      <c r="AB79" s="6"/>
      <c r="AC79" s="6"/>
      <c r="AD79" s="6"/>
      <c r="AM79" s="7"/>
      <c r="AN79" s="6"/>
      <c r="AO79" s="7"/>
      <c r="AP79" s="7"/>
      <c r="AR79" s="7"/>
      <c r="AS79" s="8"/>
      <c r="AW79" s="8"/>
      <c r="AX79" s="6"/>
      <c r="AY79" s="7"/>
      <c r="BA79" s="5"/>
    </row>
    <row r="80" customFormat="false" ht="18" hidden="false" customHeight="true" outlineLevel="0" collapsed="false">
      <c r="C80" s="5"/>
      <c r="V80" s="6"/>
      <c r="W80" s="6"/>
      <c r="X80" s="6"/>
      <c r="Y80" s="6"/>
      <c r="Z80" s="6"/>
      <c r="AA80" s="6"/>
      <c r="AB80" s="6"/>
      <c r="AC80" s="6"/>
      <c r="AD80" s="6"/>
      <c r="AM80" s="7"/>
      <c r="AN80" s="6"/>
      <c r="AO80" s="7"/>
      <c r="AP80" s="7"/>
      <c r="AR80" s="7"/>
      <c r="AS80" s="8"/>
      <c r="AW80" s="8"/>
      <c r="AX80" s="6"/>
      <c r="AY80" s="7"/>
      <c r="BA80" s="5"/>
    </row>
    <row r="81" customFormat="false" ht="18" hidden="false" customHeight="true" outlineLevel="0" collapsed="false">
      <c r="C81" s="5"/>
      <c r="V81" s="6"/>
      <c r="W81" s="6"/>
      <c r="X81" s="6"/>
      <c r="Y81" s="6"/>
      <c r="Z81" s="6"/>
      <c r="AA81" s="6"/>
      <c r="AB81" s="6"/>
      <c r="AC81" s="6"/>
      <c r="AD81" s="6"/>
      <c r="AM81" s="7"/>
      <c r="AN81" s="6"/>
      <c r="AO81" s="7"/>
      <c r="AP81" s="7"/>
      <c r="AR81" s="7"/>
      <c r="AS81" s="8"/>
      <c r="AW81" s="8"/>
      <c r="AX81" s="6"/>
      <c r="AY81" s="7"/>
      <c r="BA81" s="5"/>
    </row>
    <row r="82" customFormat="false" ht="18" hidden="false" customHeight="true" outlineLevel="0" collapsed="false">
      <c r="C82" s="5"/>
      <c r="V82" s="6"/>
      <c r="W82" s="6"/>
      <c r="X82" s="6"/>
      <c r="Y82" s="6"/>
      <c r="Z82" s="6"/>
      <c r="AA82" s="6"/>
      <c r="AB82" s="6"/>
      <c r="AC82" s="6"/>
      <c r="AD82" s="6"/>
      <c r="AM82" s="7"/>
      <c r="AN82" s="6"/>
      <c r="AO82" s="7"/>
      <c r="AP82" s="7"/>
      <c r="AR82" s="7"/>
      <c r="AS82" s="8"/>
      <c r="AW82" s="8"/>
      <c r="AX82" s="6"/>
      <c r="AY82" s="7"/>
      <c r="BA82" s="5"/>
    </row>
    <row r="83" customFormat="false" ht="18" hidden="false" customHeight="true" outlineLevel="0" collapsed="false">
      <c r="C83" s="5"/>
      <c r="V83" s="6"/>
      <c r="W83" s="6"/>
      <c r="X83" s="6"/>
      <c r="Y83" s="6"/>
      <c r="Z83" s="6"/>
      <c r="AA83" s="6"/>
      <c r="AB83" s="6"/>
      <c r="AC83" s="6"/>
      <c r="AD83" s="6"/>
      <c r="AM83" s="7"/>
      <c r="AN83" s="6"/>
      <c r="AO83" s="7"/>
      <c r="AP83" s="7"/>
      <c r="AR83" s="7"/>
      <c r="AS83" s="8"/>
      <c r="AW83" s="8"/>
      <c r="AX83" s="6"/>
      <c r="AY83" s="7"/>
      <c r="BA83" s="5"/>
    </row>
    <row r="84" customFormat="false" ht="18" hidden="false" customHeight="true" outlineLevel="0" collapsed="false">
      <c r="C84" s="5"/>
      <c r="V84" s="6"/>
      <c r="W84" s="6"/>
      <c r="X84" s="6"/>
      <c r="Y84" s="6"/>
      <c r="Z84" s="6"/>
      <c r="AA84" s="6"/>
      <c r="AB84" s="6"/>
      <c r="AC84" s="6"/>
      <c r="AD84" s="6"/>
      <c r="AM84" s="7"/>
      <c r="AN84" s="6"/>
      <c r="AO84" s="7"/>
      <c r="AP84" s="7"/>
      <c r="AR84" s="7"/>
      <c r="AS84" s="8"/>
      <c r="AW84" s="8"/>
      <c r="AX84" s="6"/>
      <c r="AY84" s="7"/>
      <c r="BA84" s="5"/>
    </row>
    <row r="85" customFormat="false" ht="18" hidden="false" customHeight="true" outlineLevel="0" collapsed="false">
      <c r="C85" s="5"/>
      <c r="V85" s="6"/>
      <c r="W85" s="6"/>
      <c r="X85" s="6"/>
      <c r="Y85" s="6"/>
      <c r="Z85" s="6"/>
      <c r="AA85" s="6"/>
      <c r="AB85" s="6"/>
      <c r="AC85" s="6"/>
      <c r="AD85" s="6"/>
      <c r="AM85" s="7"/>
      <c r="AN85" s="6"/>
      <c r="AO85" s="7"/>
      <c r="AP85" s="7"/>
      <c r="AR85" s="7"/>
      <c r="AS85" s="8"/>
      <c r="AW85" s="8"/>
      <c r="AX85" s="6"/>
      <c r="AY85" s="7"/>
      <c r="BA85" s="5"/>
    </row>
    <row r="86" customFormat="false" ht="18" hidden="false" customHeight="true" outlineLevel="0" collapsed="false">
      <c r="C86" s="5"/>
      <c r="V86" s="6"/>
      <c r="W86" s="6"/>
      <c r="X86" s="6"/>
      <c r="Y86" s="6"/>
      <c r="Z86" s="6"/>
      <c r="AA86" s="6"/>
      <c r="AB86" s="6"/>
      <c r="AC86" s="6"/>
      <c r="AD86" s="6"/>
      <c r="AM86" s="7"/>
      <c r="AN86" s="6"/>
      <c r="AO86" s="7"/>
      <c r="AP86" s="7"/>
      <c r="AR86" s="7"/>
      <c r="AS86" s="8"/>
      <c r="AW86" s="8"/>
      <c r="AX86" s="6"/>
      <c r="AY86" s="7"/>
      <c r="BA86" s="5"/>
    </row>
    <row r="87" customFormat="false" ht="18" hidden="false" customHeight="true" outlineLevel="0" collapsed="false">
      <c r="C87" s="5"/>
      <c r="V87" s="6"/>
      <c r="W87" s="6"/>
      <c r="X87" s="6"/>
      <c r="Y87" s="6"/>
      <c r="Z87" s="6"/>
      <c r="AA87" s="6"/>
      <c r="AB87" s="6"/>
      <c r="AC87" s="6"/>
      <c r="AD87" s="6"/>
      <c r="AM87" s="7"/>
      <c r="AN87" s="6"/>
      <c r="AO87" s="7"/>
      <c r="AP87" s="7"/>
      <c r="AR87" s="7"/>
      <c r="AS87" s="8"/>
      <c r="AW87" s="8"/>
      <c r="AX87" s="6"/>
      <c r="AY87" s="7"/>
      <c r="BA87" s="5"/>
    </row>
    <row r="88" customFormat="false" ht="18" hidden="false" customHeight="true" outlineLevel="0" collapsed="false">
      <c r="C88" s="5"/>
      <c r="V88" s="6"/>
      <c r="W88" s="6"/>
      <c r="X88" s="6"/>
      <c r="Y88" s="6"/>
      <c r="Z88" s="6"/>
      <c r="AA88" s="6"/>
      <c r="AB88" s="6"/>
      <c r="AC88" s="6"/>
      <c r="AD88" s="6"/>
      <c r="AM88" s="7"/>
      <c r="AN88" s="6"/>
      <c r="AO88" s="7"/>
      <c r="AP88" s="7"/>
      <c r="AR88" s="7"/>
      <c r="AS88" s="8"/>
      <c r="AW88" s="8"/>
      <c r="AX88" s="6"/>
      <c r="AY88" s="7"/>
      <c r="BA88" s="5"/>
    </row>
    <row r="89" customFormat="false" ht="18" hidden="false" customHeight="true" outlineLevel="0" collapsed="false">
      <c r="C89" s="5"/>
      <c r="V89" s="6"/>
      <c r="W89" s="6"/>
      <c r="X89" s="6"/>
      <c r="Y89" s="6"/>
      <c r="Z89" s="6"/>
      <c r="AA89" s="6"/>
      <c r="AB89" s="6"/>
      <c r="AC89" s="6"/>
      <c r="AD89" s="6"/>
      <c r="AM89" s="7"/>
      <c r="AN89" s="6"/>
      <c r="AO89" s="7"/>
      <c r="AP89" s="7"/>
      <c r="AR89" s="7"/>
      <c r="AS89" s="8"/>
      <c r="AW89" s="8"/>
      <c r="AX89" s="6"/>
      <c r="AY89" s="7"/>
      <c r="BA89" s="5"/>
    </row>
    <row r="90" customFormat="false" ht="18" hidden="false" customHeight="true" outlineLevel="0" collapsed="false">
      <c r="C90" s="5"/>
      <c r="V90" s="6"/>
      <c r="W90" s="6"/>
      <c r="X90" s="6"/>
      <c r="Y90" s="6"/>
      <c r="Z90" s="6"/>
      <c r="AA90" s="6"/>
      <c r="AB90" s="6"/>
      <c r="AC90" s="6"/>
      <c r="AD90" s="6"/>
      <c r="AM90" s="7"/>
      <c r="AN90" s="6"/>
      <c r="AO90" s="7"/>
      <c r="AP90" s="7"/>
      <c r="AR90" s="7"/>
      <c r="AS90" s="8"/>
      <c r="AW90" s="8"/>
      <c r="AX90" s="6"/>
      <c r="AY90" s="7"/>
      <c r="BA90" s="5"/>
    </row>
    <row r="91" customFormat="false" ht="18" hidden="false" customHeight="true" outlineLevel="0" collapsed="false">
      <c r="C91" s="5"/>
      <c r="V91" s="6"/>
      <c r="W91" s="6"/>
      <c r="X91" s="6"/>
      <c r="Y91" s="6"/>
      <c r="Z91" s="6"/>
      <c r="AA91" s="6"/>
      <c r="AB91" s="6"/>
      <c r="AC91" s="6"/>
      <c r="AD91" s="6"/>
      <c r="AM91" s="7"/>
      <c r="AN91" s="6"/>
      <c r="AO91" s="7"/>
      <c r="AP91" s="7"/>
      <c r="AR91" s="7"/>
      <c r="AS91" s="8"/>
      <c r="AW91" s="8"/>
      <c r="AX91" s="6"/>
      <c r="AY91" s="7"/>
      <c r="BA91" s="5"/>
    </row>
    <row r="92" customFormat="false" ht="18" hidden="false" customHeight="true" outlineLevel="0" collapsed="false">
      <c r="C92" s="5"/>
      <c r="V92" s="6"/>
      <c r="W92" s="6"/>
      <c r="X92" s="6"/>
      <c r="Y92" s="6"/>
      <c r="Z92" s="6"/>
      <c r="AA92" s="6"/>
      <c r="AB92" s="6"/>
      <c r="AC92" s="6"/>
      <c r="AD92" s="6"/>
      <c r="AM92" s="7"/>
      <c r="AN92" s="6"/>
      <c r="AO92" s="7"/>
      <c r="AP92" s="7"/>
      <c r="AR92" s="7"/>
      <c r="AS92" s="8"/>
      <c r="AW92" s="8"/>
      <c r="AX92" s="6"/>
      <c r="AY92" s="7"/>
      <c r="BA92" s="5"/>
    </row>
    <row r="93" customFormat="false" ht="18" hidden="false" customHeight="true" outlineLevel="0" collapsed="false">
      <c r="C93" s="5"/>
      <c r="V93" s="6"/>
      <c r="W93" s="6"/>
      <c r="X93" s="6"/>
      <c r="Y93" s="6"/>
      <c r="Z93" s="6"/>
      <c r="AA93" s="6"/>
      <c r="AB93" s="6"/>
      <c r="AC93" s="6"/>
      <c r="AD93" s="6"/>
      <c r="AM93" s="7"/>
      <c r="AN93" s="6"/>
      <c r="AO93" s="7"/>
      <c r="AP93" s="7"/>
      <c r="AR93" s="7"/>
      <c r="AS93" s="8"/>
      <c r="AW93" s="8"/>
      <c r="AX93" s="6"/>
      <c r="AY93" s="7"/>
      <c r="BA93" s="5"/>
    </row>
    <row r="94" customFormat="false" ht="18" hidden="false" customHeight="true" outlineLevel="0" collapsed="false">
      <c r="C94" s="5"/>
      <c r="V94" s="6"/>
      <c r="W94" s="6"/>
      <c r="X94" s="6"/>
      <c r="Y94" s="6"/>
      <c r="Z94" s="6"/>
      <c r="AA94" s="6"/>
      <c r="AB94" s="6"/>
      <c r="AC94" s="6"/>
      <c r="AD94" s="6"/>
      <c r="AM94" s="7"/>
      <c r="AN94" s="6"/>
      <c r="AO94" s="7"/>
      <c r="AP94" s="7"/>
      <c r="AR94" s="7"/>
      <c r="AS94" s="8"/>
      <c r="AW94" s="8"/>
      <c r="AX94" s="6"/>
      <c r="AY94" s="7"/>
      <c r="BA94" s="5"/>
    </row>
    <row r="95" customFormat="false" ht="18" hidden="false" customHeight="true" outlineLevel="0" collapsed="false">
      <c r="C95" s="5"/>
      <c r="V95" s="6"/>
      <c r="W95" s="6"/>
      <c r="X95" s="6"/>
      <c r="Y95" s="6"/>
      <c r="Z95" s="6"/>
      <c r="AA95" s="6"/>
      <c r="AB95" s="6"/>
      <c r="AC95" s="6"/>
      <c r="AD95" s="6"/>
      <c r="AM95" s="7"/>
      <c r="AN95" s="6"/>
      <c r="AO95" s="7"/>
      <c r="AP95" s="7"/>
      <c r="AR95" s="7"/>
      <c r="AS95" s="8"/>
      <c r="AW95" s="8"/>
      <c r="AX95" s="6"/>
      <c r="AY95" s="7"/>
      <c r="BA95" s="5"/>
    </row>
    <row r="96" customFormat="false" ht="18" hidden="false" customHeight="true" outlineLevel="0" collapsed="false">
      <c r="C96" s="5"/>
      <c r="V96" s="6"/>
      <c r="W96" s="6"/>
      <c r="X96" s="6"/>
      <c r="Y96" s="6"/>
      <c r="Z96" s="6"/>
      <c r="AA96" s="6"/>
      <c r="AB96" s="6"/>
      <c r="AC96" s="6"/>
      <c r="AD96" s="6"/>
      <c r="AM96" s="7"/>
      <c r="AN96" s="6"/>
      <c r="AO96" s="7"/>
      <c r="AP96" s="7"/>
      <c r="AR96" s="7"/>
      <c r="AS96" s="8"/>
      <c r="AW96" s="8"/>
      <c r="AX96" s="6"/>
      <c r="AY96" s="7"/>
      <c r="BA96" s="5"/>
    </row>
    <row r="97" customFormat="false" ht="18" hidden="false" customHeight="true" outlineLevel="0" collapsed="false">
      <c r="C97" s="5"/>
      <c r="V97" s="6"/>
      <c r="W97" s="6"/>
      <c r="X97" s="6"/>
      <c r="Y97" s="6"/>
      <c r="Z97" s="6"/>
      <c r="AA97" s="6"/>
      <c r="AB97" s="6"/>
      <c r="AC97" s="6"/>
      <c r="AD97" s="6"/>
      <c r="AM97" s="7"/>
      <c r="AN97" s="6"/>
      <c r="AO97" s="7"/>
      <c r="AP97" s="7"/>
      <c r="AR97" s="7"/>
      <c r="AS97" s="8"/>
      <c r="AW97" s="8"/>
      <c r="AX97" s="6"/>
      <c r="AY97" s="7"/>
      <c r="BA97" s="5"/>
    </row>
    <row r="98" customFormat="false" ht="18" hidden="false" customHeight="true" outlineLevel="0" collapsed="false">
      <c r="C98" s="5"/>
      <c r="V98" s="6"/>
      <c r="W98" s="6"/>
      <c r="X98" s="6"/>
      <c r="Y98" s="6"/>
      <c r="Z98" s="6"/>
      <c r="AA98" s="6"/>
      <c r="AB98" s="6"/>
      <c r="AC98" s="6"/>
      <c r="AD98" s="6"/>
      <c r="AM98" s="7"/>
      <c r="AN98" s="6"/>
      <c r="AO98" s="7"/>
      <c r="AP98" s="7"/>
      <c r="AR98" s="7"/>
      <c r="AS98" s="8"/>
      <c r="AW98" s="8"/>
      <c r="AX98" s="6"/>
      <c r="AY98" s="7"/>
      <c r="BA98" s="5"/>
    </row>
    <row r="99" customFormat="false" ht="18" hidden="false" customHeight="true" outlineLevel="0" collapsed="false">
      <c r="C99" s="5"/>
      <c r="V99" s="6"/>
      <c r="W99" s="6"/>
      <c r="X99" s="6"/>
      <c r="Y99" s="6"/>
      <c r="Z99" s="6"/>
      <c r="AA99" s="6"/>
      <c r="AB99" s="6"/>
      <c r="AC99" s="6"/>
      <c r="AD99" s="6"/>
      <c r="AM99" s="7"/>
      <c r="AN99" s="6"/>
      <c r="AO99" s="7"/>
      <c r="AP99" s="7"/>
      <c r="AR99" s="7"/>
      <c r="AS99" s="8"/>
      <c r="AW99" s="8"/>
      <c r="AX99" s="6"/>
      <c r="AY99" s="7"/>
      <c r="BA99" s="5"/>
    </row>
    <row r="100" customFormat="false" ht="18" hidden="false" customHeight="true" outlineLevel="0" collapsed="false">
      <c r="C100" s="5"/>
      <c r="V100" s="6"/>
      <c r="W100" s="6"/>
      <c r="X100" s="6"/>
      <c r="Y100" s="6"/>
      <c r="Z100" s="6"/>
      <c r="AA100" s="6"/>
      <c r="AB100" s="6"/>
      <c r="AC100" s="6"/>
      <c r="AD100" s="6"/>
      <c r="AM100" s="7"/>
      <c r="AN100" s="6"/>
      <c r="AO100" s="7"/>
      <c r="AP100" s="7"/>
      <c r="AR100" s="7"/>
      <c r="AS100" s="8"/>
      <c r="AW100" s="8"/>
      <c r="AX100" s="6"/>
      <c r="AY100" s="7"/>
      <c r="BA100" s="5"/>
    </row>
    <row r="101" customFormat="false" ht="18" hidden="false" customHeight="true" outlineLevel="0" collapsed="false">
      <c r="C101" s="5"/>
      <c r="V101" s="6"/>
      <c r="W101" s="6"/>
      <c r="X101" s="6"/>
      <c r="Y101" s="6"/>
      <c r="Z101" s="6"/>
      <c r="AA101" s="6"/>
      <c r="AB101" s="6"/>
      <c r="AC101" s="6"/>
      <c r="AD101" s="6"/>
      <c r="AM101" s="7"/>
      <c r="AN101" s="6"/>
      <c r="AO101" s="7"/>
      <c r="AP101" s="7"/>
      <c r="AR101" s="7"/>
      <c r="AS101" s="8"/>
      <c r="AW101" s="8"/>
      <c r="AX101" s="6"/>
      <c r="AY101" s="7"/>
      <c r="BA101" s="5"/>
    </row>
    <row r="102" customFormat="false" ht="18" hidden="false" customHeight="true" outlineLevel="0" collapsed="false">
      <c r="C102" s="5"/>
      <c r="V102" s="6"/>
      <c r="W102" s="6"/>
      <c r="X102" s="6"/>
      <c r="Y102" s="6"/>
      <c r="Z102" s="6"/>
      <c r="AA102" s="6"/>
      <c r="AB102" s="6"/>
      <c r="AC102" s="6"/>
      <c r="AD102" s="6"/>
      <c r="AM102" s="7"/>
      <c r="AN102" s="6"/>
      <c r="AO102" s="7"/>
      <c r="AP102" s="7"/>
      <c r="AR102" s="7"/>
      <c r="AS102" s="8"/>
      <c r="AW102" s="8"/>
      <c r="AX102" s="6"/>
      <c r="AY102" s="7"/>
      <c r="BA102" s="5"/>
    </row>
    <row r="103" customFormat="false" ht="18" hidden="false" customHeight="true" outlineLevel="0" collapsed="false">
      <c r="C103" s="5"/>
      <c r="V103" s="6"/>
      <c r="W103" s="6"/>
      <c r="X103" s="6"/>
      <c r="Y103" s="6"/>
      <c r="Z103" s="6"/>
      <c r="AA103" s="6"/>
      <c r="AB103" s="6"/>
      <c r="AC103" s="6"/>
      <c r="AD103" s="6"/>
      <c r="AM103" s="7"/>
      <c r="AN103" s="6"/>
      <c r="AO103" s="7"/>
      <c r="AP103" s="7"/>
      <c r="AR103" s="7"/>
      <c r="AS103" s="8"/>
      <c r="AW103" s="8"/>
      <c r="AX103" s="6"/>
      <c r="AY103" s="7"/>
      <c r="BA103" s="5"/>
    </row>
    <row r="104" customFormat="false" ht="18" hidden="false" customHeight="true" outlineLevel="0" collapsed="false">
      <c r="C104" s="5"/>
      <c r="V104" s="6"/>
      <c r="W104" s="6"/>
      <c r="X104" s="6"/>
      <c r="Y104" s="6"/>
      <c r="Z104" s="6"/>
      <c r="AA104" s="6"/>
      <c r="AB104" s="6"/>
      <c r="AC104" s="6"/>
      <c r="AD104" s="6"/>
      <c r="AM104" s="7"/>
      <c r="AN104" s="6"/>
      <c r="AO104" s="7"/>
      <c r="AP104" s="7"/>
      <c r="AR104" s="7"/>
      <c r="AS104" s="8"/>
      <c r="AW104" s="8"/>
      <c r="AX104" s="6"/>
      <c r="AY104" s="7"/>
      <c r="BA104" s="5"/>
    </row>
    <row r="105" customFormat="false" ht="18" hidden="false" customHeight="true" outlineLevel="0" collapsed="false">
      <c r="C105" s="5"/>
      <c r="V105" s="6"/>
      <c r="W105" s="6"/>
      <c r="X105" s="6"/>
      <c r="Y105" s="6"/>
      <c r="Z105" s="6"/>
      <c r="AA105" s="6"/>
      <c r="AB105" s="6"/>
      <c r="AC105" s="6"/>
      <c r="AD105" s="6"/>
      <c r="AM105" s="7"/>
      <c r="AN105" s="6"/>
      <c r="AO105" s="7"/>
      <c r="AP105" s="7"/>
      <c r="AR105" s="7"/>
      <c r="AS105" s="8"/>
      <c r="AW105" s="8"/>
      <c r="AX105" s="6"/>
      <c r="AY105" s="7"/>
      <c r="BA105" s="5"/>
    </row>
    <row r="106" customFormat="false" ht="18" hidden="false" customHeight="true" outlineLevel="0" collapsed="false">
      <c r="C106" s="5"/>
      <c r="V106" s="6"/>
      <c r="W106" s="6"/>
      <c r="X106" s="6"/>
      <c r="Y106" s="6"/>
      <c r="Z106" s="6"/>
      <c r="AA106" s="6"/>
      <c r="AB106" s="6"/>
      <c r="AC106" s="6"/>
      <c r="AD106" s="6"/>
      <c r="AM106" s="7"/>
      <c r="AN106" s="6"/>
      <c r="AO106" s="7"/>
      <c r="AP106" s="7"/>
      <c r="AR106" s="7"/>
      <c r="AS106" s="8"/>
      <c r="AW106" s="8"/>
      <c r="AX106" s="6"/>
      <c r="AY106" s="7"/>
      <c r="BA106" s="5"/>
    </row>
    <row r="107" customFormat="false" ht="18" hidden="false" customHeight="true" outlineLevel="0" collapsed="false">
      <c r="C107" s="5"/>
      <c r="V107" s="6"/>
      <c r="W107" s="6"/>
      <c r="X107" s="6"/>
      <c r="Y107" s="6"/>
      <c r="Z107" s="6"/>
      <c r="AA107" s="6"/>
      <c r="AB107" s="6"/>
      <c r="AC107" s="6"/>
      <c r="AD107" s="6"/>
      <c r="AM107" s="7"/>
      <c r="AN107" s="6"/>
      <c r="AO107" s="7"/>
      <c r="AP107" s="7"/>
      <c r="AR107" s="7"/>
      <c r="AS107" s="8"/>
      <c r="AW107" s="8"/>
      <c r="AX107" s="6"/>
      <c r="AY107" s="7"/>
      <c r="BA107" s="5"/>
    </row>
    <row r="108" customFormat="false" ht="18" hidden="false" customHeight="true" outlineLevel="0" collapsed="false">
      <c r="C108" s="5"/>
      <c r="V108" s="6"/>
      <c r="W108" s="6"/>
      <c r="X108" s="6"/>
      <c r="Y108" s="6"/>
      <c r="Z108" s="6"/>
      <c r="AA108" s="6"/>
      <c r="AB108" s="6"/>
      <c r="AC108" s="6"/>
      <c r="AD108" s="6"/>
      <c r="AM108" s="7"/>
      <c r="AN108" s="6"/>
      <c r="AO108" s="7"/>
      <c r="AP108" s="7"/>
      <c r="AR108" s="7"/>
      <c r="AS108" s="8"/>
      <c r="AW108" s="8"/>
      <c r="AX108" s="6"/>
      <c r="AY108" s="7"/>
      <c r="BA108" s="5"/>
    </row>
    <row r="109" customFormat="false" ht="18" hidden="false" customHeight="true" outlineLevel="0" collapsed="false">
      <c r="C109" s="5"/>
      <c r="V109" s="6"/>
      <c r="W109" s="6"/>
      <c r="X109" s="6"/>
      <c r="Y109" s="6"/>
      <c r="Z109" s="6"/>
      <c r="AA109" s="6"/>
      <c r="AB109" s="6"/>
      <c r="AC109" s="6"/>
      <c r="AD109" s="6"/>
      <c r="AM109" s="7"/>
      <c r="AN109" s="6"/>
      <c r="AO109" s="7"/>
      <c r="AP109" s="7"/>
      <c r="AR109" s="7"/>
      <c r="AS109" s="8"/>
      <c r="AW109" s="8"/>
      <c r="AX109" s="6"/>
      <c r="AY109" s="7"/>
      <c r="BA109" s="5"/>
    </row>
    <row r="110" customFormat="false" ht="18" hidden="false" customHeight="true" outlineLevel="0" collapsed="false">
      <c r="C110" s="5"/>
      <c r="V110" s="6"/>
      <c r="W110" s="6"/>
      <c r="X110" s="6"/>
      <c r="Y110" s="6"/>
      <c r="Z110" s="6"/>
      <c r="AA110" s="6"/>
      <c r="AB110" s="6"/>
      <c r="AC110" s="6"/>
      <c r="AD110" s="6"/>
      <c r="AM110" s="7"/>
      <c r="AN110" s="6"/>
      <c r="AO110" s="7"/>
      <c r="AP110" s="7"/>
      <c r="AR110" s="7"/>
      <c r="AS110" s="8"/>
      <c r="AW110" s="8"/>
      <c r="AX110" s="6"/>
      <c r="AY110" s="7"/>
      <c r="BA110" s="5"/>
    </row>
    <row r="111" customFormat="false" ht="18" hidden="false" customHeight="true" outlineLevel="0" collapsed="false">
      <c r="C111" s="5"/>
      <c r="V111" s="6"/>
      <c r="W111" s="6"/>
      <c r="X111" s="6"/>
      <c r="Y111" s="6"/>
      <c r="Z111" s="6"/>
      <c r="AA111" s="6"/>
      <c r="AB111" s="6"/>
      <c r="AC111" s="6"/>
      <c r="AD111" s="6"/>
      <c r="AM111" s="7"/>
      <c r="AN111" s="6"/>
      <c r="AO111" s="7"/>
      <c r="AP111" s="7"/>
      <c r="AR111" s="7"/>
      <c r="AS111" s="8"/>
      <c r="AW111" s="8"/>
      <c r="AX111" s="6"/>
      <c r="AY111" s="7"/>
      <c r="BA111" s="5"/>
    </row>
    <row r="112" customFormat="false" ht="18" hidden="false" customHeight="true" outlineLevel="0" collapsed="false">
      <c r="C112" s="5"/>
      <c r="V112" s="6"/>
      <c r="W112" s="6"/>
      <c r="X112" s="6"/>
      <c r="Y112" s="6"/>
      <c r="Z112" s="6"/>
      <c r="AA112" s="6"/>
      <c r="AB112" s="6"/>
      <c r="AC112" s="6"/>
      <c r="AD112" s="6"/>
      <c r="AM112" s="7"/>
      <c r="AN112" s="6"/>
      <c r="AO112" s="7"/>
      <c r="AP112" s="7"/>
      <c r="AR112" s="7"/>
      <c r="AS112" s="8"/>
      <c r="AW112" s="8"/>
      <c r="AX112" s="6"/>
      <c r="AY112" s="7"/>
      <c r="BA112" s="5"/>
    </row>
    <row r="113" customFormat="false" ht="18" hidden="false" customHeight="true" outlineLevel="0" collapsed="false">
      <c r="C113" s="5"/>
      <c r="V113" s="6"/>
      <c r="W113" s="6"/>
      <c r="X113" s="6"/>
      <c r="Y113" s="6"/>
      <c r="Z113" s="6"/>
      <c r="AA113" s="6"/>
      <c r="AB113" s="6"/>
      <c r="AC113" s="6"/>
      <c r="AD113" s="6"/>
      <c r="AM113" s="7"/>
      <c r="AN113" s="6"/>
      <c r="AO113" s="7"/>
      <c r="AP113" s="7"/>
      <c r="AR113" s="7"/>
      <c r="AS113" s="8"/>
      <c r="AW113" s="8"/>
      <c r="AX113" s="6"/>
      <c r="AY113" s="7"/>
      <c r="BA113" s="5"/>
    </row>
    <row r="114" customFormat="false" ht="18" hidden="false" customHeight="true" outlineLevel="0" collapsed="false">
      <c r="C114" s="5"/>
      <c r="V114" s="6"/>
      <c r="W114" s="6"/>
      <c r="X114" s="6"/>
      <c r="Y114" s="6"/>
      <c r="Z114" s="6"/>
      <c r="AA114" s="6"/>
      <c r="AB114" s="6"/>
      <c r="AC114" s="6"/>
      <c r="AD114" s="6"/>
      <c r="AM114" s="7"/>
      <c r="AN114" s="6"/>
      <c r="AO114" s="7"/>
      <c r="AP114" s="7"/>
      <c r="AR114" s="7"/>
      <c r="AS114" s="8"/>
      <c r="AW114" s="8"/>
      <c r="AX114" s="6"/>
      <c r="AY114" s="7"/>
      <c r="BA114" s="5"/>
    </row>
    <row r="115" customFormat="false" ht="18" hidden="false" customHeight="true" outlineLevel="0" collapsed="false">
      <c r="C115" s="5"/>
      <c r="V115" s="6"/>
      <c r="W115" s="6"/>
      <c r="X115" s="6"/>
      <c r="Y115" s="6"/>
      <c r="Z115" s="6"/>
      <c r="AA115" s="6"/>
      <c r="AB115" s="6"/>
      <c r="AC115" s="6"/>
      <c r="AD115" s="6"/>
      <c r="AM115" s="7"/>
      <c r="AN115" s="6"/>
      <c r="AO115" s="7"/>
      <c r="AP115" s="7"/>
      <c r="AR115" s="7"/>
      <c r="AS115" s="8"/>
      <c r="AW115" s="8"/>
      <c r="AX115" s="6"/>
      <c r="AY115" s="7"/>
      <c r="BA115" s="5"/>
    </row>
    <row r="116" customFormat="false" ht="18" hidden="false" customHeight="true" outlineLevel="0" collapsed="false">
      <c r="C116" s="5"/>
      <c r="V116" s="6"/>
      <c r="W116" s="6"/>
      <c r="X116" s="6"/>
      <c r="Y116" s="6"/>
      <c r="Z116" s="6"/>
      <c r="AA116" s="6"/>
      <c r="AB116" s="6"/>
      <c r="AC116" s="6"/>
      <c r="AD116" s="6"/>
      <c r="AM116" s="7"/>
      <c r="AN116" s="6"/>
      <c r="AO116" s="7"/>
      <c r="AP116" s="7"/>
      <c r="AR116" s="7"/>
      <c r="AS116" s="8"/>
      <c r="AW116" s="8"/>
      <c r="AX116" s="6"/>
      <c r="AY116" s="7"/>
      <c r="BA116" s="5"/>
    </row>
    <row r="117" customFormat="false" ht="18" hidden="false" customHeight="true" outlineLevel="0" collapsed="false">
      <c r="C117" s="5"/>
      <c r="V117" s="6"/>
      <c r="W117" s="6"/>
      <c r="X117" s="6"/>
      <c r="Y117" s="6"/>
      <c r="Z117" s="6"/>
      <c r="AA117" s="6"/>
      <c r="AB117" s="6"/>
      <c r="AC117" s="6"/>
      <c r="AD117" s="6"/>
      <c r="AM117" s="7"/>
      <c r="AN117" s="6"/>
      <c r="AO117" s="7"/>
      <c r="AP117" s="7"/>
      <c r="AR117" s="7"/>
      <c r="AS117" s="8"/>
      <c r="AW117" s="8"/>
      <c r="AX117" s="6"/>
      <c r="AY117" s="7"/>
      <c r="BA117" s="5"/>
    </row>
    <row r="118" customFormat="false" ht="18" hidden="false" customHeight="true" outlineLevel="0" collapsed="false">
      <c r="C118" s="5"/>
      <c r="V118" s="6"/>
      <c r="W118" s="6"/>
      <c r="X118" s="6"/>
      <c r="Y118" s="6"/>
      <c r="Z118" s="6"/>
      <c r="AA118" s="6"/>
      <c r="AB118" s="6"/>
      <c r="AC118" s="6"/>
      <c r="AD118" s="6"/>
      <c r="AM118" s="7"/>
      <c r="AN118" s="6"/>
      <c r="AO118" s="7"/>
      <c r="AP118" s="7"/>
      <c r="AR118" s="7"/>
      <c r="AS118" s="8"/>
      <c r="AW118" s="8"/>
      <c r="AX118" s="6"/>
      <c r="AY118" s="7"/>
      <c r="BA118" s="5"/>
    </row>
    <row r="119" customFormat="false" ht="18" hidden="false" customHeight="true" outlineLevel="0" collapsed="false">
      <c r="C119" s="5"/>
      <c r="V119" s="6"/>
      <c r="W119" s="6"/>
      <c r="X119" s="6"/>
      <c r="Y119" s="6"/>
      <c r="Z119" s="6"/>
      <c r="AA119" s="6"/>
      <c r="AB119" s="6"/>
      <c r="AC119" s="6"/>
      <c r="AD119" s="6"/>
      <c r="AM119" s="7"/>
      <c r="AN119" s="6"/>
      <c r="AO119" s="7"/>
      <c r="AP119" s="7"/>
      <c r="AR119" s="7"/>
      <c r="AS119" s="8"/>
      <c r="AW119" s="8"/>
      <c r="AX119" s="6"/>
      <c r="AY119" s="7"/>
      <c r="BA119" s="5"/>
    </row>
    <row r="120" customFormat="false" ht="18" hidden="false" customHeight="true" outlineLevel="0" collapsed="false">
      <c r="C120" s="5"/>
      <c r="V120" s="6"/>
      <c r="W120" s="6"/>
      <c r="X120" s="6"/>
      <c r="Y120" s="6"/>
      <c r="Z120" s="6"/>
      <c r="AA120" s="6"/>
      <c r="AB120" s="6"/>
      <c r="AC120" s="6"/>
      <c r="AD120" s="6"/>
      <c r="AM120" s="7"/>
      <c r="AN120" s="6"/>
      <c r="AO120" s="7"/>
      <c r="AP120" s="7"/>
      <c r="AR120" s="7"/>
      <c r="AS120" s="8"/>
      <c r="AW120" s="8"/>
      <c r="AX120" s="6"/>
      <c r="AY120" s="7"/>
      <c r="BA120" s="5"/>
    </row>
    <row r="121" customFormat="false" ht="18" hidden="false" customHeight="true" outlineLevel="0" collapsed="false">
      <c r="C121" s="5"/>
      <c r="V121" s="6"/>
      <c r="W121" s="6"/>
      <c r="X121" s="6"/>
      <c r="Y121" s="6"/>
      <c r="Z121" s="6"/>
      <c r="AA121" s="6"/>
      <c r="AB121" s="6"/>
      <c r="AC121" s="6"/>
      <c r="AD121" s="6"/>
      <c r="AM121" s="7"/>
      <c r="AN121" s="6"/>
      <c r="AO121" s="7"/>
      <c r="AP121" s="7"/>
      <c r="AR121" s="7"/>
      <c r="AS121" s="8"/>
      <c r="AW121" s="8"/>
      <c r="AX121" s="6"/>
      <c r="AY121" s="7"/>
      <c r="BA121" s="5"/>
    </row>
    <row r="122" customFormat="false" ht="18" hidden="false" customHeight="true" outlineLevel="0" collapsed="false">
      <c r="C122" s="5"/>
      <c r="V122" s="6"/>
      <c r="W122" s="6"/>
      <c r="X122" s="6"/>
      <c r="Y122" s="6"/>
      <c r="Z122" s="6"/>
      <c r="AA122" s="6"/>
      <c r="AB122" s="6"/>
      <c r="AC122" s="6"/>
      <c r="AD122" s="6"/>
      <c r="AM122" s="7"/>
      <c r="AN122" s="6"/>
      <c r="AO122" s="7"/>
      <c r="AP122" s="7"/>
      <c r="AR122" s="7"/>
      <c r="AS122" s="8"/>
      <c r="AW122" s="8"/>
      <c r="AX122" s="6"/>
      <c r="AY122" s="7"/>
      <c r="BA122" s="5"/>
    </row>
    <row r="123" customFormat="false" ht="18" hidden="false" customHeight="true" outlineLevel="0" collapsed="false">
      <c r="C123" s="5"/>
      <c r="V123" s="6"/>
      <c r="W123" s="6"/>
      <c r="X123" s="6"/>
      <c r="Y123" s="6"/>
      <c r="Z123" s="6"/>
      <c r="AA123" s="6"/>
      <c r="AB123" s="6"/>
      <c r="AC123" s="6"/>
      <c r="AD123" s="6"/>
      <c r="AM123" s="7"/>
      <c r="AN123" s="6"/>
      <c r="AO123" s="7"/>
      <c r="AP123" s="7"/>
      <c r="AR123" s="7"/>
      <c r="AS123" s="8"/>
      <c r="AW123" s="8"/>
      <c r="AX123" s="6"/>
      <c r="AY123" s="7"/>
      <c r="BA123" s="5"/>
    </row>
    <row r="124" customFormat="false" ht="18" hidden="false" customHeight="true" outlineLevel="0" collapsed="false">
      <c r="C124" s="5"/>
      <c r="V124" s="6"/>
      <c r="W124" s="6"/>
      <c r="X124" s="6"/>
      <c r="Y124" s="6"/>
      <c r="Z124" s="6"/>
      <c r="AA124" s="6"/>
      <c r="AB124" s="6"/>
      <c r="AC124" s="6"/>
      <c r="AD124" s="6"/>
      <c r="AM124" s="7"/>
      <c r="AN124" s="6"/>
      <c r="AO124" s="7"/>
      <c r="AP124" s="7"/>
      <c r="AR124" s="7"/>
      <c r="AS124" s="8"/>
      <c r="AW124" s="8"/>
      <c r="AX124" s="6"/>
      <c r="AY124" s="7"/>
      <c r="BA124" s="5"/>
    </row>
    <row r="125" customFormat="false" ht="18" hidden="false" customHeight="true" outlineLevel="0" collapsed="false">
      <c r="C125" s="5"/>
      <c r="V125" s="6"/>
      <c r="W125" s="6"/>
      <c r="X125" s="6"/>
      <c r="Y125" s="6"/>
      <c r="Z125" s="6"/>
      <c r="AA125" s="6"/>
      <c r="AB125" s="6"/>
      <c r="AC125" s="6"/>
      <c r="AD125" s="6"/>
      <c r="AM125" s="7"/>
      <c r="AN125" s="6"/>
      <c r="AO125" s="7"/>
      <c r="AP125" s="7"/>
      <c r="AR125" s="7"/>
      <c r="AS125" s="8"/>
      <c r="AW125" s="8"/>
      <c r="AX125" s="6"/>
      <c r="AY125" s="7"/>
      <c r="BA125" s="5"/>
    </row>
    <row r="126" customFormat="false" ht="18" hidden="false" customHeight="true" outlineLevel="0" collapsed="false">
      <c r="C126" s="5"/>
      <c r="V126" s="6"/>
      <c r="W126" s="6"/>
      <c r="X126" s="6"/>
      <c r="Y126" s="6"/>
      <c r="Z126" s="6"/>
      <c r="AA126" s="6"/>
      <c r="AB126" s="6"/>
      <c r="AC126" s="6"/>
      <c r="AD126" s="6"/>
      <c r="AM126" s="7"/>
      <c r="AN126" s="6"/>
      <c r="AO126" s="7"/>
      <c r="AP126" s="7"/>
      <c r="AR126" s="7"/>
      <c r="AS126" s="8"/>
      <c r="AW126" s="8"/>
      <c r="AX126" s="6"/>
      <c r="AY126" s="7"/>
      <c r="BA126" s="5"/>
    </row>
    <row r="127" customFormat="false" ht="18" hidden="false" customHeight="true" outlineLevel="0" collapsed="false">
      <c r="C127" s="5"/>
      <c r="V127" s="6"/>
      <c r="W127" s="6"/>
      <c r="X127" s="6"/>
      <c r="Y127" s="6"/>
      <c r="Z127" s="6"/>
      <c r="AA127" s="6"/>
      <c r="AB127" s="6"/>
      <c r="AC127" s="6"/>
      <c r="AD127" s="6"/>
      <c r="AM127" s="7"/>
      <c r="AN127" s="6"/>
      <c r="AO127" s="7"/>
      <c r="AP127" s="7"/>
      <c r="AR127" s="7"/>
      <c r="AS127" s="8"/>
      <c r="AW127" s="8"/>
      <c r="AX127" s="6"/>
      <c r="AY127" s="7"/>
      <c r="BA127" s="5"/>
    </row>
    <row r="128" customFormat="false" ht="18" hidden="false" customHeight="true" outlineLevel="0" collapsed="false">
      <c r="C128" s="5"/>
      <c r="V128" s="6"/>
      <c r="W128" s="6"/>
      <c r="X128" s="6"/>
      <c r="Y128" s="6"/>
      <c r="Z128" s="6"/>
      <c r="AA128" s="6"/>
      <c r="AB128" s="6"/>
      <c r="AC128" s="6"/>
      <c r="AD128" s="6"/>
      <c r="AM128" s="7"/>
      <c r="AN128" s="6"/>
      <c r="AO128" s="7"/>
      <c r="AP128" s="7"/>
      <c r="AR128" s="7"/>
      <c r="AS128" s="8"/>
      <c r="AW128" s="8"/>
      <c r="AX128" s="6"/>
      <c r="AY128" s="7"/>
      <c r="BA128" s="5"/>
    </row>
    <row r="129" customFormat="false" ht="18" hidden="false" customHeight="true" outlineLevel="0" collapsed="false">
      <c r="C129" s="5"/>
      <c r="V129" s="6"/>
      <c r="W129" s="6"/>
      <c r="X129" s="6"/>
      <c r="Y129" s="6"/>
      <c r="Z129" s="6"/>
      <c r="AA129" s="6"/>
      <c r="AB129" s="6"/>
      <c r="AC129" s="6"/>
      <c r="AD129" s="6"/>
      <c r="AM129" s="7"/>
      <c r="AN129" s="6"/>
      <c r="AO129" s="7"/>
      <c r="AP129" s="7"/>
      <c r="AR129" s="7"/>
      <c r="AS129" s="8"/>
      <c r="AW129" s="8"/>
      <c r="AX129" s="6"/>
      <c r="AY129" s="7"/>
      <c r="BA129" s="5"/>
    </row>
    <row r="130" customFormat="false" ht="18" hidden="false" customHeight="true" outlineLevel="0" collapsed="false">
      <c r="C130" s="5"/>
      <c r="V130" s="6"/>
      <c r="W130" s="6"/>
      <c r="X130" s="6"/>
      <c r="Y130" s="6"/>
      <c r="Z130" s="6"/>
      <c r="AA130" s="6"/>
      <c r="AB130" s="6"/>
      <c r="AC130" s="6"/>
      <c r="AD130" s="6"/>
      <c r="AM130" s="7"/>
      <c r="AN130" s="6"/>
      <c r="AO130" s="7"/>
      <c r="AP130" s="7"/>
      <c r="AR130" s="7"/>
      <c r="AS130" s="8"/>
      <c r="AW130" s="8"/>
      <c r="AX130" s="6"/>
      <c r="AY130" s="7"/>
      <c r="BA130" s="5"/>
    </row>
    <row r="131" customFormat="false" ht="18" hidden="false" customHeight="true" outlineLevel="0" collapsed="false">
      <c r="C131" s="5"/>
      <c r="V131" s="6"/>
      <c r="W131" s="6"/>
      <c r="X131" s="6"/>
      <c r="Y131" s="6"/>
      <c r="Z131" s="6"/>
      <c r="AA131" s="6"/>
      <c r="AB131" s="6"/>
      <c r="AC131" s="6"/>
      <c r="AD131" s="6"/>
      <c r="AM131" s="7"/>
      <c r="AN131" s="6"/>
      <c r="AO131" s="7"/>
      <c r="AP131" s="7"/>
      <c r="AR131" s="7"/>
      <c r="AS131" s="8"/>
      <c r="AW131" s="8"/>
      <c r="AX131" s="6"/>
      <c r="AY131" s="7"/>
      <c r="BA131" s="5"/>
    </row>
    <row r="132" customFormat="false" ht="18" hidden="false" customHeight="true" outlineLevel="0" collapsed="false">
      <c r="C132" s="5"/>
      <c r="V132" s="6"/>
      <c r="W132" s="6"/>
      <c r="X132" s="6"/>
      <c r="Y132" s="6"/>
      <c r="Z132" s="6"/>
      <c r="AA132" s="6"/>
      <c r="AB132" s="6"/>
      <c r="AC132" s="6"/>
      <c r="AD132" s="6"/>
      <c r="AM132" s="7"/>
      <c r="AN132" s="6"/>
      <c r="AO132" s="7"/>
      <c r="AP132" s="7"/>
      <c r="AR132" s="7"/>
      <c r="AS132" s="8"/>
      <c r="AW132" s="8"/>
      <c r="AX132" s="6"/>
      <c r="AY132" s="7"/>
      <c r="BA132" s="5"/>
    </row>
    <row r="133" customFormat="false" ht="18" hidden="false" customHeight="true" outlineLevel="0" collapsed="false">
      <c r="C133" s="5"/>
      <c r="V133" s="6"/>
      <c r="W133" s="6"/>
      <c r="X133" s="6"/>
      <c r="Y133" s="6"/>
      <c r="Z133" s="6"/>
      <c r="AA133" s="6"/>
      <c r="AB133" s="6"/>
      <c r="AC133" s="6"/>
      <c r="AD133" s="6"/>
      <c r="AM133" s="7"/>
      <c r="AN133" s="6"/>
      <c r="AO133" s="7"/>
      <c r="AP133" s="7"/>
      <c r="AR133" s="7"/>
      <c r="AS133" s="8"/>
      <c r="AW133" s="8"/>
      <c r="AX133" s="6"/>
      <c r="AY133" s="7"/>
      <c r="BA133" s="5"/>
    </row>
    <row r="134" customFormat="false" ht="18" hidden="false" customHeight="true" outlineLevel="0" collapsed="false">
      <c r="C134" s="5"/>
      <c r="V134" s="6"/>
      <c r="W134" s="6"/>
      <c r="X134" s="6"/>
      <c r="Y134" s="6"/>
      <c r="Z134" s="6"/>
      <c r="AA134" s="6"/>
      <c r="AB134" s="6"/>
      <c r="AC134" s="6"/>
      <c r="AD134" s="6"/>
      <c r="AM134" s="7"/>
      <c r="AN134" s="6"/>
      <c r="AO134" s="7"/>
      <c r="AP134" s="7"/>
      <c r="AR134" s="7"/>
      <c r="AS134" s="8"/>
      <c r="AW134" s="8"/>
      <c r="AX134" s="6"/>
      <c r="AY134" s="7"/>
      <c r="BA134" s="5"/>
    </row>
    <row r="135" customFormat="false" ht="18" hidden="false" customHeight="true" outlineLevel="0" collapsed="false">
      <c r="C135" s="5"/>
      <c r="V135" s="6"/>
      <c r="W135" s="6"/>
      <c r="X135" s="6"/>
      <c r="Y135" s="6"/>
      <c r="Z135" s="6"/>
      <c r="AA135" s="6"/>
      <c r="AB135" s="6"/>
      <c r="AC135" s="6"/>
      <c r="AD135" s="6"/>
      <c r="AM135" s="7"/>
      <c r="AN135" s="6"/>
      <c r="AO135" s="7"/>
      <c r="AP135" s="7"/>
      <c r="AR135" s="7"/>
      <c r="AS135" s="8"/>
      <c r="AW135" s="8"/>
      <c r="AX135" s="6"/>
      <c r="AY135" s="7"/>
      <c r="BA135" s="5"/>
    </row>
    <row r="136" customFormat="false" ht="18" hidden="false" customHeight="true" outlineLevel="0" collapsed="false">
      <c r="C136" s="5"/>
      <c r="V136" s="6"/>
      <c r="W136" s="6"/>
      <c r="X136" s="6"/>
      <c r="Y136" s="6"/>
      <c r="Z136" s="6"/>
      <c r="AA136" s="6"/>
      <c r="AB136" s="6"/>
      <c r="AC136" s="6"/>
      <c r="AD136" s="6"/>
      <c r="AM136" s="7"/>
      <c r="AN136" s="6"/>
      <c r="AO136" s="7"/>
      <c r="AP136" s="7"/>
      <c r="AR136" s="7"/>
      <c r="AS136" s="8"/>
      <c r="AW136" s="8"/>
      <c r="AX136" s="6"/>
      <c r="AY136" s="7"/>
      <c r="BA136" s="5"/>
    </row>
    <row r="137" customFormat="false" ht="18" hidden="false" customHeight="true" outlineLevel="0" collapsed="false">
      <c r="C137" s="5"/>
      <c r="V137" s="6"/>
      <c r="W137" s="6"/>
      <c r="X137" s="6"/>
      <c r="Y137" s="6"/>
      <c r="Z137" s="6"/>
      <c r="AA137" s="6"/>
      <c r="AB137" s="6"/>
      <c r="AC137" s="6"/>
      <c r="AD137" s="6"/>
      <c r="AM137" s="7"/>
      <c r="AN137" s="6"/>
      <c r="AO137" s="7"/>
      <c r="AP137" s="7"/>
      <c r="AR137" s="7"/>
      <c r="AS137" s="8"/>
      <c r="AW137" s="8"/>
      <c r="AX137" s="6"/>
      <c r="AY137" s="7"/>
      <c r="BA137" s="5"/>
    </row>
    <row r="138" customFormat="false" ht="18" hidden="false" customHeight="true" outlineLevel="0" collapsed="false">
      <c r="C138" s="5"/>
      <c r="V138" s="6"/>
      <c r="W138" s="6"/>
      <c r="X138" s="6"/>
      <c r="Y138" s="6"/>
      <c r="Z138" s="6"/>
      <c r="AA138" s="6"/>
      <c r="AB138" s="6"/>
      <c r="AC138" s="6"/>
      <c r="AD138" s="6"/>
      <c r="AM138" s="7"/>
      <c r="AN138" s="6"/>
      <c r="AO138" s="7"/>
      <c r="AP138" s="7"/>
      <c r="AR138" s="7"/>
      <c r="AS138" s="8"/>
      <c r="AW138" s="8"/>
      <c r="AX138" s="6"/>
      <c r="AY138" s="7"/>
      <c r="BA138" s="5"/>
    </row>
    <row r="139" customFormat="false" ht="18" hidden="false" customHeight="true" outlineLevel="0" collapsed="false">
      <c r="C139" s="5"/>
      <c r="V139" s="6"/>
      <c r="W139" s="6"/>
      <c r="X139" s="6"/>
      <c r="Y139" s="6"/>
      <c r="Z139" s="6"/>
      <c r="AA139" s="6"/>
      <c r="AB139" s="6"/>
      <c r="AC139" s="6"/>
      <c r="AD139" s="6"/>
      <c r="AM139" s="7"/>
      <c r="AN139" s="6"/>
      <c r="AO139" s="7"/>
      <c r="AP139" s="7"/>
      <c r="AR139" s="7"/>
      <c r="AS139" s="8"/>
      <c r="AW139" s="8"/>
      <c r="AX139" s="6"/>
      <c r="AY139" s="7"/>
      <c r="BA139" s="5"/>
    </row>
    <row r="140" customFormat="false" ht="18" hidden="false" customHeight="true" outlineLevel="0" collapsed="false">
      <c r="C140" s="5"/>
      <c r="V140" s="6"/>
      <c r="W140" s="6"/>
      <c r="X140" s="6"/>
      <c r="Y140" s="6"/>
      <c r="Z140" s="6"/>
      <c r="AA140" s="6"/>
      <c r="AB140" s="6"/>
      <c r="AC140" s="6"/>
      <c r="AD140" s="6"/>
      <c r="AM140" s="7"/>
      <c r="AN140" s="6"/>
      <c r="AO140" s="7"/>
      <c r="AP140" s="7"/>
      <c r="AR140" s="7"/>
      <c r="AS140" s="8"/>
      <c r="AW140" s="8"/>
      <c r="AX140" s="6"/>
      <c r="AY140" s="7"/>
      <c r="BA140" s="5"/>
    </row>
    <row r="141" customFormat="false" ht="18" hidden="false" customHeight="true" outlineLevel="0" collapsed="false">
      <c r="C141" s="5"/>
      <c r="V141" s="6"/>
      <c r="W141" s="6"/>
      <c r="X141" s="6"/>
      <c r="Y141" s="6"/>
      <c r="Z141" s="6"/>
      <c r="AA141" s="6"/>
      <c r="AB141" s="6"/>
      <c r="AC141" s="6"/>
      <c r="AD141" s="6"/>
      <c r="AM141" s="7"/>
      <c r="AN141" s="6"/>
      <c r="AO141" s="7"/>
      <c r="AP141" s="7"/>
      <c r="AR141" s="7"/>
      <c r="AS141" s="8"/>
      <c r="AW141" s="8"/>
      <c r="AX141" s="6"/>
      <c r="AY141" s="7"/>
      <c r="BA141" s="5"/>
    </row>
    <row r="142" customFormat="false" ht="18" hidden="false" customHeight="true" outlineLevel="0" collapsed="false">
      <c r="C142" s="5"/>
      <c r="V142" s="6"/>
      <c r="W142" s="6"/>
      <c r="X142" s="6"/>
      <c r="Y142" s="6"/>
      <c r="Z142" s="6"/>
      <c r="AA142" s="6"/>
      <c r="AB142" s="6"/>
      <c r="AC142" s="6"/>
      <c r="AD142" s="6"/>
      <c r="AM142" s="7"/>
      <c r="AN142" s="6"/>
      <c r="AO142" s="7"/>
      <c r="AP142" s="7"/>
      <c r="AR142" s="7"/>
      <c r="AS142" s="8"/>
      <c r="AW142" s="8"/>
      <c r="AX142" s="6"/>
      <c r="AY142" s="7"/>
      <c r="BA142" s="5"/>
    </row>
    <row r="143" customFormat="false" ht="18" hidden="false" customHeight="true" outlineLevel="0" collapsed="false">
      <c r="C143" s="5"/>
      <c r="V143" s="6"/>
      <c r="W143" s="6"/>
      <c r="X143" s="6"/>
      <c r="Y143" s="6"/>
      <c r="Z143" s="6"/>
      <c r="AA143" s="6"/>
      <c r="AB143" s="6"/>
      <c r="AC143" s="6"/>
      <c r="AD143" s="6"/>
      <c r="AM143" s="7"/>
      <c r="AN143" s="6"/>
      <c r="AO143" s="7"/>
      <c r="AP143" s="7"/>
      <c r="AR143" s="7"/>
      <c r="AS143" s="8"/>
      <c r="AW143" s="8"/>
      <c r="AX143" s="6"/>
      <c r="AY143" s="7"/>
      <c r="BA143" s="5"/>
    </row>
    <row r="144" customFormat="false" ht="18" hidden="false" customHeight="true" outlineLevel="0" collapsed="false">
      <c r="C144" s="5"/>
      <c r="V144" s="6"/>
      <c r="W144" s="6"/>
      <c r="X144" s="6"/>
      <c r="Y144" s="6"/>
      <c r="Z144" s="6"/>
      <c r="AA144" s="6"/>
      <c r="AB144" s="6"/>
      <c r="AC144" s="6"/>
      <c r="AD144" s="6"/>
      <c r="AM144" s="7"/>
      <c r="AN144" s="6"/>
      <c r="AO144" s="7"/>
      <c r="AP144" s="7"/>
      <c r="AR144" s="7"/>
      <c r="AS144" s="8"/>
      <c r="AW144" s="8"/>
      <c r="AX144" s="6"/>
      <c r="AY144" s="7"/>
      <c r="BA144" s="5"/>
    </row>
    <row r="145" customFormat="false" ht="18" hidden="false" customHeight="true" outlineLevel="0" collapsed="false">
      <c r="C145" s="5"/>
      <c r="V145" s="6"/>
      <c r="W145" s="6"/>
      <c r="X145" s="6"/>
      <c r="Y145" s="6"/>
      <c r="Z145" s="6"/>
      <c r="AA145" s="6"/>
      <c r="AB145" s="6"/>
      <c r="AC145" s="6"/>
      <c r="AD145" s="6"/>
      <c r="AM145" s="7"/>
      <c r="AN145" s="6"/>
      <c r="AO145" s="7"/>
      <c r="AP145" s="7"/>
      <c r="AR145" s="7"/>
      <c r="AS145" s="8"/>
      <c r="AW145" s="8"/>
      <c r="AX145" s="6"/>
      <c r="AY145" s="7"/>
      <c r="BA145" s="5"/>
    </row>
    <row r="146" customFormat="false" ht="18" hidden="false" customHeight="true" outlineLevel="0" collapsed="false">
      <c r="C146" s="5"/>
      <c r="V146" s="6"/>
      <c r="W146" s="6"/>
      <c r="X146" s="6"/>
      <c r="Y146" s="6"/>
      <c r="Z146" s="6"/>
      <c r="AA146" s="6"/>
      <c r="AB146" s="6"/>
      <c r="AC146" s="6"/>
      <c r="AD146" s="6"/>
      <c r="AM146" s="7"/>
      <c r="AN146" s="6"/>
      <c r="AO146" s="7"/>
      <c r="AP146" s="7"/>
      <c r="AR146" s="7"/>
      <c r="AS146" s="8"/>
      <c r="AW146" s="8"/>
      <c r="AX146" s="6"/>
      <c r="AY146" s="7"/>
      <c r="BA146" s="5"/>
    </row>
    <row r="147" customFormat="false" ht="18" hidden="false" customHeight="true" outlineLevel="0" collapsed="false">
      <c r="C147" s="5"/>
      <c r="V147" s="6"/>
      <c r="W147" s="6"/>
      <c r="X147" s="6"/>
      <c r="Y147" s="6"/>
      <c r="Z147" s="6"/>
      <c r="AA147" s="6"/>
      <c r="AB147" s="6"/>
      <c r="AC147" s="6"/>
      <c r="AD147" s="6"/>
      <c r="AM147" s="7"/>
      <c r="AN147" s="6"/>
      <c r="AO147" s="7"/>
      <c r="AP147" s="7"/>
      <c r="AR147" s="7"/>
      <c r="AS147" s="8"/>
      <c r="AW147" s="8"/>
      <c r="AX147" s="6"/>
      <c r="AY147" s="7"/>
      <c r="BA147" s="5"/>
    </row>
    <row r="148" customFormat="false" ht="18" hidden="false" customHeight="true" outlineLevel="0" collapsed="false">
      <c r="C148" s="5"/>
      <c r="V148" s="6"/>
      <c r="W148" s="6"/>
      <c r="X148" s="6"/>
      <c r="Y148" s="6"/>
      <c r="Z148" s="6"/>
      <c r="AA148" s="6"/>
      <c r="AB148" s="6"/>
      <c r="AC148" s="6"/>
      <c r="AD148" s="6"/>
      <c r="AM148" s="7"/>
      <c r="AN148" s="6"/>
      <c r="AO148" s="7"/>
      <c r="AP148" s="7"/>
      <c r="AR148" s="7"/>
      <c r="AS148" s="8"/>
      <c r="AW148" s="8"/>
      <c r="AX148" s="6"/>
      <c r="AY148" s="7"/>
      <c r="BA148" s="5"/>
    </row>
    <row r="149" customFormat="false" ht="18" hidden="false" customHeight="true" outlineLevel="0" collapsed="false">
      <c r="C149" s="5"/>
      <c r="V149" s="6"/>
      <c r="W149" s="6"/>
      <c r="X149" s="6"/>
      <c r="Y149" s="6"/>
      <c r="Z149" s="6"/>
      <c r="AA149" s="6"/>
      <c r="AB149" s="6"/>
      <c r="AC149" s="6"/>
      <c r="AD149" s="6"/>
      <c r="AM149" s="7"/>
      <c r="AN149" s="6"/>
      <c r="AO149" s="7"/>
      <c r="AP149" s="7"/>
      <c r="AR149" s="7"/>
      <c r="AS149" s="8"/>
      <c r="AW149" s="8"/>
      <c r="AX149" s="6"/>
      <c r="AY149" s="7"/>
      <c r="BA149" s="5"/>
    </row>
    <row r="150" customFormat="false" ht="18" hidden="false" customHeight="true" outlineLevel="0" collapsed="false">
      <c r="C150" s="5"/>
      <c r="V150" s="6"/>
      <c r="W150" s="6"/>
      <c r="X150" s="6"/>
      <c r="Y150" s="6"/>
      <c r="Z150" s="6"/>
      <c r="AA150" s="6"/>
      <c r="AB150" s="6"/>
      <c r="AC150" s="6"/>
      <c r="AD150" s="6"/>
      <c r="AM150" s="7"/>
      <c r="AN150" s="6"/>
      <c r="AO150" s="7"/>
      <c r="AP150" s="7"/>
      <c r="AR150" s="7"/>
      <c r="AS150" s="8"/>
      <c r="AW150" s="8"/>
      <c r="AX150" s="6"/>
      <c r="AY150" s="7"/>
      <c r="BA150" s="5"/>
    </row>
    <row r="151" customFormat="false" ht="18" hidden="false" customHeight="true" outlineLevel="0" collapsed="false">
      <c r="C151" s="5"/>
      <c r="V151" s="6"/>
      <c r="W151" s="6"/>
      <c r="X151" s="6"/>
      <c r="Y151" s="6"/>
      <c r="Z151" s="6"/>
      <c r="AA151" s="6"/>
      <c r="AB151" s="6"/>
      <c r="AC151" s="6"/>
      <c r="AD151" s="6"/>
      <c r="AM151" s="7"/>
      <c r="AN151" s="6"/>
      <c r="AO151" s="7"/>
      <c r="AP151" s="7"/>
      <c r="AR151" s="7"/>
      <c r="AS151" s="8"/>
      <c r="AW151" s="8"/>
      <c r="AX151" s="6"/>
      <c r="AY151" s="7"/>
      <c r="BA151" s="5"/>
    </row>
    <row r="152" customFormat="false" ht="18" hidden="false" customHeight="true" outlineLevel="0" collapsed="false">
      <c r="C152" s="5"/>
      <c r="V152" s="6"/>
      <c r="W152" s="6"/>
      <c r="X152" s="6"/>
      <c r="Y152" s="6"/>
      <c r="Z152" s="6"/>
      <c r="AA152" s="6"/>
      <c r="AB152" s="6"/>
      <c r="AC152" s="6"/>
      <c r="AD152" s="6"/>
      <c r="AM152" s="7"/>
      <c r="AN152" s="6"/>
      <c r="AO152" s="7"/>
      <c r="AP152" s="7"/>
      <c r="AR152" s="7"/>
      <c r="AS152" s="8"/>
      <c r="AW152" s="8"/>
      <c r="AX152" s="6"/>
      <c r="AY152" s="7"/>
      <c r="BA152" s="5"/>
    </row>
    <row r="153" customFormat="false" ht="18" hidden="false" customHeight="true" outlineLevel="0" collapsed="false">
      <c r="C153" s="5"/>
      <c r="V153" s="6"/>
      <c r="W153" s="6"/>
      <c r="X153" s="6"/>
      <c r="Y153" s="6"/>
      <c r="Z153" s="6"/>
      <c r="AA153" s="6"/>
      <c r="AB153" s="6"/>
      <c r="AC153" s="6"/>
      <c r="AD153" s="6"/>
      <c r="AM153" s="7"/>
      <c r="AN153" s="6"/>
      <c r="AO153" s="7"/>
      <c r="AP153" s="7"/>
      <c r="AR153" s="7"/>
      <c r="AS153" s="8"/>
      <c r="AW153" s="8"/>
      <c r="AX153" s="6"/>
      <c r="AY153" s="7"/>
      <c r="BA153" s="5"/>
    </row>
    <row r="154" customFormat="false" ht="18" hidden="false" customHeight="true" outlineLevel="0" collapsed="false">
      <c r="C154" s="5"/>
      <c r="V154" s="6"/>
      <c r="W154" s="6"/>
      <c r="X154" s="6"/>
      <c r="Y154" s="6"/>
      <c r="Z154" s="6"/>
      <c r="AA154" s="6"/>
      <c r="AB154" s="6"/>
      <c r="AC154" s="6"/>
      <c r="AD154" s="6"/>
      <c r="AM154" s="7"/>
      <c r="AN154" s="6"/>
      <c r="AO154" s="7"/>
      <c r="AP154" s="7"/>
      <c r="AR154" s="7"/>
      <c r="AS154" s="8"/>
      <c r="AW154" s="8"/>
      <c r="AX154" s="6"/>
      <c r="AY154" s="7"/>
      <c r="BA154" s="5"/>
    </row>
    <row r="155" customFormat="false" ht="18" hidden="false" customHeight="true" outlineLevel="0" collapsed="false">
      <c r="C155" s="5"/>
      <c r="V155" s="6"/>
      <c r="W155" s="6"/>
      <c r="X155" s="6"/>
      <c r="Y155" s="6"/>
      <c r="Z155" s="6"/>
      <c r="AA155" s="6"/>
      <c r="AB155" s="6"/>
      <c r="AC155" s="6"/>
      <c r="AD155" s="6"/>
      <c r="AM155" s="7"/>
      <c r="AN155" s="6"/>
      <c r="AO155" s="7"/>
      <c r="AP155" s="7"/>
      <c r="AR155" s="7"/>
      <c r="AS155" s="8"/>
      <c r="AW155" s="8"/>
      <c r="AX155" s="6"/>
      <c r="AY155" s="7"/>
      <c r="BA155" s="5"/>
    </row>
    <row r="156" customFormat="false" ht="18" hidden="false" customHeight="true" outlineLevel="0" collapsed="false">
      <c r="C156" s="5"/>
      <c r="V156" s="6"/>
      <c r="W156" s="6"/>
      <c r="X156" s="6"/>
      <c r="Y156" s="6"/>
      <c r="Z156" s="6"/>
      <c r="AA156" s="6"/>
      <c r="AB156" s="6"/>
      <c r="AC156" s="6"/>
      <c r="AD156" s="6"/>
      <c r="AM156" s="7"/>
      <c r="AN156" s="6"/>
      <c r="AO156" s="7"/>
      <c r="AP156" s="7"/>
      <c r="AR156" s="7"/>
      <c r="AS156" s="8"/>
      <c r="AW156" s="8"/>
      <c r="AX156" s="6"/>
      <c r="AY156" s="7"/>
      <c r="BA156" s="5"/>
    </row>
    <row r="157" customFormat="false" ht="18" hidden="false" customHeight="true" outlineLevel="0" collapsed="false">
      <c r="C157" s="5"/>
      <c r="V157" s="6"/>
      <c r="W157" s="6"/>
      <c r="X157" s="6"/>
      <c r="Y157" s="6"/>
      <c r="Z157" s="6"/>
      <c r="AA157" s="6"/>
      <c r="AB157" s="6"/>
      <c r="AC157" s="6"/>
      <c r="AD157" s="6"/>
      <c r="AM157" s="7"/>
      <c r="AN157" s="6"/>
      <c r="AO157" s="7"/>
      <c r="AP157" s="7"/>
      <c r="AR157" s="7"/>
      <c r="AS157" s="8"/>
      <c r="AW157" s="8"/>
      <c r="AX157" s="6"/>
      <c r="AY157" s="7"/>
      <c r="BA157" s="5"/>
    </row>
    <row r="158" customFormat="false" ht="18" hidden="false" customHeight="true" outlineLevel="0" collapsed="false">
      <c r="C158" s="5"/>
      <c r="V158" s="6"/>
      <c r="W158" s="6"/>
      <c r="X158" s="6"/>
      <c r="Y158" s="6"/>
      <c r="Z158" s="6"/>
      <c r="AA158" s="6"/>
      <c r="AB158" s="6"/>
      <c r="AC158" s="6"/>
      <c r="AD158" s="6"/>
      <c r="AM158" s="7"/>
      <c r="AN158" s="6"/>
      <c r="AO158" s="7"/>
      <c r="AP158" s="7"/>
      <c r="AR158" s="7"/>
      <c r="AS158" s="8"/>
      <c r="AW158" s="8"/>
      <c r="AX158" s="6"/>
      <c r="AY158" s="7"/>
      <c r="BA158" s="5"/>
    </row>
    <row r="159" customFormat="false" ht="18" hidden="false" customHeight="true" outlineLevel="0" collapsed="false">
      <c r="C159" s="5"/>
      <c r="V159" s="6"/>
      <c r="W159" s="6"/>
      <c r="X159" s="6"/>
      <c r="Y159" s="6"/>
      <c r="Z159" s="6"/>
      <c r="AA159" s="6"/>
      <c r="AB159" s="6"/>
      <c r="AC159" s="6"/>
      <c r="AD159" s="6"/>
      <c r="AM159" s="7"/>
      <c r="AN159" s="6"/>
      <c r="AO159" s="7"/>
      <c r="AP159" s="7"/>
      <c r="AR159" s="7"/>
      <c r="AS159" s="8"/>
      <c r="AW159" s="8"/>
      <c r="AX159" s="6"/>
      <c r="AY159" s="7"/>
      <c r="BA159" s="5"/>
    </row>
    <row r="160" customFormat="false" ht="18" hidden="false" customHeight="true" outlineLevel="0" collapsed="false">
      <c r="C160" s="5"/>
      <c r="V160" s="6"/>
      <c r="W160" s="6"/>
      <c r="X160" s="6"/>
      <c r="Y160" s="6"/>
      <c r="Z160" s="6"/>
      <c r="AA160" s="6"/>
      <c r="AB160" s="6"/>
      <c r="AC160" s="6"/>
      <c r="AD160" s="6"/>
      <c r="AM160" s="7"/>
      <c r="AN160" s="6"/>
      <c r="AO160" s="7"/>
      <c r="AP160" s="7"/>
      <c r="AR160" s="7"/>
      <c r="AS160" s="8"/>
      <c r="AW160" s="8"/>
      <c r="AX160" s="6"/>
      <c r="AY160" s="7"/>
      <c r="BA160" s="5"/>
    </row>
    <row r="161" customFormat="false" ht="18" hidden="false" customHeight="true" outlineLevel="0" collapsed="false">
      <c r="C161" s="5"/>
      <c r="V161" s="6"/>
      <c r="W161" s="6"/>
      <c r="X161" s="6"/>
      <c r="Y161" s="6"/>
      <c r="Z161" s="6"/>
      <c r="AA161" s="6"/>
      <c r="AB161" s="6"/>
      <c r="AC161" s="6"/>
      <c r="AD161" s="6"/>
      <c r="AM161" s="7"/>
      <c r="AN161" s="6"/>
      <c r="AO161" s="7"/>
      <c r="AP161" s="7"/>
      <c r="AR161" s="7"/>
      <c r="AS161" s="8"/>
      <c r="AW161" s="8"/>
      <c r="AX161" s="6"/>
      <c r="AY161" s="7"/>
      <c r="BA161" s="5"/>
    </row>
    <row r="162" customFormat="false" ht="18" hidden="false" customHeight="true" outlineLevel="0" collapsed="false">
      <c r="C162" s="5"/>
      <c r="V162" s="6"/>
      <c r="W162" s="6"/>
      <c r="X162" s="6"/>
      <c r="Y162" s="6"/>
      <c r="Z162" s="6"/>
      <c r="AA162" s="6"/>
      <c r="AB162" s="6"/>
      <c r="AC162" s="6"/>
      <c r="AD162" s="6"/>
      <c r="AM162" s="7"/>
      <c r="AN162" s="6"/>
      <c r="AO162" s="7"/>
      <c r="AP162" s="7"/>
      <c r="AR162" s="7"/>
      <c r="AS162" s="8"/>
      <c r="AW162" s="8"/>
      <c r="AX162" s="6"/>
      <c r="AY162" s="7"/>
      <c r="BA162" s="5"/>
    </row>
    <row r="163" customFormat="false" ht="18" hidden="false" customHeight="true" outlineLevel="0" collapsed="false">
      <c r="C163" s="5"/>
      <c r="V163" s="6"/>
      <c r="W163" s="6"/>
      <c r="X163" s="6"/>
      <c r="Y163" s="6"/>
      <c r="Z163" s="6"/>
      <c r="AA163" s="6"/>
      <c r="AB163" s="6"/>
      <c r="AC163" s="6"/>
      <c r="AD163" s="6"/>
      <c r="AM163" s="7"/>
      <c r="AN163" s="6"/>
      <c r="AO163" s="7"/>
      <c r="AP163" s="7"/>
      <c r="AR163" s="7"/>
      <c r="AS163" s="8"/>
      <c r="AW163" s="8"/>
      <c r="AX163" s="6"/>
      <c r="AY163" s="7"/>
      <c r="BA163" s="5"/>
    </row>
    <row r="164" customFormat="false" ht="18" hidden="false" customHeight="true" outlineLevel="0" collapsed="false">
      <c r="C164" s="5"/>
      <c r="V164" s="6"/>
      <c r="W164" s="6"/>
      <c r="X164" s="6"/>
      <c r="Y164" s="6"/>
      <c r="Z164" s="6"/>
      <c r="AA164" s="6"/>
      <c r="AB164" s="6"/>
      <c r="AC164" s="6"/>
      <c r="AD164" s="6"/>
      <c r="AM164" s="7"/>
      <c r="AN164" s="6"/>
      <c r="AO164" s="7"/>
      <c r="AP164" s="7"/>
      <c r="AR164" s="7"/>
      <c r="AS164" s="8"/>
      <c r="AW164" s="8"/>
      <c r="AX164" s="6"/>
      <c r="AY164" s="7"/>
      <c r="BA164" s="5"/>
    </row>
    <row r="165" customFormat="false" ht="18" hidden="false" customHeight="true" outlineLevel="0" collapsed="false">
      <c r="C165" s="5"/>
      <c r="V165" s="6"/>
      <c r="W165" s="6"/>
      <c r="X165" s="6"/>
      <c r="Y165" s="6"/>
      <c r="Z165" s="6"/>
      <c r="AA165" s="6"/>
      <c r="AB165" s="6"/>
      <c r="AC165" s="6"/>
      <c r="AD165" s="6"/>
      <c r="AM165" s="7"/>
      <c r="AN165" s="6"/>
      <c r="AO165" s="7"/>
      <c r="AP165" s="7"/>
      <c r="AR165" s="7"/>
      <c r="AS165" s="8"/>
      <c r="AW165" s="8"/>
      <c r="AX165" s="6"/>
      <c r="AY165" s="7"/>
      <c r="BA165" s="5"/>
    </row>
    <row r="166" customFormat="false" ht="18" hidden="false" customHeight="true" outlineLevel="0" collapsed="false">
      <c r="C166" s="5"/>
      <c r="V166" s="6"/>
      <c r="W166" s="6"/>
      <c r="X166" s="6"/>
      <c r="Y166" s="6"/>
      <c r="Z166" s="6"/>
      <c r="AA166" s="6"/>
      <c r="AB166" s="6"/>
      <c r="AC166" s="6"/>
      <c r="AD166" s="6"/>
      <c r="AM166" s="7"/>
      <c r="AN166" s="6"/>
      <c r="AO166" s="7"/>
      <c r="AP166" s="7"/>
      <c r="AR166" s="7"/>
      <c r="AS166" s="8"/>
      <c r="AW166" s="8"/>
      <c r="AX166" s="6"/>
      <c r="AY166" s="7"/>
      <c r="BA166" s="5"/>
    </row>
    <row r="167" customFormat="false" ht="18" hidden="false" customHeight="true" outlineLevel="0" collapsed="false">
      <c r="C167" s="5"/>
      <c r="V167" s="6"/>
      <c r="W167" s="6"/>
      <c r="X167" s="6"/>
      <c r="Y167" s="6"/>
      <c r="Z167" s="6"/>
      <c r="AA167" s="6"/>
      <c r="AB167" s="6"/>
      <c r="AC167" s="6"/>
      <c r="AD167" s="6"/>
      <c r="AM167" s="7"/>
      <c r="AN167" s="6"/>
      <c r="AO167" s="7"/>
      <c r="AP167" s="7"/>
      <c r="AR167" s="7"/>
      <c r="AS167" s="8"/>
      <c r="AW167" s="8"/>
      <c r="AX167" s="6"/>
      <c r="AY167" s="7"/>
      <c r="BA167" s="5"/>
    </row>
    <row r="168" customFormat="false" ht="18" hidden="false" customHeight="true" outlineLevel="0" collapsed="false">
      <c r="C168" s="5"/>
      <c r="V168" s="6"/>
      <c r="W168" s="6"/>
      <c r="X168" s="6"/>
      <c r="Y168" s="6"/>
      <c r="Z168" s="6"/>
      <c r="AA168" s="6"/>
      <c r="AB168" s="6"/>
      <c r="AC168" s="6"/>
      <c r="AD168" s="6"/>
      <c r="AM168" s="7"/>
      <c r="AN168" s="6"/>
      <c r="AO168" s="7"/>
      <c r="AP168" s="7"/>
      <c r="AR168" s="7"/>
      <c r="AS168" s="8"/>
      <c r="AW168" s="8"/>
      <c r="AX168" s="6"/>
      <c r="AY168" s="7"/>
      <c r="BA168" s="5"/>
    </row>
    <row r="169" customFormat="false" ht="18" hidden="false" customHeight="true" outlineLevel="0" collapsed="false">
      <c r="C169" s="5"/>
      <c r="V169" s="6"/>
      <c r="W169" s="6"/>
      <c r="X169" s="6"/>
      <c r="Y169" s="6"/>
      <c r="Z169" s="6"/>
      <c r="AA169" s="6"/>
      <c r="AB169" s="6"/>
      <c r="AC169" s="6"/>
      <c r="AD169" s="6"/>
      <c r="AM169" s="7"/>
      <c r="AN169" s="6"/>
      <c r="AO169" s="7"/>
      <c r="AP169" s="7"/>
      <c r="AR169" s="7"/>
      <c r="AS169" s="8"/>
      <c r="AW169" s="8"/>
      <c r="AX169" s="6"/>
      <c r="AY169" s="7"/>
      <c r="BA169" s="5"/>
    </row>
    <row r="170" customFormat="false" ht="18" hidden="false" customHeight="true" outlineLevel="0" collapsed="false">
      <c r="C170" s="5"/>
      <c r="V170" s="6"/>
      <c r="W170" s="6"/>
      <c r="X170" s="6"/>
      <c r="Y170" s="6"/>
      <c r="Z170" s="6"/>
      <c r="AA170" s="6"/>
      <c r="AB170" s="6"/>
      <c r="AC170" s="6"/>
      <c r="AD170" s="6"/>
      <c r="AM170" s="7"/>
      <c r="AN170" s="6"/>
      <c r="AO170" s="7"/>
      <c r="AP170" s="7"/>
      <c r="AR170" s="7"/>
      <c r="AS170" s="8"/>
      <c r="AW170" s="8"/>
      <c r="AX170" s="6"/>
      <c r="AY170" s="7"/>
      <c r="BA170" s="5"/>
    </row>
    <row r="171" customFormat="false" ht="18" hidden="false" customHeight="true" outlineLevel="0" collapsed="false">
      <c r="C171" s="5"/>
      <c r="V171" s="6"/>
      <c r="W171" s="6"/>
      <c r="X171" s="6"/>
      <c r="Y171" s="6"/>
      <c r="Z171" s="6"/>
      <c r="AA171" s="6"/>
      <c r="AB171" s="6"/>
      <c r="AC171" s="6"/>
      <c r="AD171" s="6"/>
      <c r="AM171" s="7"/>
      <c r="AN171" s="6"/>
      <c r="AO171" s="7"/>
      <c r="AP171" s="7"/>
      <c r="AR171" s="7"/>
      <c r="AS171" s="8"/>
      <c r="AW171" s="8"/>
      <c r="AX171" s="6"/>
      <c r="AY171" s="7"/>
      <c r="BA171" s="5"/>
    </row>
    <row r="172" customFormat="false" ht="18" hidden="false" customHeight="true" outlineLevel="0" collapsed="false">
      <c r="C172" s="5"/>
      <c r="V172" s="6"/>
      <c r="W172" s="6"/>
      <c r="X172" s="6"/>
      <c r="Y172" s="6"/>
      <c r="Z172" s="6"/>
      <c r="AA172" s="6"/>
      <c r="AB172" s="6"/>
      <c r="AC172" s="6"/>
      <c r="AD172" s="6"/>
      <c r="AM172" s="7"/>
      <c r="AN172" s="6"/>
      <c r="AO172" s="7"/>
      <c r="AP172" s="7"/>
      <c r="AR172" s="7"/>
      <c r="AS172" s="8"/>
      <c r="AW172" s="8"/>
      <c r="AX172" s="6"/>
      <c r="AY172" s="7"/>
      <c r="BA172" s="5"/>
    </row>
    <row r="173" customFormat="false" ht="18" hidden="false" customHeight="true" outlineLevel="0" collapsed="false">
      <c r="C173" s="5"/>
      <c r="V173" s="6"/>
      <c r="W173" s="6"/>
      <c r="X173" s="6"/>
      <c r="Y173" s="6"/>
      <c r="Z173" s="6"/>
      <c r="AA173" s="6"/>
      <c r="AB173" s="6"/>
      <c r="AC173" s="6"/>
      <c r="AD173" s="6"/>
      <c r="AM173" s="7"/>
      <c r="AN173" s="6"/>
      <c r="AO173" s="7"/>
      <c r="AP173" s="7"/>
      <c r="AR173" s="7"/>
      <c r="AS173" s="8"/>
      <c r="AW173" s="8"/>
      <c r="AX173" s="6"/>
      <c r="AY173" s="7"/>
      <c r="BA173" s="5"/>
    </row>
    <row r="174" customFormat="false" ht="18" hidden="false" customHeight="true" outlineLevel="0" collapsed="false">
      <c r="C174" s="5"/>
      <c r="V174" s="6"/>
      <c r="W174" s="6"/>
      <c r="X174" s="6"/>
      <c r="Y174" s="6"/>
      <c r="Z174" s="6"/>
      <c r="AA174" s="6"/>
      <c r="AB174" s="6"/>
      <c r="AC174" s="6"/>
      <c r="AD174" s="6"/>
      <c r="AM174" s="7"/>
      <c r="AN174" s="6"/>
      <c r="AO174" s="7"/>
      <c r="AP174" s="7"/>
      <c r="AR174" s="7"/>
      <c r="AS174" s="8"/>
      <c r="AW174" s="8"/>
      <c r="AX174" s="6"/>
      <c r="AY174" s="7"/>
      <c r="BA174" s="5"/>
    </row>
    <row r="175" customFormat="false" ht="18" hidden="false" customHeight="true" outlineLevel="0" collapsed="false">
      <c r="C175" s="5"/>
      <c r="V175" s="6"/>
      <c r="W175" s="6"/>
      <c r="X175" s="6"/>
      <c r="Y175" s="6"/>
      <c r="Z175" s="6"/>
      <c r="AA175" s="6"/>
      <c r="AB175" s="6"/>
      <c r="AC175" s="6"/>
      <c r="AD175" s="6"/>
      <c r="AM175" s="7"/>
      <c r="AN175" s="6"/>
      <c r="AO175" s="7"/>
      <c r="AP175" s="7"/>
      <c r="AR175" s="7"/>
      <c r="AS175" s="8"/>
      <c r="AW175" s="8"/>
      <c r="AX175" s="6"/>
      <c r="AY175" s="7"/>
      <c r="BA175" s="5"/>
    </row>
    <row r="176" customFormat="false" ht="18" hidden="false" customHeight="true" outlineLevel="0" collapsed="false">
      <c r="C176" s="5"/>
      <c r="V176" s="6"/>
      <c r="W176" s="6"/>
      <c r="X176" s="6"/>
      <c r="Y176" s="6"/>
      <c r="Z176" s="6"/>
      <c r="AA176" s="6"/>
      <c r="AB176" s="6"/>
      <c r="AC176" s="6"/>
      <c r="AD176" s="6"/>
      <c r="AM176" s="7"/>
      <c r="AN176" s="6"/>
      <c r="AO176" s="7"/>
      <c r="AP176" s="7"/>
      <c r="AR176" s="7"/>
      <c r="AS176" s="8"/>
      <c r="AW176" s="8"/>
      <c r="AX176" s="6"/>
      <c r="AY176" s="7"/>
      <c r="BA176" s="5"/>
    </row>
    <row r="177" customFormat="false" ht="18" hidden="false" customHeight="true" outlineLevel="0" collapsed="false">
      <c r="C177" s="5"/>
      <c r="V177" s="6"/>
      <c r="W177" s="6"/>
      <c r="X177" s="6"/>
      <c r="Y177" s="6"/>
      <c r="Z177" s="6"/>
      <c r="AA177" s="6"/>
      <c r="AB177" s="6"/>
      <c r="AC177" s="6"/>
      <c r="AD177" s="6"/>
      <c r="AM177" s="7"/>
      <c r="AN177" s="6"/>
      <c r="AO177" s="7"/>
      <c r="AP177" s="7"/>
      <c r="AR177" s="7"/>
      <c r="AS177" s="8"/>
      <c r="AW177" s="8"/>
      <c r="AX177" s="6"/>
      <c r="AY177" s="7"/>
      <c r="BA177" s="5"/>
    </row>
    <row r="178" customFormat="false" ht="18" hidden="false" customHeight="true" outlineLevel="0" collapsed="false">
      <c r="C178" s="5"/>
      <c r="V178" s="6"/>
      <c r="W178" s="6"/>
      <c r="X178" s="6"/>
      <c r="Y178" s="6"/>
      <c r="Z178" s="6"/>
      <c r="AA178" s="6"/>
      <c r="AB178" s="6"/>
      <c r="AC178" s="6"/>
      <c r="AD178" s="6"/>
      <c r="AM178" s="7"/>
      <c r="AN178" s="6"/>
      <c r="AO178" s="7"/>
      <c r="AP178" s="7"/>
      <c r="AR178" s="7"/>
      <c r="AS178" s="8"/>
      <c r="AW178" s="8"/>
      <c r="AX178" s="6"/>
      <c r="AY178" s="7"/>
      <c r="BA178" s="5"/>
    </row>
    <row r="179" customFormat="false" ht="18" hidden="false" customHeight="true" outlineLevel="0" collapsed="false">
      <c r="C179" s="5"/>
      <c r="V179" s="6"/>
      <c r="W179" s="6"/>
      <c r="X179" s="6"/>
      <c r="Y179" s="6"/>
      <c r="Z179" s="6"/>
      <c r="AA179" s="6"/>
      <c r="AB179" s="6"/>
      <c r="AC179" s="6"/>
      <c r="AD179" s="6"/>
      <c r="AM179" s="7"/>
      <c r="AN179" s="6"/>
      <c r="AO179" s="7"/>
      <c r="AP179" s="7"/>
      <c r="AR179" s="7"/>
      <c r="AS179" s="8"/>
      <c r="AW179" s="8"/>
      <c r="AX179" s="6"/>
      <c r="AY179" s="7"/>
      <c r="BA179" s="5"/>
    </row>
    <row r="180" customFormat="false" ht="18" hidden="false" customHeight="true" outlineLevel="0" collapsed="false">
      <c r="C180" s="5"/>
      <c r="V180" s="6"/>
      <c r="W180" s="6"/>
      <c r="X180" s="6"/>
      <c r="Y180" s="6"/>
      <c r="Z180" s="6"/>
      <c r="AA180" s="6"/>
      <c r="AB180" s="6"/>
      <c r="AC180" s="6"/>
      <c r="AD180" s="6"/>
      <c r="AM180" s="7"/>
      <c r="AN180" s="6"/>
      <c r="AO180" s="7"/>
      <c r="AP180" s="7"/>
      <c r="AR180" s="7"/>
      <c r="AS180" s="8"/>
      <c r="AW180" s="8"/>
      <c r="AX180" s="6"/>
      <c r="AY180" s="7"/>
      <c r="BA180" s="5"/>
    </row>
    <row r="181" customFormat="false" ht="18" hidden="false" customHeight="true" outlineLevel="0" collapsed="false">
      <c r="C181" s="5"/>
      <c r="V181" s="6"/>
      <c r="W181" s="6"/>
      <c r="X181" s="6"/>
      <c r="Y181" s="6"/>
      <c r="Z181" s="6"/>
      <c r="AA181" s="6"/>
      <c r="AB181" s="6"/>
      <c r="AC181" s="6"/>
      <c r="AD181" s="6"/>
      <c r="AM181" s="7"/>
      <c r="AN181" s="6"/>
      <c r="AO181" s="7"/>
      <c r="AP181" s="7"/>
      <c r="AR181" s="7"/>
      <c r="AS181" s="8"/>
      <c r="AW181" s="8"/>
      <c r="AX181" s="6"/>
      <c r="AY181" s="7"/>
      <c r="BA181" s="5"/>
    </row>
    <row r="182" customFormat="false" ht="18" hidden="false" customHeight="true" outlineLevel="0" collapsed="false">
      <c r="C182" s="5"/>
      <c r="V182" s="6"/>
      <c r="W182" s="6"/>
      <c r="X182" s="6"/>
      <c r="Y182" s="6"/>
      <c r="Z182" s="6"/>
      <c r="AA182" s="6"/>
      <c r="AB182" s="6"/>
      <c r="AC182" s="6"/>
      <c r="AD182" s="6"/>
      <c r="AM182" s="7"/>
      <c r="AN182" s="6"/>
      <c r="AO182" s="7"/>
      <c r="AP182" s="7"/>
      <c r="AR182" s="7"/>
      <c r="AS182" s="8"/>
      <c r="AW182" s="8"/>
      <c r="AX182" s="6"/>
      <c r="AY182" s="7"/>
      <c r="BA182" s="5"/>
    </row>
    <row r="183" customFormat="false" ht="18" hidden="false" customHeight="true" outlineLevel="0" collapsed="false">
      <c r="C183" s="5"/>
      <c r="V183" s="6"/>
      <c r="W183" s="6"/>
      <c r="X183" s="6"/>
      <c r="Y183" s="6"/>
      <c r="Z183" s="6"/>
      <c r="AA183" s="6"/>
      <c r="AB183" s="6"/>
      <c r="AC183" s="6"/>
      <c r="AD183" s="6"/>
      <c r="AM183" s="7"/>
      <c r="AN183" s="6"/>
      <c r="AO183" s="7"/>
      <c r="AP183" s="7"/>
      <c r="AR183" s="7"/>
      <c r="AS183" s="8"/>
      <c r="AW183" s="8"/>
      <c r="AX183" s="6"/>
      <c r="AY183" s="7"/>
      <c r="BA183" s="5"/>
    </row>
    <row r="184" customFormat="false" ht="18" hidden="false" customHeight="true" outlineLevel="0" collapsed="false">
      <c r="C184" s="5"/>
      <c r="V184" s="6"/>
      <c r="W184" s="6"/>
      <c r="X184" s="6"/>
      <c r="Y184" s="6"/>
      <c r="Z184" s="6"/>
      <c r="AA184" s="6"/>
      <c r="AB184" s="6"/>
      <c r="AC184" s="6"/>
      <c r="AD184" s="6"/>
      <c r="AM184" s="7"/>
      <c r="AN184" s="6"/>
      <c r="AO184" s="7"/>
      <c r="AP184" s="7"/>
      <c r="AR184" s="7"/>
      <c r="AS184" s="8"/>
      <c r="AW184" s="8"/>
      <c r="AX184" s="6"/>
      <c r="AY184" s="7"/>
      <c r="BA184" s="5"/>
    </row>
    <row r="185" customFormat="false" ht="18" hidden="false" customHeight="true" outlineLevel="0" collapsed="false">
      <c r="C185" s="5"/>
      <c r="V185" s="6"/>
      <c r="W185" s="6"/>
      <c r="X185" s="6"/>
      <c r="Y185" s="6"/>
      <c r="Z185" s="6"/>
      <c r="AA185" s="6"/>
      <c r="AB185" s="6"/>
      <c r="AC185" s="6"/>
      <c r="AD185" s="6"/>
      <c r="AM185" s="7"/>
      <c r="AN185" s="6"/>
      <c r="AO185" s="7"/>
      <c r="AP185" s="7"/>
      <c r="AR185" s="7"/>
      <c r="AS185" s="8"/>
      <c r="AW185" s="8"/>
      <c r="AX185" s="6"/>
      <c r="AY185" s="7"/>
      <c r="BA185" s="5"/>
    </row>
    <row r="186" customFormat="false" ht="18" hidden="false" customHeight="true" outlineLevel="0" collapsed="false">
      <c r="C186" s="5"/>
      <c r="V186" s="6"/>
      <c r="W186" s="6"/>
      <c r="X186" s="6"/>
      <c r="Y186" s="6"/>
      <c r="Z186" s="6"/>
      <c r="AA186" s="6"/>
      <c r="AB186" s="6"/>
      <c r="AC186" s="6"/>
      <c r="AD186" s="6"/>
      <c r="AM186" s="7"/>
      <c r="AN186" s="6"/>
      <c r="AO186" s="7"/>
      <c r="AP186" s="7"/>
      <c r="AR186" s="7"/>
      <c r="AS186" s="8"/>
      <c r="AW186" s="8"/>
      <c r="AX186" s="6"/>
      <c r="AY186" s="7"/>
      <c r="BA186" s="5"/>
    </row>
    <row r="187" customFormat="false" ht="18" hidden="false" customHeight="true" outlineLevel="0" collapsed="false">
      <c r="C187" s="5"/>
      <c r="V187" s="6"/>
      <c r="W187" s="6"/>
      <c r="X187" s="6"/>
      <c r="Y187" s="6"/>
      <c r="Z187" s="6"/>
      <c r="AA187" s="6"/>
      <c r="AB187" s="6"/>
      <c r="AC187" s="6"/>
      <c r="AD187" s="6"/>
      <c r="AM187" s="7"/>
      <c r="AN187" s="6"/>
      <c r="AO187" s="7"/>
      <c r="AP187" s="7"/>
      <c r="AR187" s="7"/>
      <c r="AS187" s="8"/>
      <c r="AW187" s="8"/>
      <c r="AX187" s="6"/>
      <c r="AY187" s="7"/>
      <c r="BA187" s="5"/>
    </row>
    <row r="188" customFormat="false" ht="18" hidden="false" customHeight="true" outlineLevel="0" collapsed="false">
      <c r="C188" s="5"/>
      <c r="V188" s="6"/>
      <c r="W188" s="6"/>
      <c r="X188" s="6"/>
      <c r="Y188" s="6"/>
      <c r="Z188" s="6"/>
      <c r="AA188" s="6"/>
      <c r="AB188" s="6"/>
      <c r="AC188" s="6"/>
      <c r="AD188" s="6"/>
      <c r="AM188" s="7"/>
      <c r="AN188" s="6"/>
      <c r="AO188" s="7"/>
      <c r="AP188" s="7"/>
      <c r="AR188" s="7"/>
      <c r="AS188" s="8"/>
      <c r="AW188" s="8"/>
      <c r="AX188" s="6"/>
      <c r="AY188" s="7"/>
      <c r="BA188" s="5"/>
    </row>
    <row r="189" customFormat="false" ht="18" hidden="false" customHeight="true" outlineLevel="0" collapsed="false">
      <c r="C189" s="5"/>
      <c r="V189" s="6"/>
      <c r="W189" s="6"/>
      <c r="X189" s="6"/>
      <c r="Y189" s="6"/>
      <c r="Z189" s="6"/>
      <c r="AA189" s="6"/>
      <c r="AB189" s="6"/>
      <c r="AC189" s="6"/>
      <c r="AD189" s="6"/>
      <c r="AM189" s="7"/>
      <c r="AN189" s="6"/>
      <c r="AO189" s="7"/>
      <c r="AP189" s="7"/>
      <c r="AR189" s="7"/>
      <c r="AS189" s="8"/>
      <c r="AW189" s="8"/>
      <c r="AX189" s="6"/>
      <c r="AY189" s="7"/>
      <c r="BA189" s="5"/>
    </row>
    <row r="190" customFormat="false" ht="18" hidden="false" customHeight="true" outlineLevel="0" collapsed="false">
      <c r="C190" s="5"/>
      <c r="V190" s="6"/>
      <c r="W190" s="6"/>
      <c r="X190" s="6"/>
      <c r="Y190" s="6"/>
      <c r="Z190" s="6"/>
      <c r="AA190" s="6"/>
      <c r="AB190" s="6"/>
      <c r="AC190" s="6"/>
      <c r="AD190" s="6"/>
      <c r="AM190" s="7"/>
      <c r="AN190" s="6"/>
      <c r="AO190" s="7"/>
      <c r="AP190" s="7"/>
      <c r="AR190" s="7"/>
      <c r="AS190" s="8"/>
      <c r="AW190" s="8"/>
      <c r="AX190" s="6"/>
      <c r="AY190" s="7"/>
      <c r="BA190" s="5"/>
    </row>
    <row r="191" customFormat="false" ht="18" hidden="false" customHeight="true" outlineLevel="0" collapsed="false">
      <c r="C191" s="5"/>
      <c r="V191" s="6"/>
      <c r="W191" s="6"/>
      <c r="X191" s="6"/>
      <c r="Y191" s="6"/>
      <c r="Z191" s="6"/>
      <c r="AA191" s="6"/>
      <c r="AB191" s="6"/>
      <c r="AC191" s="6"/>
      <c r="AD191" s="6"/>
      <c r="AM191" s="7"/>
      <c r="AN191" s="6"/>
      <c r="AO191" s="7"/>
      <c r="AP191" s="7"/>
      <c r="AR191" s="7"/>
      <c r="AS191" s="8"/>
      <c r="AW191" s="8"/>
      <c r="AX191" s="6"/>
      <c r="AY191" s="7"/>
      <c r="BA191" s="5"/>
    </row>
    <row r="192" customFormat="false" ht="18" hidden="false" customHeight="true" outlineLevel="0" collapsed="false">
      <c r="C192" s="5"/>
      <c r="V192" s="6"/>
      <c r="W192" s="6"/>
      <c r="X192" s="6"/>
      <c r="Y192" s="6"/>
      <c r="Z192" s="6"/>
      <c r="AA192" s="6"/>
      <c r="AB192" s="6"/>
      <c r="AC192" s="6"/>
      <c r="AD192" s="6"/>
      <c r="AM192" s="7"/>
      <c r="AN192" s="6"/>
      <c r="AO192" s="7"/>
      <c r="AP192" s="7"/>
      <c r="AR192" s="7"/>
      <c r="AS192" s="8"/>
      <c r="AW192" s="8"/>
      <c r="AX192" s="6"/>
      <c r="AY192" s="7"/>
      <c r="BA192" s="5"/>
    </row>
    <row r="193" customFormat="false" ht="18" hidden="false" customHeight="true" outlineLevel="0" collapsed="false">
      <c r="C193" s="5"/>
      <c r="V193" s="6"/>
      <c r="W193" s="6"/>
      <c r="X193" s="6"/>
      <c r="Y193" s="6"/>
      <c r="Z193" s="6"/>
      <c r="AA193" s="6"/>
      <c r="AB193" s="6"/>
      <c r="AC193" s="6"/>
      <c r="AD193" s="6"/>
      <c r="AM193" s="7"/>
      <c r="AN193" s="6"/>
      <c r="AO193" s="7"/>
      <c r="AP193" s="7"/>
      <c r="AR193" s="7"/>
      <c r="AS193" s="8"/>
      <c r="AW193" s="8"/>
      <c r="AX193" s="6"/>
      <c r="AY193" s="7"/>
      <c r="BA193" s="5"/>
    </row>
    <row r="194" customFormat="false" ht="18" hidden="false" customHeight="true" outlineLevel="0" collapsed="false">
      <c r="C194" s="5"/>
      <c r="V194" s="6"/>
      <c r="W194" s="6"/>
      <c r="X194" s="6"/>
      <c r="Y194" s="6"/>
      <c r="Z194" s="6"/>
      <c r="AA194" s="6"/>
      <c r="AB194" s="6"/>
      <c r="AC194" s="6"/>
      <c r="AD194" s="6"/>
      <c r="AM194" s="7"/>
      <c r="AN194" s="6"/>
      <c r="AO194" s="7"/>
      <c r="AP194" s="7"/>
      <c r="AR194" s="7"/>
      <c r="AS194" s="8"/>
      <c r="AW194" s="8"/>
      <c r="AX194" s="6"/>
      <c r="AY194" s="7"/>
      <c r="BA194" s="5"/>
    </row>
    <row r="195" customFormat="false" ht="18" hidden="false" customHeight="true" outlineLevel="0" collapsed="false">
      <c r="C195" s="5"/>
      <c r="V195" s="6"/>
      <c r="W195" s="6"/>
      <c r="X195" s="6"/>
      <c r="Y195" s="6"/>
      <c r="Z195" s="6"/>
      <c r="AA195" s="6"/>
      <c r="AB195" s="6"/>
      <c r="AC195" s="6"/>
      <c r="AD195" s="6"/>
      <c r="AM195" s="7"/>
      <c r="AN195" s="6"/>
      <c r="AO195" s="7"/>
      <c r="AP195" s="7"/>
      <c r="AR195" s="7"/>
      <c r="AS195" s="8"/>
      <c r="AW195" s="8"/>
      <c r="AX195" s="6"/>
      <c r="AY195" s="7"/>
      <c r="BA195" s="5"/>
    </row>
    <row r="196" customFormat="false" ht="18" hidden="false" customHeight="true" outlineLevel="0" collapsed="false">
      <c r="C196" s="5"/>
      <c r="V196" s="6"/>
      <c r="W196" s="6"/>
      <c r="X196" s="6"/>
      <c r="Y196" s="6"/>
      <c r="Z196" s="6"/>
      <c r="AA196" s="6"/>
      <c r="AB196" s="6"/>
      <c r="AC196" s="6"/>
      <c r="AD196" s="6"/>
      <c r="AM196" s="7"/>
      <c r="AN196" s="6"/>
      <c r="AO196" s="7"/>
      <c r="AP196" s="7"/>
      <c r="AR196" s="7"/>
      <c r="AS196" s="8"/>
      <c r="AW196" s="8"/>
      <c r="AX196" s="6"/>
      <c r="AY196" s="7"/>
      <c r="BA196" s="5"/>
    </row>
    <row r="197" customFormat="false" ht="18" hidden="false" customHeight="true" outlineLevel="0" collapsed="false">
      <c r="C197" s="5"/>
      <c r="V197" s="6"/>
      <c r="W197" s="6"/>
      <c r="X197" s="6"/>
      <c r="Y197" s="6"/>
      <c r="Z197" s="6"/>
      <c r="AA197" s="6"/>
      <c r="AB197" s="6"/>
      <c r="AC197" s="6"/>
      <c r="AD197" s="6"/>
      <c r="AM197" s="7"/>
      <c r="AN197" s="6"/>
      <c r="AO197" s="7"/>
      <c r="AP197" s="7"/>
      <c r="AR197" s="7"/>
      <c r="AS197" s="8"/>
      <c r="AW197" s="8"/>
      <c r="AX197" s="6"/>
      <c r="AY197" s="7"/>
      <c r="BA197" s="5"/>
    </row>
    <row r="198" customFormat="false" ht="18" hidden="false" customHeight="true" outlineLevel="0" collapsed="false">
      <c r="C198" s="5"/>
      <c r="V198" s="6"/>
      <c r="W198" s="6"/>
      <c r="X198" s="6"/>
      <c r="Y198" s="6"/>
      <c r="Z198" s="6"/>
      <c r="AA198" s="6"/>
      <c r="AB198" s="6"/>
      <c r="AC198" s="6"/>
      <c r="AD198" s="6"/>
      <c r="AM198" s="7"/>
      <c r="AN198" s="6"/>
      <c r="AO198" s="7"/>
      <c r="AP198" s="7"/>
      <c r="AR198" s="7"/>
      <c r="AS198" s="8"/>
      <c r="AW198" s="8"/>
      <c r="AX198" s="6"/>
      <c r="AY198" s="7"/>
      <c r="BA198" s="5"/>
    </row>
    <row r="199" customFormat="false" ht="18" hidden="false" customHeight="true" outlineLevel="0" collapsed="false">
      <c r="C199" s="5"/>
      <c r="V199" s="6"/>
      <c r="W199" s="6"/>
      <c r="X199" s="6"/>
      <c r="Y199" s="6"/>
      <c r="Z199" s="6"/>
      <c r="AA199" s="6"/>
      <c r="AB199" s="6"/>
      <c r="AC199" s="6"/>
      <c r="AD199" s="6"/>
      <c r="AM199" s="7"/>
      <c r="AN199" s="6"/>
      <c r="AO199" s="7"/>
      <c r="AP199" s="7"/>
      <c r="AR199" s="7"/>
      <c r="AS199" s="8"/>
      <c r="AW199" s="8"/>
      <c r="AX199" s="6"/>
      <c r="AY199" s="7"/>
      <c r="BA199" s="5"/>
    </row>
    <row r="200" customFormat="false" ht="18" hidden="false" customHeight="true" outlineLevel="0" collapsed="false">
      <c r="C200" s="5"/>
      <c r="V200" s="6"/>
      <c r="W200" s="6"/>
      <c r="X200" s="6"/>
      <c r="Y200" s="6"/>
      <c r="Z200" s="6"/>
      <c r="AA200" s="6"/>
      <c r="AB200" s="6"/>
      <c r="AC200" s="6"/>
      <c r="AD200" s="6"/>
      <c r="AM200" s="7"/>
      <c r="AN200" s="6"/>
      <c r="AO200" s="7"/>
      <c r="AP200" s="7"/>
      <c r="AR200" s="7"/>
      <c r="AS200" s="8"/>
      <c r="AW200" s="8"/>
      <c r="AX200" s="6"/>
      <c r="AY200" s="7"/>
      <c r="BA200" s="5"/>
    </row>
    <row r="201" customFormat="false" ht="18" hidden="false" customHeight="true" outlineLevel="0" collapsed="false">
      <c r="C201" s="5"/>
      <c r="V201" s="6"/>
      <c r="W201" s="6"/>
      <c r="X201" s="6"/>
      <c r="Y201" s="6"/>
      <c r="Z201" s="6"/>
      <c r="AA201" s="6"/>
      <c r="AB201" s="6"/>
      <c r="AC201" s="6"/>
      <c r="AD201" s="6"/>
      <c r="AM201" s="7"/>
      <c r="AN201" s="6"/>
      <c r="AO201" s="7"/>
      <c r="AP201" s="7"/>
      <c r="AR201" s="7"/>
      <c r="AS201" s="8"/>
      <c r="AW201" s="8"/>
      <c r="AX201" s="6"/>
      <c r="AY201" s="7"/>
      <c r="BA201" s="5"/>
    </row>
    <row r="202" customFormat="false" ht="18" hidden="false" customHeight="true" outlineLevel="0" collapsed="false">
      <c r="C202" s="5"/>
      <c r="V202" s="6"/>
      <c r="W202" s="6"/>
      <c r="X202" s="6"/>
      <c r="Y202" s="6"/>
      <c r="Z202" s="6"/>
      <c r="AA202" s="6"/>
      <c r="AB202" s="6"/>
      <c r="AC202" s="6"/>
      <c r="AD202" s="6"/>
      <c r="AM202" s="7"/>
      <c r="AN202" s="6"/>
      <c r="AO202" s="7"/>
      <c r="AP202" s="7"/>
      <c r="AR202" s="7"/>
      <c r="AS202" s="8"/>
      <c r="AW202" s="8"/>
      <c r="AX202" s="6"/>
      <c r="AY202" s="7"/>
      <c r="BA202" s="5"/>
    </row>
    <row r="203" customFormat="false" ht="18" hidden="false" customHeight="true" outlineLevel="0" collapsed="false">
      <c r="C203" s="5"/>
      <c r="V203" s="6"/>
      <c r="W203" s="6"/>
      <c r="X203" s="6"/>
      <c r="Y203" s="6"/>
      <c r="Z203" s="6"/>
      <c r="AA203" s="6"/>
      <c r="AB203" s="6"/>
      <c r="AC203" s="6"/>
      <c r="AD203" s="6"/>
      <c r="AM203" s="7"/>
      <c r="AN203" s="6"/>
      <c r="AO203" s="7"/>
      <c r="AP203" s="7"/>
      <c r="AR203" s="7"/>
      <c r="AS203" s="8"/>
      <c r="AW203" s="8"/>
      <c r="AX203" s="6"/>
      <c r="AY203" s="7"/>
      <c r="BA203" s="5"/>
    </row>
    <row r="204" customFormat="false" ht="18" hidden="false" customHeight="true" outlineLevel="0" collapsed="false">
      <c r="C204" s="5"/>
      <c r="V204" s="6"/>
      <c r="W204" s="6"/>
      <c r="X204" s="6"/>
      <c r="Y204" s="6"/>
      <c r="Z204" s="6"/>
      <c r="AA204" s="6"/>
      <c r="AB204" s="6"/>
      <c r="AC204" s="6"/>
      <c r="AD204" s="6"/>
      <c r="AM204" s="7"/>
      <c r="AN204" s="6"/>
      <c r="AO204" s="7"/>
      <c r="AP204" s="7"/>
      <c r="AR204" s="7"/>
      <c r="AS204" s="8"/>
      <c r="AW204" s="8"/>
      <c r="AX204" s="6"/>
      <c r="AY204" s="7"/>
      <c r="BA204" s="5"/>
    </row>
    <row r="205" customFormat="false" ht="18" hidden="false" customHeight="true" outlineLevel="0" collapsed="false">
      <c r="C205" s="5"/>
      <c r="V205" s="6"/>
      <c r="W205" s="6"/>
      <c r="X205" s="6"/>
      <c r="Y205" s="6"/>
      <c r="Z205" s="6"/>
      <c r="AA205" s="6"/>
      <c r="AB205" s="6"/>
      <c r="AC205" s="6"/>
      <c r="AD205" s="6"/>
      <c r="AM205" s="7"/>
      <c r="AN205" s="6"/>
      <c r="AO205" s="7"/>
      <c r="AP205" s="7"/>
      <c r="AR205" s="7"/>
      <c r="AS205" s="8"/>
      <c r="AW205" s="8"/>
      <c r="AX205" s="6"/>
      <c r="AY205" s="7"/>
      <c r="BA205" s="5"/>
    </row>
    <row r="206" customFormat="false" ht="18" hidden="false" customHeight="true" outlineLevel="0" collapsed="false">
      <c r="C206" s="5"/>
      <c r="V206" s="6"/>
      <c r="W206" s="6"/>
      <c r="X206" s="6"/>
      <c r="Y206" s="6"/>
      <c r="Z206" s="6"/>
      <c r="AA206" s="6"/>
      <c r="AB206" s="6"/>
      <c r="AC206" s="6"/>
      <c r="AD206" s="6"/>
      <c r="AM206" s="7"/>
      <c r="AN206" s="6"/>
      <c r="AO206" s="7"/>
      <c r="AP206" s="7"/>
      <c r="AR206" s="7"/>
      <c r="AS206" s="8"/>
      <c r="AW206" s="8"/>
      <c r="AX206" s="6"/>
      <c r="AY206" s="7"/>
      <c r="BA206" s="5"/>
    </row>
    <row r="207" customFormat="false" ht="18" hidden="false" customHeight="true" outlineLevel="0" collapsed="false">
      <c r="C207" s="5"/>
      <c r="V207" s="6"/>
      <c r="W207" s="6"/>
      <c r="X207" s="6"/>
      <c r="Y207" s="6"/>
      <c r="Z207" s="6"/>
      <c r="AA207" s="6"/>
      <c r="AB207" s="6"/>
      <c r="AC207" s="6"/>
      <c r="AD207" s="6"/>
      <c r="AM207" s="7"/>
      <c r="AN207" s="6"/>
      <c r="AO207" s="7"/>
      <c r="AP207" s="7"/>
      <c r="AR207" s="7"/>
      <c r="AS207" s="8"/>
      <c r="AW207" s="8"/>
      <c r="AX207" s="6"/>
      <c r="AY207" s="7"/>
      <c r="BA207" s="5"/>
    </row>
    <row r="208" customFormat="false" ht="18" hidden="false" customHeight="true" outlineLevel="0" collapsed="false">
      <c r="C208" s="5"/>
      <c r="V208" s="6"/>
      <c r="W208" s="6"/>
      <c r="X208" s="6"/>
      <c r="Y208" s="6"/>
      <c r="Z208" s="6"/>
      <c r="AA208" s="6"/>
      <c r="AB208" s="6"/>
      <c r="AC208" s="6"/>
      <c r="AD208" s="6"/>
      <c r="AM208" s="7"/>
      <c r="AN208" s="6"/>
      <c r="AO208" s="7"/>
      <c r="AP208" s="7"/>
      <c r="AR208" s="7"/>
      <c r="AS208" s="8"/>
      <c r="AW208" s="8"/>
      <c r="AX208" s="6"/>
      <c r="AY208" s="7"/>
      <c r="BA208" s="5"/>
    </row>
    <row r="209" customFormat="false" ht="18" hidden="false" customHeight="true" outlineLevel="0" collapsed="false">
      <c r="C209" s="5"/>
      <c r="V209" s="6"/>
      <c r="W209" s="6"/>
      <c r="X209" s="6"/>
      <c r="Y209" s="6"/>
      <c r="Z209" s="6"/>
      <c r="AA209" s="6"/>
      <c r="AB209" s="6"/>
      <c r="AC209" s="6"/>
      <c r="AD209" s="6"/>
      <c r="AM209" s="7"/>
      <c r="AN209" s="6"/>
      <c r="AO209" s="7"/>
      <c r="AP209" s="7"/>
      <c r="AR209" s="7"/>
      <c r="AS209" s="8"/>
      <c r="AW209" s="8"/>
      <c r="AX209" s="6"/>
      <c r="AY209" s="7"/>
      <c r="BA209" s="5"/>
    </row>
    <row r="210" customFormat="false" ht="18" hidden="false" customHeight="true" outlineLevel="0" collapsed="false">
      <c r="C210" s="5"/>
      <c r="V210" s="6"/>
      <c r="W210" s="6"/>
      <c r="X210" s="6"/>
      <c r="Y210" s="6"/>
      <c r="Z210" s="6"/>
      <c r="AA210" s="6"/>
      <c r="AB210" s="6"/>
      <c r="AC210" s="6"/>
      <c r="AD210" s="6"/>
      <c r="AM210" s="7"/>
      <c r="AN210" s="6"/>
      <c r="AO210" s="7"/>
      <c r="AP210" s="7"/>
      <c r="AR210" s="7"/>
      <c r="AS210" s="8"/>
      <c r="AW210" s="8"/>
      <c r="AX210" s="6"/>
      <c r="AY210" s="7"/>
      <c r="BA210" s="5"/>
    </row>
    <row r="211" customFormat="false" ht="18" hidden="false" customHeight="true" outlineLevel="0" collapsed="false">
      <c r="C211" s="5"/>
      <c r="V211" s="6"/>
      <c r="W211" s="6"/>
      <c r="X211" s="6"/>
      <c r="Y211" s="6"/>
      <c r="Z211" s="6"/>
      <c r="AA211" s="6"/>
      <c r="AB211" s="6"/>
      <c r="AC211" s="6"/>
      <c r="AD211" s="6"/>
      <c r="AM211" s="7"/>
      <c r="AN211" s="6"/>
      <c r="AO211" s="7"/>
      <c r="AP211" s="7"/>
      <c r="AR211" s="7"/>
      <c r="AS211" s="8"/>
      <c r="AW211" s="8"/>
      <c r="AX211" s="6"/>
      <c r="AY211" s="7"/>
      <c r="BA211" s="5"/>
    </row>
    <row r="212" customFormat="false" ht="18" hidden="false" customHeight="true" outlineLevel="0" collapsed="false">
      <c r="C212" s="5"/>
      <c r="V212" s="6"/>
      <c r="W212" s="6"/>
      <c r="X212" s="6"/>
      <c r="Y212" s="6"/>
      <c r="Z212" s="6"/>
      <c r="AA212" s="6"/>
      <c r="AB212" s="6"/>
      <c r="AC212" s="6"/>
      <c r="AD212" s="6"/>
      <c r="AM212" s="7"/>
      <c r="AN212" s="6"/>
      <c r="AO212" s="7"/>
      <c r="AP212" s="7"/>
      <c r="AR212" s="7"/>
      <c r="AS212" s="8"/>
      <c r="AW212" s="8"/>
      <c r="AX212" s="6"/>
      <c r="AY212" s="7"/>
      <c r="BA212" s="5"/>
    </row>
    <row r="213" customFormat="false" ht="18" hidden="false" customHeight="true" outlineLevel="0" collapsed="false">
      <c r="C213" s="5"/>
      <c r="V213" s="6"/>
      <c r="W213" s="6"/>
      <c r="X213" s="6"/>
      <c r="Y213" s="6"/>
      <c r="Z213" s="6"/>
      <c r="AA213" s="6"/>
      <c r="AB213" s="6"/>
      <c r="AC213" s="6"/>
      <c r="AD213" s="6"/>
      <c r="AM213" s="7"/>
      <c r="AN213" s="6"/>
      <c r="AO213" s="7"/>
      <c r="AP213" s="7"/>
      <c r="AR213" s="7"/>
      <c r="AS213" s="8"/>
      <c r="AW213" s="8"/>
      <c r="AX213" s="6"/>
      <c r="AY213" s="7"/>
      <c r="BA213" s="5"/>
    </row>
    <row r="214" customFormat="false" ht="18" hidden="false" customHeight="true" outlineLevel="0" collapsed="false">
      <c r="C214" s="5"/>
      <c r="V214" s="6"/>
      <c r="W214" s="6"/>
      <c r="X214" s="6"/>
      <c r="Y214" s="6"/>
      <c r="Z214" s="6"/>
      <c r="AA214" s="6"/>
      <c r="AB214" s="6"/>
      <c r="AC214" s="6"/>
      <c r="AD214" s="6"/>
      <c r="AM214" s="7"/>
      <c r="AN214" s="6"/>
      <c r="AO214" s="7"/>
      <c r="AP214" s="7"/>
      <c r="AR214" s="7"/>
      <c r="AS214" s="8"/>
      <c r="AW214" s="8"/>
      <c r="AX214" s="6"/>
      <c r="AY214" s="7"/>
      <c r="BA214" s="5"/>
    </row>
    <row r="215" customFormat="false" ht="18" hidden="false" customHeight="true" outlineLevel="0" collapsed="false">
      <c r="C215" s="5"/>
      <c r="V215" s="6"/>
      <c r="W215" s="6"/>
      <c r="X215" s="6"/>
      <c r="Y215" s="6"/>
      <c r="Z215" s="6"/>
      <c r="AA215" s="6"/>
      <c r="AB215" s="6"/>
      <c r="AC215" s="6"/>
      <c r="AD215" s="6"/>
      <c r="AM215" s="7"/>
      <c r="AN215" s="6"/>
      <c r="AO215" s="7"/>
      <c r="AP215" s="7"/>
      <c r="AR215" s="7"/>
      <c r="AS215" s="8"/>
      <c r="AW215" s="8"/>
      <c r="AX215" s="6"/>
      <c r="AY215" s="7"/>
      <c r="BA215" s="5"/>
    </row>
    <row r="216" customFormat="false" ht="18" hidden="false" customHeight="true" outlineLevel="0" collapsed="false">
      <c r="C216" s="5"/>
      <c r="V216" s="6"/>
      <c r="W216" s="6"/>
      <c r="X216" s="6"/>
      <c r="Y216" s="6"/>
      <c r="Z216" s="6"/>
      <c r="AA216" s="6"/>
      <c r="AB216" s="6"/>
      <c r="AC216" s="6"/>
      <c r="AD216" s="6"/>
      <c r="AM216" s="7"/>
      <c r="AN216" s="6"/>
      <c r="AO216" s="7"/>
      <c r="AP216" s="7"/>
      <c r="AR216" s="7"/>
      <c r="AS216" s="8"/>
      <c r="AW216" s="8"/>
      <c r="AX216" s="6"/>
      <c r="AY216" s="7"/>
      <c r="BA216" s="5"/>
    </row>
    <row r="217" customFormat="false" ht="18" hidden="false" customHeight="true" outlineLevel="0" collapsed="false">
      <c r="C217" s="5"/>
      <c r="V217" s="6"/>
      <c r="W217" s="6"/>
      <c r="X217" s="6"/>
      <c r="Y217" s="6"/>
      <c r="Z217" s="6"/>
      <c r="AA217" s="6"/>
      <c r="AB217" s="6"/>
      <c r="AC217" s="6"/>
      <c r="AD217" s="6"/>
      <c r="AM217" s="7"/>
      <c r="AN217" s="6"/>
      <c r="AO217" s="7"/>
      <c r="AP217" s="7"/>
      <c r="AR217" s="7"/>
      <c r="AS217" s="8"/>
      <c r="AW217" s="8"/>
      <c r="AX217" s="6"/>
      <c r="AY217" s="7"/>
      <c r="BA217" s="5"/>
    </row>
    <row r="218" customFormat="false" ht="18" hidden="false" customHeight="true" outlineLevel="0" collapsed="false">
      <c r="C218" s="5"/>
      <c r="V218" s="6"/>
      <c r="W218" s="6"/>
      <c r="X218" s="6"/>
      <c r="Y218" s="6"/>
      <c r="Z218" s="6"/>
      <c r="AA218" s="6"/>
      <c r="AB218" s="6"/>
      <c r="AC218" s="6"/>
      <c r="AD218" s="6"/>
      <c r="AM218" s="7"/>
      <c r="AN218" s="6"/>
      <c r="AO218" s="7"/>
      <c r="AP218" s="7"/>
      <c r="AR218" s="7"/>
      <c r="AS218" s="8"/>
      <c r="AW218" s="8"/>
      <c r="AX218" s="6"/>
      <c r="AY218" s="7"/>
      <c r="BA218" s="5"/>
    </row>
    <row r="219" customFormat="false" ht="18" hidden="false" customHeight="true" outlineLevel="0" collapsed="false">
      <c r="C219" s="5"/>
      <c r="V219" s="6"/>
      <c r="W219" s="6"/>
      <c r="X219" s="6"/>
      <c r="Y219" s="6"/>
      <c r="Z219" s="6"/>
      <c r="AA219" s="6"/>
      <c r="AB219" s="6"/>
      <c r="AC219" s="6"/>
      <c r="AD219" s="6"/>
      <c r="AM219" s="7"/>
      <c r="AN219" s="6"/>
      <c r="AO219" s="7"/>
      <c r="AP219" s="7"/>
      <c r="AR219" s="7"/>
      <c r="AS219" s="8"/>
      <c r="AW219" s="8"/>
      <c r="AX219" s="6"/>
      <c r="AY219" s="7"/>
      <c r="BA219" s="5"/>
    </row>
    <row r="220" customFormat="false" ht="18" hidden="false" customHeight="true" outlineLevel="0" collapsed="false">
      <c r="C220" s="5"/>
      <c r="V220" s="6"/>
      <c r="W220" s="6"/>
      <c r="X220" s="6"/>
      <c r="Y220" s="6"/>
      <c r="Z220" s="6"/>
      <c r="AA220" s="6"/>
      <c r="AB220" s="6"/>
      <c r="AC220" s="6"/>
      <c r="AD220" s="6"/>
      <c r="AM220" s="7"/>
      <c r="AN220" s="6"/>
      <c r="AO220" s="7"/>
      <c r="AP220" s="7"/>
      <c r="AR220" s="7"/>
      <c r="AS220" s="8"/>
      <c r="AW220" s="8"/>
      <c r="AX220" s="6"/>
      <c r="AY220" s="7"/>
      <c r="BA220" s="5"/>
    </row>
    <row r="221" customFormat="false" ht="18" hidden="false" customHeight="true" outlineLevel="0" collapsed="false">
      <c r="C221" s="5"/>
      <c r="V221" s="6"/>
      <c r="W221" s="6"/>
      <c r="X221" s="6"/>
      <c r="Y221" s="6"/>
      <c r="Z221" s="6"/>
      <c r="AA221" s="6"/>
      <c r="AB221" s="6"/>
      <c r="AC221" s="6"/>
      <c r="AD221" s="6"/>
      <c r="AM221" s="7"/>
      <c r="AN221" s="6"/>
      <c r="AO221" s="7"/>
      <c r="AP221" s="7"/>
      <c r="AR221" s="7"/>
      <c r="AS221" s="8"/>
      <c r="AW221" s="8"/>
      <c r="AX221" s="6"/>
      <c r="AY221" s="7"/>
      <c r="BA221" s="5"/>
    </row>
    <row r="222" customFormat="false" ht="18" hidden="false" customHeight="true" outlineLevel="0" collapsed="false">
      <c r="C222" s="5"/>
      <c r="V222" s="6"/>
      <c r="W222" s="6"/>
      <c r="X222" s="6"/>
      <c r="Y222" s="6"/>
      <c r="Z222" s="6"/>
      <c r="AA222" s="6"/>
      <c r="AB222" s="6"/>
      <c r="AC222" s="6"/>
      <c r="AD222" s="6"/>
      <c r="AM222" s="7"/>
      <c r="AN222" s="6"/>
      <c r="AO222" s="7"/>
      <c r="AP222" s="7"/>
      <c r="AR222" s="7"/>
      <c r="AS222" s="8"/>
      <c r="AW222" s="8"/>
      <c r="AX222" s="6"/>
      <c r="AY222" s="7"/>
      <c r="BA222" s="5"/>
    </row>
    <row r="223" customFormat="false" ht="18" hidden="false" customHeight="true" outlineLevel="0" collapsed="false">
      <c r="C223" s="5"/>
      <c r="V223" s="6"/>
      <c r="W223" s="6"/>
      <c r="X223" s="6"/>
      <c r="Y223" s="6"/>
      <c r="Z223" s="6"/>
      <c r="AA223" s="6"/>
      <c r="AB223" s="6"/>
      <c r="AC223" s="6"/>
      <c r="AD223" s="6"/>
      <c r="AM223" s="7"/>
      <c r="AN223" s="6"/>
      <c r="AO223" s="7"/>
      <c r="AP223" s="7"/>
      <c r="AR223" s="7"/>
      <c r="AS223" s="8"/>
      <c r="AW223" s="8"/>
      <c r="AX223" s="6"/>
      <c r="AY223" s="7"/>
      <c r="BA223" s="5"/>
    </row>
    <row r="224" customFormat="false" ht="18" hidden="false" customHeight="true" outlineLevel="0" collapsed="false">
      <c r="C224" s="5"/>
      <c r="V224" s="6"/>
      <c r="W224" s="6"/>
      <c r="X224" s="6"/>
      <c r="Y224" s="6"/>
      <c r="Z224" s="6"/>
      <c r="AA224" s="6"/>
      <c r="AB224" s="6"/>
      <c r="AC224" s="6"/>
      <c r="AD224" s="6"/>
      <c r="AM224" s="7"/>
      <c r="AN224" s="6"/>
      <c r="AO224" s="7"/>
      <c r="AP224" s="7"/>
      <c r="AR224" s="7"/>
      <c r="AS224" s="8"/>
      <c r="AW224" s="8"/>
      <c r="AX224" s="6"/>
      <c r="AY224" s="7"/>
      <c r="BA224" s="5"/>
    </row>
    <row r="225" customFormat="false" ht="18" hidden="false" customHeight="true" outlineLevel="0" collapsed="false">
      <c r="C225" s="5"/>
      <c r="V225" s="6"/>
      <c r="W225" s="6"/>
      <c r="X225" s="6"/>
      <c r="Y225" s="6"/>
      <c r="Z225" s="6"/>
      <c r="AA225" s="6"/>
      <c r="AB225" s="6"/>
      <c r="AC225" s="6"/>
      <c r="AD225" s="6"/>
      <c r="AM225" s="7"/>
      <c r="AN225" s="6"/>
      <c r="AO225" s="7"/>
      <c r="AP225" s="7"/>
      <c r="AR225" s="7"/>
      <c r="AS225" s="8"/>
      <c r="AW225" s="8"/>
      <c r="AX225" s="6"/>
      <c r="AY225" s="7"/>
      <c r="BA225" s="5"/>
    </row>
    <row r="226" customFormat="false" ht="18" hidden="false" customHeight="true" outlineLevel="0" collapsed="false">
      <c r="C226" s="5"/>
      <c r="V226" s="6"/>
      <c r="W226" s="6"/>
      <c r="X226" s="6"/>
      <c r="Y226" s="6"/>
      <c r="Z226" s="6"/>
      <c r="AA226" s="6"/>
      <c r="AB226" s="6"/>
      <c r="AC226" s="6"/>
      <c r="AD226" s="6"/>
      <c r="AM226" s="7"/>
      <c r="AN226" s="6"/>
      <c r="AO226" s="7"/>
      <c r="AP226" s="7"/>
      <c r="AR226" s="7"/>
      <c r="AS226" s="8"/>
      <c r="AW226" s="8"/>
      <c r="AX226" s="6"/>
      <c r="AY226" s="7"/>
      <c r="BA226" s="5"/>
    </row>
    <row r="227" customFormat="false" ht="18" hidden="false" customHeight="true" outlineLevel="0" collapsed="false">
      <c r="C227" s="5"/>
      <c r="V227" s="6"/>
      <c r="W227" s="6"/>
      <c r="X227" s="6"/>
      <c r="Y227" s="6"/>
      <c r="Z227" s="6"/>
      <c r="AA227" s="6"/>
      <c r="AB227" s="6"/>
      <c r="AC227" s="6"/>
      <c r="AD227" s="6"/>
      <c r="AM227" s="7"/>
      <c r="AN227" s="6"/>
      <c r="AO227" s="7"/>
      <c r="AP227" s="7"/>
      <c r="AR227" s="7"/>
      <c r="AS227" s="8"/>
      <c r="AW227" s="8"/>
      <c r="AX227" s="6"/>
      <c r="AY227" s="7"/>
      <c r="BA227" s="5"/>
    </row>
    <row r="228" customFormat="false" ht="18" hidden="false" customHeight="true" outlineLevel="0" collapsed="false">
      <c r="C228" s="5"/>
      <c r="V228" s="6"/>
      <c r="W228" s="6"/>
      <c r="X228" s="6"/>
      <c r="Y228" s="6"/>
      <c r="Z228" s="6"/>
      <c r="AA228" s="6"/>
      <c r="AB228" s="6"/>
      <c r="AC228" s="6"/>
      <c r="AD228" s="6"/>
      <c r="AM228" s="7"/>
      <c r="AN228" s="6"/>
      <c r="AO228" s="7"/>
      <c r="AP228" s="7"/>
      <c r="AR228" s="7"/>
      <c r="AS228" s="8"/>
      <c r="AW228" s="8"/>
      <c r="AX228" s="6"/>
      <c r="AY228" s="7"/>
      <c r="BA228" s="5"/>
    </row>
    <row r="229" customFormat="false" ht="18" hidden="false" customHeight="true" outlineLevel="0" collapsed="false">
      <c r="C229" s="5"/>
      <c r="V229" s="6"/>
      <c r="W229" s="6"/>
      <c r="X229" s="6"/>
      <c r="Y229" s="6"/>
      <c r="Z229" s="6"/>
      <c r="AA229" s="6"/>
      <c r="AB229" s="6"/>
      <c r="AC229" s="6"/>
      <c r="AD229" s="6"/>
      <c r="AM229" s="7"/>
      <c r="AN229" s="6"/>
      <c r="AO229" s="7"/>
      <c r="AP229" s="7"/>
      <c r="AR229" s="7"/>
      <c r="AS229" s="8"/>
      <c r="AW229" s="8"/>
      <c r="AX229" s="6"/>
      <c r="AY229" s="7"/>
      <c r="BA229" s="5"/>
    </row>
    <row r="230" customFormat="false" ht="18" hidden="false" customHeight="true" outlineLevel="0" collapsed="false">
      <c r="C230" s="5"/>
      <c r="V230" s="6"/>
      <c r="W230" s="6"/>
      <c r="X230" s="6"/>
      <c r="Y230" s="6"/>
      <c r="Z230" s="6"/>
      <c r="AA230" s="6"/>
      <c r="AB230" s="6"/>
      <c r="AC230" s="6"/>
      <c r="AD230" s="6"/>
      <c r="AM230" s="7"/>
      <c r="AN230" s="6"/>
      <c r="AO230" s="7"/>
      <c r="AP230" s="7"/>
      <c r="AR230" s="7"/>
      <c r="AS230" s="8"/>
      <c r="AW230" s="8"/>
      <c r="AX230" s="6"/>
      <c r="AY230" s="7"/>
      <c r="BA230" s="5"/>
    </row>
    <row r="231" customFormat="false" ht="18" hidden="false" customHeight="true" outlineLevel="0" collapsed="false">
      <c r="C231" s="5"/>
      <c r="V231" s="6"/>
      <c r="W231" s="6"/>
      <c r="X231" s="6"/>
      <c r="Y231" s="6"/>
      <c r="Z231" s="6"/>
      <c r="AA231" s="6"/>
      <c r="AB231" s="6"/>
      <c r="AC231" s="6"/>
      <c r="AD231" s="6"/>
      <c r="AM231" s="7"/>
      <c r="AN231" s="6"/>
      <c r="AO231" s="7"/>
      <c r="AP231" s="7"/>
      <c r="AR231" s="7"/>
      <c r="AS231" s="8"/>
      <c r="AW231" s="8"/>
      <c r="AX231" s="6"/>
      <c r="AY231" s="7"/>
      <c r="BA231" s="5"/>
    </row>
    <row r="232" customFormat="false" ht="18" hidden="false" customHeight="true" outlineLevel="0" collapsed="false">
      <c r="C232" s="5"/>
      <c r="V232" s="6"/>
      <c r="W232" s="6"/>
      <c r="X232" s="6"/>
      <c r="Y232" s="6"/>
      <c r="Z232" s="6"/>
      <c r="AA232" s="6"/>
      <c r="AB232" s="6"/>
      <c r="AC232" s="6"/>
      <c r="AD232" s="6"/>
      <c r="AM232" s="7"/>
      <c r="AN232" s="6"/>
      <c r="AO232" s="7"/>
      <c r="AP232" s="7"/>
      <c r="AR232" s="7"/>
      <c r="AS232" s="8"/>
      <c r="AW232" s="8"/>
      <c r="AX232" s="6"/>
      <c r="AY232" s="7"/>
      <c r="BA232" s="5"/>
    </row>
    <row r="233" customFormat="false" ht="18" hidden="false" customHeight="true" outlineLevel="0" collapsed="false">
      <c r="C233" s="5"/>
      <c r="V233" s="6"/>
      <c r="W233" s="6"/>
      <c r="X233" s="6"/>
      <c r="Y233" s="6"/>
      <c r="Z233" s="6"/>
      <c r="AA233" s="6"/>
      <c r="AB233" s="6"/>
      <c r="AC233" s="6"/>
      <c r="AD233" s="6"/>
      <c r="AM233" s="7"/>
      <c r="AN233" s="6"/>
      <c r="AO233" s="7"/>
      <c r="AP233" s="7"/>
      <c r="AR233" s="7"/>
      <c r="AS233" s="8"/>
      <c r="AW233" s="8"/>
      <c r="AX233" s="6"/>
      <c r="AY233" s="7"/>
      <c r="BA233" s="5"/>
    </row>
    <row r="234" customFormat="false" ht="18" hidden="false" customHeight="true" outlineLevel="0" collapsed="false">
      <c r="C234" s="5"/>
      <c r="V234" s="6"/>
      <c r="W234" s="6"/>
      <c r="X234" s="6"/>
      <c r="Y234" s="6"/>
      <c r="Z234" s="6"/>
      <c r="AA234" s="6"/>
      <c r="AB234" s="6"/>
      <c r="AC234" s="6"/>
      <c r="AD234" s="6"/>
      <c r="AM234" s="7"/>
      <c r="AN234" s="6"/>
      <c r="AO234" s="7"/>
      <c r="AP234" s="7"/>
      <c r="AR234" s="7"/>
      <c r="AS234" s="8"/>
      <c r="AW234" s="8"/>
      <c r="AX234" s="6"/>
      <c r="AY234" s="7"/>
      <c r="BA234" s="5"/>
    </row>
    <row r="235" customFormat="false" ht="18" hidden="false" customHeight="true" outlineLevel="0" collapsed="false">
      <c r="C235" s="5"/>
      <c r="V235" s="6"/>
      <c r="W235" s="6"/>
      <c r="X235" s="6"/>
      <c r="Y235" s="6"/>
      <c r="Z235" s="6"/>
      <c r="AA235" s="6"/>
      <c r="AB235" s="6"/>
      <c r="AC235" s="6"/>
      <c r="AD235" s="6"/>
      <c r="AM235" s="7"/>
      <c r="AN235" s="6"/>
      <c r="AO235" s="7"/>
      <c r="AP235" s="7"/>
      <c r="AR235" s="7"/>
      <c r="AS235" s="8"/>
      <c r="AW235" s="8"/>
      <c r="AX235" s="6"/>
      <c r="AY235" s="7"/>
      <c r="BA235" s="5"/>
    </row>
    <row r="236" customFormat="false" ht="18" hidden="false" customHeight="true" outlineLevel="0" collapsed="false">
      <c r="C236" s="5"/>
      <c r="V236" s="6"/>
      <c r="W236" s="6"/>
      <c r="X236" s="6"/>
      <c r="Y236" s="6"/>
      <c r="Z236" s="6"/>
      <c r="AA236" s="6"/>
      <c r="AB236" s="6"/>
      <c r="AC236" s="6"/>
      <c r="AD236" s="6"/>
      <c r="AM236" s="7"/>
      <c r="AN236" s="6"/>
      <c r="AO236" s="7"/>
      <c r="AP236" s="7"/>
      <c r="AR236" s="7"/>
      <c r="AS236" s="8"/>
      <c r="AW236" s="8"/>
      <c r="AX236" s="6"/>
      <c r="AY236" s="7"/>
      <c r="BA236" s="5"/>
    </row>
    <row r="237" customFormat="false" ht="18" hidden="false" customHeight="true" outlineLevel="0" collapsed="false">
      <c r="C237" s="5"/>
      <c r="V237" s="6"/>
      <c r="W237" s="6"/>
      <c r="X237" s="6"/>
      <c r="Y237" s="6"/>
      <c r="Z237" s="6"/>
      <c r="AA237" s="6"/>
      <c r="AB237" s="6"/>
      <c r="AC237" s="6"/>
      <c r="AD237" s="6"/>
      <c r="AM237" s="7"/>
      <c r="AN237" s="6"/>
      <c r="AO237" s="7"/>
      <c r="AP237" s="7"/>
      <c r="AR237" s="7"/>
      <c r="AS237" s="8"/>
      <c r="AW237" s="8"/>
      <c r="AX237" s="6"/>
      <c r="AY237" s="7"/>
      <c r="BA237" s="5"/>
    </row>
    <row r="238" customFormat="false" ht="18" hidden="false" customHeight="true" outlineLevel="0" collapsed="false">
      <c r="C238" s="5"/>
      <c r="V238" s="6"/>
      <c r="W238" s="6"/>
      <c r="X238" s="6"/>
      <c r="Y238" s="6"/>
      <c r="Z238" s="6"/>
      <c r="AA238" s="6"/>
      <c r="AB238" s="6"/>
      <c r="AC238" s="6"/>
      <c r="AD238" s="6"/>
      <c r="AM238" s="7"/>
      <c r="AN238" s="6"/>
      <c r="AO238" s="7"/>
      <c r="AP238" s="7"/>
      <c r="AR238" s="7"/>
      <c r="AS238" s="8"/>
      <c r="AW238" s="8"/>
      <c r="AX238" s="6"/>
      <c r="AY238" s="7"/>
      <c r="BA238" s="5"/>
    </row>
    <row r="239" customFormat="false" ht="18" hidden="false" customHeight="true" outlineLevel="0" collapsed="false">
      <c r="C239" s="5"/>
      <c r="V239" s="6"/>
      <c r="W239" s="6"/>
      <c r="X239" s="6"/>
      <c r="Y239" s="6"/>
      <c r="Z239" s="6"/>
      <c r="AA239" s="6"/>
      <c r="AB239" s="6"/>
      <c r="AC239" s="6"/>
      <c r="AD239" s="6"/>
      <c r="AM239" s="7"/>
      <c r="AN239" s="6"/>
      <c r="AO239" s="7"/>
      <c r="AP239" s="7"/>
      <c r="AR239" s="7"/>
      <c r="AS239" s="8"/>
      <c r="AW239" s="8"/>
      <c r="AX239" s="6"/>
      <c r="AY239" s="7"/>
      <c r="BA239" s="5"/>
    </row>
    <row r="240" customFormat="false" ht="18" hidden="false" customHeight="true" outlineLevel="0" collapsed="false">
      <c r="C240" s="5"/>
      <c r="V240" s="6"/>
      <c r="W240" s="6"/>
      <c r="X240" s="6"/>
      <c r="Y240" s="6"/>
      <c r="Z240" s="6"/>
      <c r="AA240" s="6"/>
      <c r="AB240" s="6"/>
      <c r="AC240" s="6"/>
      <c r="AD240" s="6"/>
      <c r="AM240" s="7"/>
      <c r="AN240" s="6"/>
      <c r="AO240" s="7"/>
      <c r="AP240" s="7"/>
      <c r="AR240" s="7"/>
      <c r="AS240" s="8"/>
      <c r="AW240" s="8"/>
      <c r="AX240" s="6"/>
      <c r="AY240" s="7"/>
      <c r="BA240" s="5"/>
    </row>
    <row r="241" customFormat="false" ht="18" hidden="false" customHeight="true" outlineLevel="0" collapsed="false">
      <c r="C241" s="5"/>
      <c r="V241" s="6"/>
      <c r="W241" s="6"/>
      <c r="X241" s="6"/>
      <c r="Y241" s="6"/>
      <c r="Z241" s="6"/>
      <c r="AA241" s="6"/>
      <c r="AB241" s="6"/>
      <c r="AC241" s="6"/>
      <c r="AD241" s="6"/>
      <c r="AM241" s="7"/>
      <c r="AN241" s="6"/>
      <c r="AO241" s="7"/>
      <c r="AP241" s="7"/>
      <c r="AR241" s="7"/>
      <c r="AS241" s="8"/>
      <c r="AW241" s="8"/>
      <c r="AX241" s="6"/>
      <c r="AY241" s="7"/>
      <c r="BA241" s="5"/>
    </row>
    <row r="242" customFormat="false" ht="18" hidden="false" customHeight="true" outlineLevel="0" collapsed="false">
      <c r="C242" s="5"/>
      <c r="V242" s="6"/>
      <c r="W242" s="6"/>
      <c r="X242" s="6"/>
      <c r="Y242" s="6"/>
      <c r="Z242" s="6"/>
      <c r="AA242" s="6"/>
      <c r="AB242" s="6"/>
      <c r="AC242" s="6"/>
      <c r="AD242" s="6"/>
      <c r="AM242" s="7"/>
      <c r="AN242" s="6"/>
      <c r="AO242" s="7"/>
      <c r="AP242" s="7"/>
      <c r="AR242" s="7"/>
      <c r="AS242" s="8"/>
      <c r="AW242" s="8"/>
      <c r="AX242" s="6"/>
      <c r="AY242" s="7"/>
      <c r="BA242" s="5"/>
    </row>
    <row r="243" customFormat="false" ht="18" hidden="false" customHeight="true" outlineLevel="0" collapsed="false">
      <c r="C243" s="5"/>
      <c r="V243" s="6"/>
      <c r="W243" s="6"/>
      <c r="X243" s="6"/>
      <c r="Y243" s="6"/>
      <c r="Z243" s="6"/>
      <c r="AA243" s="6"/>
      <c r="AB243" s="6"/>
      <c r="AC243" s="6"/>
      <c r="AD243" s="6"/>
      <c r="AM243" s="7"/>
      <c r="AN243" s="6"/>
      <c r="AO243" s="7"/>
      <c r="AP243" s="7"/>
      <c r="AR243" s="7"/>
      <c r="AS243" s="8"/>
      <c r="AW243" s="8"/>
      <c r="AX243" s="6"/>
      <c r="AY243" s="7"/>
      <c r="BA243" s="5"/>
    </row>
    <row r="244" customFormat="false" ht="18" hidden="false" customHeight="true" outlineLevel="0" collapsed="false">
      <c r="C244" s="5"/>
      <c r="V244" s="6"/>
      <c r="W244" s="6"/>
      <c r="X244" s="6"/>
      <c r="Y244" s="6"/>
      <c r="Z244" s="6"/>
      <c r="AA244" s="6"/>
      <c r="AB244" s="6"/>
      <c r="AC244" s="6"/>
      <c r="AD244" s="6"/>
      <c r="AM244" s="7"/>
      <c r="AN244" s="6"/>
      <c r="AO244" s="7"/>
      <c r="AP244" s="7"/>
      <c r="AR244" s="7"/>
      <c r="AS244" s="8"/>
      <c r="AW244" s="8"/>
      <c r="AX244" s="6"/>
      <c r="AY244" s="7"/>
      <c r="BA244" s="5"/>
    </row>
    <row r="245" customFormat="false" ht="18" hidden="false" customHeight="true" outlineLevel="0" collapsed="false">
      <c r="C245" s="5"/>
      <c r="V245" s="6"/>
      <c r="W245" s="6"/>
      <c r="X245" s="6"/>
      <c r="Y245" s="6"/>
      <c r="Z245" s="6"/>
      <c r="AA245" s="6"/>
      <c r="AB245" s="6"/>
      <c r="AC245" s="6"/>
      <c r="AD245" s="6"/>
      <c r="AM245" s="7"/>
      <c r="AN245" s="6"/>
      <c r="AO245" s="7"/>
      <c r="AP245" s="7"/>
      <c r="AR245" s="7"/>
      <c r="AS245" s="8"/>
      <c r="AW245" s="8"/>
      <c r="AX245" s="6"/>
      <c r="AY245" s="7"/>
      <c r="BA245" s="5"/>
    </row>
    <row r="246" customFormat="false" ht="18" hidden="false" customHeight="true" outlineLevel="0" collapsed="false">
      <c r="C246" s="5"/>
      <c r="V246" s="6"/>
      <c r="W246" s="6"/>
      <c r="X246" s="6"/>
      <c r="Y246" s="6"/>
      <c r="Z246" s="6"/>
      <c r="AA246" s="6"/>
      <c r="AB246" s="6"/>
      <c r="AC246" s="6"/>
      <c r="AD246" s="6"/>
      <c r="AM246" s="7"/>
      <c r="AN246" s="6"/>
      <c r="AO246" s="7"/>
      <c r="AP246" s="7"/>
      <c r="AR246" s="7"/>
      <c r="AS246" s="8"/>
      <c r="AW246" s="8"/>
      <c r="AX246" s="6"/>
      <c r="AY246" s="7"/>
      <c r="BA246" s="5"/>
    </row>
    <row r="247" customFormat="false" ht="18" hidden="false" customHeight="true" outlineLevel="0" collapsed="false">
      <c r="C247" s="5"/>
      <c r="V247" s="6"/>
      <c r="W247" s="6"/>
      <c r="X247" s="6"/>
      <c r="Y247" s="6"/>
      <c r="Z247" s="6"/>
      <c r="AA247" s="6"/>
      <c r="AB247" s="6"/>
      <c r="AC247" s="6"/>
      <c r="AD247" s="6"/>
      <c r="AM247" s="7"/>
      <c r="AN247" s="6"/>
      <c r="AO247" s="7"/>
      <c r="AP247" s="7"/>
      <c r="AR247" s="7"/>
      <c r="AS247" s="8"/>
      <c r="AW247" s="8"/>
      <c r="AX247" s="6"/>
      <c r="AY247" s="7"/>
      <c r="BA247" s="5"/>
    </row>
    <row r="248" customFormat="false" ht="18" hidden="false" customHeight="true" outlineLevel="0" collapsed="false">
      <c r="C248" s="5"/>
      <c r="V248" s="6"/>
      <c r="W248" s="6"/>
      <c r="X248" s="6"/>
      <c r="Y248" s="6"/>
      <c r="Z248" s="6"/>
      <c r="AA248" s="6"/>
      <c r="AB248" s="6"/>
      <c r="AC248" s="6"/>
      <c r="AD248" s="6"/>
      <c r="AM248" s="7"/>
      <c r="AN248" s="6"/>
      <c r="AO248" s="7"/>
      <c r="AP248" s="7"/>
      <c r="AR248" s="7"/>
      <c r="AS248" s="8"/>
      <c r="AW248" s="8"/>
      <c r="AX248" s="6"/>
      <c r="AY248" s="7"/>
      <c r="BA248" s="5"/>
    </row>
    <row r="249" customFormat="false" ht="18" hidden="false" customHeight="true" outlineLevel="0" collapsed="false">
      <c r="C249" s="5"/>
      <c r="V249" s="6"/>
      <c r="W249" s="6"/>
      <c r="X249" s="6"/>
      <c r="Y249" s="6"/>
      <c r="Z249" s="6"/>
      <c r="AA249" s="6"/>
      <c r="AB249" s="6"/>
      <c r="AC249" s="6"/>
      <c r="AD249" s="6"/>
      <c r="AM249" s="7"/>
      <c r="AN249" s="6"/>
      <c r="AO249" s="7"/>
      <c r="AP249" s="7"/>
      <c r="AR249" s="7"/>
      <c r="AS249" s="8"/>
      <c r="AW249" s="8"/>
      <c r="AX249" s="6"/>
      <c r="AY249" s="7"/>
      <c r="BA249" s="5"/>
    </row>
    <row r="250" customFormat="false" ht="18" hidden="false" customHeight="true" outlineLevel="0" collapsed="false">
      <c r="C250" s="5"/>
      <c r="V250" s="6"/>
      <c r="W250" s="6"/>
      <c r="X250" s="6"/>
      <c r="Y250" s="6"/>
      <c r="Z250" s="6"/>
      <c r="AA250" s="6"/>
      <c r="AB250" s="6"/>
      <c r="AC250" s="6"/>
      <c r="AD250" s="6"/>
      <c r="AM250" s="7"/>
      <c r="AN250" s="6"/>
      <c r="AO250" s="7"/>
      <c r="AP250" s="7"/>
      <c r="AR250" s="7"/>
      <c r="AS250" s="8"/>
      <c r="AW250" s="8"/>
      <c r="AX250" s="6"/>
      <c r="AY250" s="7"/>
      <c r="BA250" s="5"/>
    </row>
    <row r="251" customFormat="false" ht="18" hidden="false" customHeight="true" outlineLevel="0" collapsed="false">
      <c r="C251" s="5"/>
      <c r="V251" s="6"/>
      <c r="W251" s="6"/>
      <c r="X251" s="6"/>
      <c r="Y251" s="6"/>
      <c r="Z251" s="6"/>
      <c r="AA251" s="6"/>
      <c r="AB251" s="6"/>
      <c r="AC251" s="6"/>
      <c r="AD251" s="6"/>
      <c r="AM251" s="7"/>
      <c r="AN251" s="6"/>
      <c r="AO251" s="7"/>
      <c r="AP251" s="7"/>
      <c r="AR251" s="7"/>
      <c r="AS251" s="8"/>
      <c r="AW251" s="8"/>
      <c r="AX251" s="6"/>
      <c r="AY251" s="7"/>
      <c r="BA251" s="5"/>
    </row>
    <row r="252" customFormat="false" ht="18" hidden="false" customHeight="true" outlineLevel="0" collapsed="false">
      <c r="C252" s="5"/>
      <c r="V252" s="6"/>
      <c r="W252" s="6"/>
      <c r="X252" s="6"/>
      <c r="Y252" s="6"/>
      <c r="Z252" s="6"/>
      <c r="AA252" s="6"/>
      <c r="AB252" s="6"/>
      <c r="AC252" s="6"/>
      <c r="AD252" s="6"/>
      <c r="AM252" s="7"/>
      <c r="AN252" s="6"/>
      <c r="AO252" s="7"/>
      <c r="AP252" s="7"/>
      <c r="AR252" s="7"/>
      <c r="AS252" s="8"/>
      <c r="AW252" s="8"/>
      <c r="AX252" s="6"/>
      <c r="AY252" s="7"/>
      <c r="BA252" s="5"/>
    </row>
    <row r="253" customFormat="false" ht="18" hidden="false" customHeight="true" outlineLevel="0" collapsed="false">
      <c r="C253" s="5"/>
      <c r="V253" s="6"/>
      <c r="W253" s="6"/>
      <c r="X253" s="6"/>
      <c r="Y253" s="6"/>
      <c r="Z253" s="6"/>
      <c r="AA253" s="6"/>
      <c r="AB253" s="6"/>
      <c r="AC253" s="6"/>
      <c r="AD253" s="6"/>
      <c r="AM253" s="7"/>
      <c r="AN253" s="6"/>
      <c r="AO253" s="7"/>
      <c r="AP253" s="7"/>
      <c r="AR253" s="7"/>
      <c r="AS253" s="8"/>
      <c r="AW253" s="8"/>
      <c r="AX253" s="6"/>
      <c r="AY253" s="7"/>
      <c r="BA253" s="5"/>
    </row>
    <row r="254" customFormat="false" ht="18" hidden="false" customHeight="true" outlineLevel="0" collapsed="false">
      <c r="C254" s="5"/>
      <c r="V254" s="6"/>
      <c r="W254" s="6"/>
      <c r="X254" s="6"/>
      <c r="Y254" s="6"/>
      <c r="Z254" s="6"/>
      <c r="AA254" s="6"/>
      <c r="AB254" s="6"/>
      <c r="AC254" s="6"/>
      <c r="AD254" s="6"/>
      <c r="AM254" s="7"/>
      <c r="AN254" s="6"/>
      <c r="AO254" s="7"/>
      <c r="AP254" s="7"/>
      <c r="AR254" s="7"/>
      <c r="AS254" s="8"/>
      <c r="AW254" s="8"/>
      <c r="AX254" s="6"/>
      <c r="AY254" s="7"/>
      <c r="BA254" s="5"/>
    </row>
    <row r="255" customFormat="false" ht="18" hidden="false" customHeight="true" outlineLevel="0" collapsed="false">
      <c r="C255" s="5"/>
      <c r="V255" s="6"/>
      <c r="W255" s="6"/>
      <c r="X255" s="6"/>
      <c r="Y255" s="6"/>
      <c r="Z255" s="6"/>
      <c r="AA255" s="6"/>
      <c r="AB255" s="6"/>
      <c r="AC255" s="6"/>
      <c r="AD255" s="6"/>
      <c r="AM255" s="7"/>
      <c r="AN255" s="6"/>
      <c r="AO255" s="7"/>
      <c r="AP255" s="7"/>
      <c r="AR255" s="7"/>
      <c r="AS255" s="8"/>
      <c r="AW255" s="8"/>
      <c r="AX255" s="6"/>
      <c r="AY255" s="7"/>
      <c r="BA255" s="5"/>
    </row>
    <row r="256" customFormat="false" ht="18" hidden="false" customHeight="true" outlineLevel="0" collapsed="false">
      <c r="C256" s="5"/>
      <c r="V256" s="6"/>
      <c r="W256" s="6"/>
      <c r="X256" s="6"/>
      <c r="Y256" s="6"/>
      <c r="Z256" s="6"/>
      <c r="AA256" s="6"/>
      <c r="AB256" s="6"/>
      <c r="AC256" s="6"/>
      <c r="AD256" s="6"/>
      <c r="AM256" s="7"/>
      <c r="AN256" s="6"/>
      <c r="AO256" s="7"/>
      <c r="AP256" s="7"/>
      <c r="AR256" s="7"/>
      <c r="AS256" s="8"/>
      <c r="AW256" s="8"/>
      <c r="AX256" s="6"/>
      <c r="AY256" s="7"/>
      <c r="BA256" s="5"/>
    </row>
    <row r="257" customFormat="false" ht="18" hidden="false" customHeight="true" outlineLevel="0" collapsed="false">
      <c r="C257" s="5"/>
      <c r="V257" s="6"/>
      <c r="W257" s="6"/>
      <c r="X257" s="6"/>
      <c r="Y257" s="6"/>
      <c r="Z257" s="6"/>
      <c r="AA257" s="6"/>
      <c r="AB257" s="6"/>
      <c r="AC257" s="6"/>
      <c r="AD257" s="6"/>
      <c r="AM257" s="7"/>
      <c r="AN257" s="6"/>
      <c r="AO257" s="7"/>
      <c r="AP257" s="7"/>
      <c r="AR257" s="7"/>
      <c r="AS257" s="8"/>
      <c r="AW257" s="8"/>
      <c r="AX257" s="6"/>
      <c r="AY257" s="7"/>
      <c r="BA257" s="5"/>
    </row>
    <row r="258" customFormat="false" ht="18" hidden="false" customHeight="true" outlineLevel="0" collapsed="false">
      <c r="C258" s="5"/>
      <c r="V258" s="6"/>
      <c r="W258" s="6"/>
      <c r="X258" s="6"/>
      <c r="Y258" s="6"/>
      <c r="Z258" s="6"/>
      <c r="AA258" s="6"/>
      <c r="AB258" s="6"/>
      <c r="AC258" s="6"/>
      <c r="AD258" s="6"/>
      <c r="AM258" s="7"/>
      <c r="AN258" s="6"/>
      <c r="AO258" s="7"/>
      <c r="AP258" s="7"/>
      <c r="AR258" s="7"/>
      <c r="AS258" s="8"/>
      <c r="AW258" s="8"/>
      <c r="AX258" s="6"/>
      <c r="AY258" s="7"/>
      <c r="BA258" s="5"/>
    </row>
    <row r="259" customFormat="false" ht="18" hidden="false" customHeight="true" outlineLevel="0" collapsed="false">
      <c r="C259" s="5"/>
      <c r="V259" s="6"/>
      <c r="W259" s="6"/>
      <c r="X259" s="6"/>
      <c r="Y259" s="6"/>
      <c r="Z259" s="6"/>
      <c r="AA259" s="6"/>
      <c r="AB259" s="6"/>
      <c r="AC259" s="6"/>
      <c r="AD259" s="6"/>
      <c r="AM259" s="7"/>
      <c r="AN259" s="6"/>
      <c r="AO259" s="7"/>
      <c r="AP259" s="7"/>
      <c r="AR259" s="7"/>
      <c r="AS259" s="8"/>
      <c r="AW259" s="8"/>
      <c r="AX259" s="6"/>
      <c r="AY259" s="7"/>
      <c r="BA259" s="5"/>
    </row>
    <row r="260" customFormat="false" ht="18" hidden="false" customHeight="true" outlineLevel="0" collapsed="false">
      <c r="C260" s="5"/>
      <c r="V260" s="6"/>
      <c r="W260" s="6"/>
      <c r="X260" s="6"/>
      <c r="Y260" s="6"/>
      <c r="Z260" s="6"/>
      <c r="AA260" s="6"/>
      <c r="AB260" s="6"/>
      <c r="AC260" s="6"/>
      <c r="AD260" s="6"/>
      <c r="AM260" s="7"/>
      <c r="AN260" s="6"/>
      <c r="AO260" s="7"/>
      <c r="AP260" s="7"/>
      <c r="AR260" s="7"/>
      <c r="AS260" s="8"/>
      <c r="AW260" s="8"/>
      <c r="AX260" s="6"/>
      <c r="AY260" s="7"/>
      <c r="BA260" s="5"/>
    </row>
    <row r="261" customFormat="false" ht="18" hidden="false" customHeight="true" outlineLevel="0" collapsed="false">
      <c r="C261" s="5"/>
      <c r="V261" s="6"/>
      <c r="W261" s="6"/>
      <c r="X261" s="6"/>
      <c r="Y261" s="6"/>
      <c r="Z261" s="6"/>
      <c r="AA261" s="6"/>
      <c r="AB261" s="6"/>
      <c r="AC261" s="6"/>
      <c r="AD261" s="6"/>
      <c r="AM261" s="7"/>
      <c r="AN261" s="6"/>
      <c r="AO261" s="7"/>
      <c r="AP261" s="7"/>
      <c r="AR261" s="7"/>
      <c r="AS261" s="8"/>
      <c r="AW261" s="8"/>
      <c r="AX261" s="6"/>
      <c r="AY261" s="7"/>
      <c r="BA261" s="5"/>
    </row>
    <row r="262" customFormat="false" ht="18" hidden="false" customHeight="true" outlineLevel="0" collapsed="false">
      <c r="C262" s="5"/>
      <c r="V262" s="6"/>
      <c r="W262" s="6"/>
      <c r="X262" s="6"/>
      <c r="Y262" s="6"/>
      <c r="Z262" s="6"/>
      <c r="AA262" s="6"/>
      <c r="AB262" s="6"/>
      <c r="AC262" s="6"/>
      <c r="AD262" s="6"/>
      <c r="AM262" s="7"/>
      <c r="AN262" s="6"/>
      <c r="AO262" s="7"/>
      <c r="AP262" s="7"/>
      <c r="AR262" s="7"/>
      <c r="AS262" s="8"/>
      <c r="AW262" s="8"/>
      <c r="AX262" s="6"/>
      <c r="AY262" s="7"/>
      <c r="BA262" s="5"/>
    </row>
    <row r="263" customFormat="false" ht="18" hidden="false" customHeight="true" outlineLevel="0" collapsed="false">
      <c r="C263" s="5"/>
      <c r="V263" s="6"/>
      <c r="W263" s="6"/>
      <c r="X263" s="6"/>
      <c r="Y263" s="6"/>
      <c r="Z263" s="6"/>
      <c r="AA263" s="6"/>
      <c r="AB263" s="6"/>
      <c r="AC263" s="6"/>
      <c r="AD263" s="6"/>
      <c r="AM263" s="7"/>
      <c r="AN263" s="6"/>
      <c r="AO263" s="7"/>
      <c r="AP263" s="7"/>
      <c r="AR263" s="7"/>
      <c r="AS263" s="8"/>
      <c r="AW263" s="8"/>
      <c r="AX263" s="6"/>
      <c r="AY263" s="7"/>
      <c r="BA263" s="5"/>
    </row>
    <row r="264" customFormat="false" ht="18" hidden="false" customHeight="true" outlineLevel="0" collapsed="false">
      <c r="C264" s="5"/>
      <c r="V264" s="6"/>
      <c r="W264" s="6"/>
      <c r="X264" s="6"/>
      <c r="Y264" s="6"/>
      <c r="Z264" s="6"/>
      <c r="AA264" s="6"/>
      <c r="AB264" s="6"/>
      <c r="AC264" s="6"/>
      <c r="AD264" s="6"/>
      <c r="AM264" s="7"/>
      <c r="AN264" s="6"/>
      <c r="AO264" s="7"/>
      <c r="AP264" s="7"/>
      <c r="AR264" s="7"/>
      <c r="AS264" s="8"/>
      <c r="AW264" s="8"/>
      <c r="AX264" s="6"/>
      <c r="AY264" s="7"/>
      <c r="BA264" s="5"/>
    </row>
    <row r="265" customFormat="false" ht="18" hidden="false" customHeight="true" outlineLevel="0" collapsed="false">
      <c r="C265" s="5"/>
      <c r="V265" s="6"/>
      <c r="W265" s="6"/>
      <c r="X265" s="6"/>
      <c r="Y265" s="6"/>
      <c r="Z265" s="6"/>
      <c r="AA265" s="6"/>
      <c r="AB265" s="6"/>
      <c r="AC265" s="6"/>
      <c r="AD265" s="6"/>
      <c r="AM265" s="7"/>
      <c r="AN265" s="6"/>
      <c r="AO265" s="7"/>
      <c r="AP265" s="7"/>
      <c r="AR265" s="7"/>
      <c r="AS265" s="8"/>
      <c r="AW265" s="8"/>
      <c r="AX265" s="6"/>
      <c r="AY265" s="7"/>
      <c r="BA265" s="5"/>
    </row>
    <row r="266" customFormat="false" ht="18" hidden="false" customHeight="true" outlineLevel="0" collapsed="false">
      <c r="C266" s="5"/>
      <c r="V266" s="6"/>
      <c r="W266" s="6"/>
      <c r="X266" s="6"/>
      <c r="Y266" s="6"/>
      <c r="Z266" s="6"/>
      <c r="AA266" s="6"/>
      <c r="AB266" s="6"/>
      <c r="AC266" s="6"/>
      <c r="AD266" s="6"/>
      <c r="AM266" s="7"/>
      <c r="AN266" s="6"/>
      <c r="AO266" s="7"/>
      <c r="AP266" s="7"/>
      <c r="AR266" s="7"/>
      <c r="AS266" s="8"/>
      <c r="AW266" s="8"/>
      <c r="AX266" s="6"/>
      <c r="AY266" s="7"/>
      <c r="BA266" s="5"/>
    </row>
    <row r="267" customFormat="false" ht="18" hidden="false" customHeight="true" outlineLevel="0" collapsed="false">
      <c r="C267" s="5"/>
      <c r="V267" s="6"/>
      <c r="W267" s="6"/>
      <c r="X267" s="6"/>
      <c r="Y267" s="6"/>
      <c r="Z267" s="6"/>
      <c r="AA267" s="6"/>
      <c r="AB267" s="6"/>
      <c r="AC267" s="6"/>
      <c r="AD267" s="6"/>
      <c r="AM267" s="7"/>
      <c r="AN267" s="6"/>
      <c r="AO267" s="7"/>
      <c r="AP267" s="7"/>
      <c r="AR267" s="7"/>
      <c r="AS267" s="8"/>
      <c r="AW267" s="8"/>
      <c r="AX267" s="6"/>
      <c r="AY267" s="7"/>
      <c r="BA267" s="5"/>
    </row>
    <row r="268" customFormat="false" ht="18" hidden="false" customHeight="true" outlineLevel="0" collapsed="false">
      <c r="C268" s="5"/>
      <c r="V268" s="6"/>
      <c r="W268" s="6"/>
      <c r="X268" s="6"/>
      <c r="Y268" s="6"/>
      <c r="Z268" s="6"/>
      <c r="AA268" s="6"/>
      <c r="AB268" s="6"/>
      <c r="AC268" s="6"/>
      <c r="AD268" s="6"/>
      <c r="AM268" s="7"/>
      <c r="AN268" s="6"/>
      <c r="AO268" s="7"/>
      <c r="AP268" s="7"/>
      <c r="AR268" s="7"/>
      <c r="AS268" s="8"/>
      <c r="AW268" s="8"/>
      <c r="AX268" s="6"/>
      <c r="AY268" s="7"/>
      <c r="BA268" s="5"/>
    </row>
    <row r="269" customFormat="false" ht="18" hidden="false" customHeight="true" outlineLevel="0" collapsed="false">
      <c r="C269" s="5"/>
      <c r="V269" s="6"/>
      <c r="W269" s="6"/>
      <c r="X269" s="6"/>
      <c r="Y269" s="6"/>
      <c r="Z269" s="6"/>
      <c r="AA269" s="6"/>
      <c r="AB269" s="6"/>
      <c r="AC269" s="6"/>
      <c r="AD269" s="6"/>
      <c r="AM269" s="7"/>
      <c r="AN269" s="6"/>
      <c r="AO269" s="7"/>
      <c r="AP269" s="7"/>
      <c r="AR269" s="7"/>
      <c r="AS269" s="8"/>
      <c r="AW269" s="8"/>
      <c r="AX269" s="6"/>
      <c r="AY269" s="7"/>
      <c r="BA269" s="5"/>
    </row>
    <row r="270" customFormat="false" ht="18" hidden="false" customHeight="true" outlineLevel="0" collapsed="false">
      <c r="C270" s="5"/>
      <c r="V270" s="6"/>
      <c r="W270" s="6"/>
      <c r="X270" s="6"/>
      <c r="Y270" s="6"/>
      <c r="Z270" s="6"/>
      <c r="AA270" s="6"/>
      <c r="AB270" s="6"/>
      <c r="AC270" s="6"/>
      <c r="AD270" s="6"/>
      <c r="AM270" s="7"/>
      <c r="AN270" s="6"/>
      <c r="AO270" s="7"/>
      <c r="AP270" s="7"/>
      <c r="AR270" s="7"/>
      <c r="AS270" s="8"/>
      <c r="AW270" s="8"/>
      <c r="AX270" s="6"/>
      <c r="AY270" s="7"/>
      <c r="BA270" s="5"/>
    </row>
    <row r="271" customFormat="false" ht="18" hidden="false" customHeight="true" outlineLevel="0" collapsed="false">
      <c r="C271" s="5"/>
      <c r="V271" s="6"/>
      <c r="W271" s="6"/>
      <c r="X271" s="6"/>
      <c r="Y271" s="6"/>
      <c r="Z271" s="6"/>
      <c r="AA271" s="6"/>
      <c r="AB271" s="6"/>
      <c r="AC271" s="6"/>
      <c r="AD271" s="6"/>
      <c r="AM271" s="7"/>
      <c r="AN271" s="6"/>
      <c r="AO271" s="7"/>
      <c r="AP271" s="7"/>
      <c r="AR271" s="7"/>
      <c r="AS271" s="8"/>
      <c r="AW271" s="8"/>
      <c r="AX271" s="6"/>
      <c r="AY271" s="7"/>
      <c r="BA271" s="5"/>
    </row>
    <row r="272" customFormat="false" ht="18" hidden="false" customHeight="true" outlineLevel="0" collapsed="false">
      <c r="C272" s="5"/>
      <c r="V272" s="6"/>
      <c r="W272" s="6"/>
      <c r="X272" s="6"/>
      <c r="Y272" s="6"/>
      <c r="Z272" s="6"/>
      <c r="AA272" s="6"/>
      <c r="AB272" s="6"/>
      <c r="AC272" s="6"/>
      <c r="AD272" s="6"/>
      <c r="AM272" s="7"/>
      <c r="AN272" s="6"/>
      <c r="AO272" s="7"/>
      <c r="AP272" s="7"/>
      <c r="AR272" s="7"/>
      <c r="AS272" s="8"/>
      <c r="AW272" s="8"/>
      <c r="AX272" s="6"/>
      <c r="AY272" s="7"/>
      <c r="BA272" s="5"/>
    </row>
    <row r="273" customFormat="false" ht="18" hidden="false" customHeight="true" outlineLevel="0" collapsed="false">
      <c r="C273" s="5"/>
      <c r="V273" s="6"/>
      <c r="W273" s="6"/>
      <c r="X273" s="6"/>
      <c r="Y273" s="6"/>
      <c r="Z273" s="6"/>
      <c r="AA273" s="6"/>
      <c r="AB273" s="6"/>
      <c r="AC273" s="6"/>
      <c r="AD273" s="6"/>
      <c r="AM273" s="7"/>
      <c r="AN273" s="6"/>
      <c r="AO273" s="7"/>
      <c r="AP273" s="7"/>
      <c r="AR273" s="7"/>
      <c r="AS273" s="8"/>
      <c r="AW273" s="8"/>
      <c r="AX273" s="6"/>
      <c r="AY273" s="7"/>
      <c r="BA273" s="5"/>
    </row>
    <row r="274" customFormat="false" ht="18" hidden="false" customHeight="true" outlineLevel="0" collapsed="false">
      <c r="C274" s="5"/>
      <c r="V274" s="6"/>
      <c r="W274" s="6"/>
      <c r="X274" s="6"/>
      <c r="Y274" s="6"/>
      <c r="Z274" s="6"/>
      <c r="AA274" s="6"/>
      <c r="AB274" s="6"/>
      <c r="AC274" s="6"/>
      <c r="AD274" s="6"/>
      <c r="AM274" s="7"/>
      <c r="AN274" s="6"/>
      <c r="AO274" s="7"/>
      <c r="AP274" s="7"/>
      <c r="AR274" s="7"/>
      <c r="AS274" s="8"/>
      <c r="AW274" s="8"/>
      <c r="AX274" s="6"/>
      <c r="AY274" s="7"/>
      <c r="BA274" s="5"/>
    </row>
    <row r="275" customFormat="false" ht="18" hidden="false" customHeight="true" outlineLevel="0" collapsed="false">
      <c r="C275" s="5"/>
      <c r="V275" s="6"/>
      <c r="W275" s="6"/>
      <c r="X275" s="6"/>
      <c r="Y275" s="6"/>
      <c r="Z275" s="6"/>
      <c r="AA275" s="6"/>
      <c r="AB275" s="6"/>
      <c r="AC275" s="6"/>
      <c r="AD275" s="6"/>
      <c r="AM275" s="7"/>
      <c r="AN275" s="6"/>
      <c r="AO275" s="7"/>
      <c r="AP275" s="7"/>
      <c r="AR275" s="7"/>
      <c r="AS275" s="8"/>
      <c r="AW275" s="8"/>
      <c r="AX275" s="6"/>
      <c r="AY275" s="7"/>
      <c r="BA275" s="5"/>
    </row>
    <row r="276" customFormat="false" ht="18" hidden="false" customHeight="true" outlineLevel="0" collapsed="false">
      <c r="C276" s="5"/>
      <c r="V276" s="6"/>
      <c r="W276" s="6"/>
      <c r="X276" s="6"/>
      <c r="Y276" s="6"/>
      <c r="Z276" s="6"/>
      <c r="AA276" s="6"/>
      <c r="AB276" s="6"/>
      <c r="AC276" s="6"/>
      <c r="AD276" s="6"/>
      <c r="AM276" s="7"/>
      <c r="AN276" s="6"/>
      <c r="AO276" s="7"/>
      <c r="AP276" s="7"/>
      <c r="AR276" s="7"/>
      <c r="AS276" s="8"/>
      <c r="AW276" s="8"/>
      <c r="AX276" s="6"/>
      <c r="AY276" s="7"/>
      <c r="BA276" s="5"/>
    </row>
    <row r="277" customFormat="false" ht="18" hidden="false" customHeight="true" outlineLevel="0" collapsed="false">
      <c r="C277" s="5"/>
      <c r="V277" s="6"/>
      <c r="W277" s="6"/>
      <c r="X277" s="6"/>
      <c r="Y277" s="6"/>
      <c r="Z277" s="6"/>
      <c r="AA277" s="6"/>
      <c r="AB277" s="6"/>
      <c r="AC277" s="6"/>
      <c r="AD277" s="6"/>
      <c r="AM277" s="7"/>
      <c r="AN277" s="6"/>
      <c r="AO277" s="7"/>
      <c r="AP277" s="7"/>
      <c r="AR277" s="7"/>
      <c r="AS277" s="8"/>
      <c r="AW277" s="8"/>
      <c r="AX277" s="6"/>
      <c r="AY277" s="7"/>
      <c r="BA277" s="5"/>
    </row>
    <row r="278" customFormat="false" ht="18" hidden="false" customHeight="true" outlineLevel="0" collapsed="false">
      <c r="C278" s="5"/>
      <c r="V278" s="6"/>
      <c r="W278" s="6"/>
      <c r="X278" s="6"/>
      <c r="Y278" s="6"/>
      <c r="Z278" s="6"/>
      <c r="AA278" s="6"/>
      <c r="AB278" s="6"/>
      <c r="AC278" s="6"/>
      <c r="AD278" s="6"/>
      <c r="AM278" s="7"/>
      <c r="AN278" s="6"/>
      <c r="AO278" s="7"/>
      <c r="AP278" s="7"/>
      <c r="AR278" s="7"/>
      <c r="AS278" s="8"/>
      <c r="AW278" s="8"/>
      <c r="AX278" s="6"/>
      <c r="AY278" s="7"/>
      <c r="BA278" s="5"/>
    </row>
    <row r="279" customFormat="false" ht="18" hidden="false" customHeight="true" outlineLevel="0" collapsed="false">
      <c r="C279" s="5"/>
      <c r="V279" s="6"/>
      <c r="W279" s="6"/>
      <c r="X279" s="6"/>
      <c r="Y279" s="6"/>
      <c r="Z279" s="6"/>
      <c r="AA279" s="6"/>
      <c r="AB279" s="6"/>
      <c r="AC279" s="6"/>
      <c r="AD279" s="6"/>
      <c r="AM279" s="7"/>
      <c r="AN279" s="6"/>
      <c r="AO279" s="7"/>
      <c r="AP279" s="7"/>
      <c r="AR279" s="7"/>
      <c r="AS279" s="8"/>
      <c r="AW279" s="8"/>
      <c r="AX279" s="6"/>
      <c r="AY279" s="7"/>
      <c r="BA279" s="5"/>
    </row>
    <row r="280" customFormat="false" ht="18" hidden="false" customHeight="true" outlineLevel="0" collapsed="false">
      <c r="C280" s="5"/>
      <c r="V280" s="6"/>
      <c r="W280" s="6"/>
      <c r="X280" s="6"/>
      <c r="Y280" s="6"/>
      <c r="Z280" s="6"/>
      <c r="AA280" s="6"/>
      <c r="AB280" s="6"/>
      <c r="AC280" s="6"/>
      <c r="AD280" s="6"/>
      <c r="AM280" s="7"/>
      <c r="AN280" s="6"/>
      <c r="AO280" s="7"/>
      <c r="AP280" s="7"/>
      <c r="AR280" s="7"/>
      <c r="AS280" s="8"/>
      <c r="AW280" s="8"/>
      <c r="AX280" s="6"/>
      <c r="AY280" s="7"/>
      <c r="BA280" s="5"/>
    </row>
    <row r="281" customFormat="false" ht="18" hidden="false" customHeight="true" outlineLevel="0" collapsed="false">
      <c r="C281" s="5"/>
      <c r="V281" s="6"/>
      <c r="W281" s="6"/>
      <c r="X281" s="6"/>
      <c r="Y281" s="6"/>
      <c r="Z281" s="6"/>
      <c r="AA281" s="6"/>
      <c r="AB281" s="6"/>
      <c r="AC281" s="6"/>
      <c r="AD281" s="6"/>
      <c r="AM281" s="7"/>
      <c r="AN281" s="6"/>
      <c r="AO281" s="7"/>
      <c r="AP281" s="7"/>
      <c r="AR281" s="7"/>
      <c r="AS281" s="8"/>
      <c r="AW281" s="8"/>
      <c r="AX281" s="6"/>
      <c r="AY281" s="7"/>
      <c r="BA281" s="5"/>
    </row>
    <row r="282" customFormat="false" ht="18" hidden="false" customHeight="true" outlineLevel="0" collapsed="false">
      <c r="C282" s="5"/>
      <c r="V282" s="6"/>
      <c r="W282" s="6"/>
      <c r="X282" s="6"/>
      <c r="Y282" s="6"/>
      <c r="Z282" s="6"/>
      <c r="AA282" s="6"/>
      <c r="AB282" s="6"/>
      <c r="AC282" s="6"/>
      <c r="AD282" s="6"/>
      <c r="AM282" s="7"/>
      <c r="AN282" s="6"/>
      <c r="AO282" s="7"/>
      <c r="AP282" s="7"/>
      <c r="AR282" s="7"/>
      <c r="AS282" s="8"/>
      <c r="AW282" s="8"/>
      <c r="AX282" s="6"/>
      <c r="AY282" s="7"/>
      <c r="BA282" s="5"/>
    </row>
    <row r="283" customFormat="false" ht="18" hidden="false" customHeight="true" outlineLevel="0" collapsed="false">
      <c r="C283" s="5"/>
      <c r="V283" s="6"/>
      <c r="W283" s="6"/>
      <c r="X283" s="6"/>
      <c r="Y283" s="6"/>
      <c r="Z283" s="6"/>
      <c r="AA283" s="6"/>
      <c r="AB283" s="6"/>
      <c r="AC283" s="6"/>
      <c r="AD283" s="6"/>
      <c r="AM283" s="7"/>
      <c r="AN283" s="6"/>
      <c r="AO283" s="7"/>
      <c r="AP283" s="7"/>
      <c r="AR283" s="7"/>
      <c r="AS283" s="8"/>
      <c r="AW283" s="8"/>
      <c r="AX283" s="6"/>
      <c r="AY283" s="7"/>
      <c r="BA283" s="5"/>
    </row>
    <row r="284" customFormat="false" ht="18" hidden="false" customHeight="true" outlineLevel="0" collapsed="false">
      <c r="C284" s="5"/>
      <c r="V284" s="6"/>
      <c r="W284" s="6"/>
      <c r="X284" s="6"/>
      <c r="Y284" s="6"/>
      <c r="Z284" s="6"/>
      <c r="AA284" s="6"/>
      <c r="AB284" s="6"/>
      <c r="AC284" s="6"/>
      <c r="AD284" s="6"/>
      <c r="AM284" s="7"/>
      <c r="AN284" s="6"/>
      <c r="AO284" s="7"/>
      <c r="AP284" s="7"/>
      <c r="AR284" s="7"/>
      <c r="AS284" s="8"/>
      <c r="AW284" s="8"/>
      <c r="AX284" s="6"/>
      <c r="AY284" s="7"/>
      <c r="BA284" s="5"/>
    </row>
    <row r="285" customFormat="false" ht="18" hidden="false" customHeight="true" outlineLevel="0" collapsed="false">
      <c r="C285" s="5"/>
      <c r="V285" s="6"/>
      <c r="W285" s="6"/>
      <c r="X285" s="6"/>
      <c r="Y285" s="6"/>
      <c r="Z285" s="6"/>
      <c r="AA285" s="6"/>
      <c r="AB285" s="6"/>
      <c r="AC285" s="6"/>
      <c r="AD285" s="6"/>
      <c r="AM285" s="7"/>
      <c r="AN285" s="6"/>
      <c r="AO285" s="7"/>
      <c r="AP285" s="7"/>
      <c r="AR285" s="7"/>
      <c r="AS285" s="8"/>
      <c r="AW285" s="8"/>
      <c r="AX285" s="6"/>
      <c r="AY285" s="7"/>
      <c r="BA285" s="5"/>
    </row>
    <row r="286" customFormat="false" ht="18" hidden="false" customHeight="true" outlineLevel="0" collapsed="false">
      <c r="C286" s="5"/>
      <c r="V286" s="6"/>
      <c r="W286" s="6"/>
      <c r="X286" s="6"/>
      <c r="Y286" s="6"/>
      <c r="Z286" s="6"/>
      <c r="AA286" s="6"/>
      <c r="AB286" s="6"/>
      <c r="AC286" s="6"/>
      <c r="AD286" s="6"/>
      <c r="AM286" s="7"/>
      <c r="AN286" s="6"/>
      <c r="AO286" s="7"/>
      <c r="AP286" s="7"/>
      <c r="AR286" s="7"/>
      <c r="AS286" s="8"/>
      <c r="AW286" s="8"/>
      <c r="AX286" s="6"/>
      <c r="AY286" s="7"/>
      <c r="BA286" s="5"/>
    </row>
    <row r="287" customFormat="false" ht="18" hidden="false" customHeight="true" outlineLevel="0" collapsed="false">
      <c r="C287" s="5"/>
      <c r="V287" s="6"/>
      <c r="W287" s="6"/>
      <c r="X287" s="6"/>
      <c r="Y287" s="6"/>
      <c r="Z287" s="6"/>
      <c r="AA287" s="6"/>
      <c r="AB287" s="6"/>
      <c r="AC287" s="6"/>
      <c r="AD287" s="6"/>
      <c r="AM287" s="7"/>
      <c r="AN287" s="6"/>
      <c r="AO287" s="7"/>
      <c r="AP287" s="7"/>
      <c r="AR287" s="7"/>
      <c r="AS287" s="8"/>
      <c r="AW287" s="8"/>
      <c r="AX287" s="6"/>
      <c r="AY287" s="7"/>
      <c r="BA287" s="5"/>
    </row>
    <row r="288" customFormat="false" ht="18" hidden="false" customHeight="true" outlineLevel="0" collapsed="false">
      <c r="C288" s="5"/>
      <c r="V288" s="6"/>
      <c r="W288" s="6"/>
      <c r="X288" s="6"/>
      <c r="Y288" s="6"/>
      <c r="Z288" s="6"/>
      <c r="AA288" s="6"/>
      <c r="AB288" s="6"/>
      <c r="AC288" s="6"/>
      <c r="AD288" s="6"/>
      <c r="AM288" s="7"/>
      <c r="AN288" s="6"/>
      <c r="AO288" s="7"/>
      <c r="AP288" s="7"/>
      <c r="AR288" s="7"/>
      <c r="AS288" s="8"/>
      <c r="AW288" s="8"/>
      <c r="AX288" s="6"/>
      <c r="AY288" s="7"/>
      <c r="BA288" s="5"/>
    </row>
    <row r="289" customFormat="false" ht="18" hidden="false" customHeight="true" outlineLevel="0" collapsed="false">
      <c r="C289" s="5"/>
      <c r="V289" s="6"/>
      <c r="W289" s="6"/>
      <c r="X289" s="6"/>
      <c r="Y289" s="6"/>
      <c r="Z289" s="6"/>
      <c r="AA289" s="6"/>
      <c r="AB289" s="6"/>
      <c r="AC289" s="6"/>
      <c r="AD289" s="6"/>
      <c r="AM289" s="7"/>
      <c r="AN289" s="6"/>
      <c r="AO289" s="7"/>
      <c r="AP289" s="7"/>
      <c r="AR289" s="7"/>
      <c r="AS289" s="8"/>
      <c r="AW289" s="8"/>
      <c r="AX289" s="6"/>
      <c r="AY289" s="7"/>
      <c r="BA289" s="5"/>
    </row>
    <row r="290" customFormat="false" ht="18" hidden="false" customHeight="true" outlineLevel="0" collapsed="false">
      <c r="C290" s="5"/>
      <c r="V290" s="6"/>
      <c r="W290" s="6"/>
      <c r="X290" s="6"/>
      <c r="Y290" s="6"/>
      <c r="Z290" s="6"/>
      <c r="AA290" s="6"/>
      <c r="AB290" s="6"/>
      <c r="AC290" s="6"/>
      <c r="AD290" s="6"/>
      <c r="AM290" s="7"/>
      <c r="AN290" s="6"/>
      <c r="AO290" s="7"/>
      <c r="AP290" s="7"/>
      <c r="AR290" s="7"/>
      <c r="AS290" s="8"/>
      <c r="AW290" s="8"/>
      <c r="AX290" s="6"/>
      <c r="AY290" s="7"/>
      <c r="BA290" s="5"/>
    </row>
    <row r="291" customFormat="false" ht="18" hidden="false" customHeight="true" outlineLevel="0" collapsed="false">
      <c r="C291" s="5"/>
      <c r="V291" s="6"/>
      <c r="W291" s="6"/>
      <c r="X291" s="6"/>
      <c r="Y291" s="6"/>
      <c r="Z291" s="6"/>
      <c r="AA291" s="6"/>
      <c r="AB291" s="6"/>
      <c r="AC291" s="6"/>
      <c r="AD291" s="6"/>
      <c r="AM291" s="7"/>
      <c r="AN291" s="6"/>
      <c r="AO291" s="7"/>
      <c r="AP291" s="7"/>
      <c r="AR291" s="7"/>
      <c r="AS291" s="8"/>
      <c r="AW291" s="8"/>
      <c r="AX291" s="6"/>
      <c r="AY291" s="7"/>
      <c r="BA291" s="5"/>
    </row>
    <row r="292" customFormat="false" ht="18" hidden="false" customHeight="true" outlineLevel="0" collapsed="false">
      <c r="C292" s="5"/>
      <c r="V292" s="6"/>
      <c r="W292" s="6"/>
      <c r="X292" s="6"/>
      <c r="Y292" s="6"/>
      <c r="Z292" s="6"/>
      <c r="AA292" s="6"/>
      <c r="AB292" s="6"/>
      <c r="AC292" s="6"/>
      <c r="AD292" s="6"/>
      <c r="AM292" s="7"/>
      <c r="AN292" s="6"/>
      <c r="AO292" s="7"/>
      <c r="AP292" s="7"/>
      <c r="AR292" s="7"/>
      <c r="AS292" s="8"/>
      <c r="AW292" s="8"/>
      <c r="AX292" s="6"/>
      <c r="AY292" s="7"/>
      <c r="BA292" s="5"/>
    </row>
    <row r="293" customFormat="false" ht="18" hidden="false" customHeight="true" outlineLevel="0" collapsed="false">
      <c r="C293" s="5"/>
      <c r="V293" s="6"/>
      <c r="W293" s="6"/>
      <c r="X293" s="6"/>
      <c r="Y293" s="6"/>
      <c r="Z293" s="6"/>
      <c r="AA293" s="6"/>
      <c r="AB293" s="6"/>
      <c r="AC293" s="6"/>
      <c r="AD293" s="6"/>
      <c r="AM293" s="7"/>
      <c r="AN293" s="6"/>
      <c r="AO293" s="7"/>
      <c r="AP293" s="7"/>
      <c r="AR293" s="7"/>
      <c r="AS293" s="8"/>
      <c r="AW293" s="8"/>
      <c r="AX293" s="6"/>
      <c r="AY293" s="7"/>
      <c r="BA293" s="5"/>
    </row>
    <row r="294" customFormat="false" ht="18" hidden="false" customHeight="true" outlineLevel="0" collapsed="false">
      <c r="C294" s="5"/>
      <c r="V294" s="6"/>
      <c r="W294" s="6"/>
      <c r="X294" s="6"/>
      <c r="Y294" s="6"/>
      <c r="Z294" s="6"/>
      <c r="AA294" s="6"/>
      <c r="AB294" s="6"/>
      <c r="AC294" s="6"/>
      <c r="AD294" s="6"/>
      <c r="AM294" s="7"/>
      <c r="AN294" s="6"/>
      <c r="AO294" s="7"/>
      <c r="AP294" s="7"/>
      <c r="AR294" s="7"/>
      <c r="AS294" s="8"/>
      <c r="AW294" s="8"/>
      <c r="AX294" s="6"/>
      <c r="AY294" s="7"/>
      <c r="BA294" s="5"/>
    </row>
    <row r="295" customFormat="false" ht="18" hidden="false" customHeight="true" outlineLevel="0" collapsed="false">
      <c r="C295" s="5"/>
      <c r="V295" s="6"/>
      <c r="W295" s="6"/>
      <c r="X295" s="6"/>
      <c r="Y295" s="6"/>
      <c r="Z295" s="6"/>
      <c r="AA295" s="6"/>
      <c r="AB295" s="6"/>
      <c r="AC295" s="6"/>
      <c r="AD295" s="6"/>
      <c r="AM295" s="7"/>
      <c r="AN295" s="6"/>
      <c r="AO295" s="7"/>
      <c r="AP295" s="7"/>
      <c r="AR295" s="7"/>
      <c r="AS295" s="8"/>
      <c r="AW295" s="8"/>
      <c r="AX295" s="6"/>
      <c r="AY295" s="7"/>
      <c r="BA295" s="5"/>
    </row>
    <row r="296" customFormat="false" ht="18" hidden="false" customHeight="true" outlineLevel="0" collapsed="false">
      <c r="C296" s="5"/>
      <c r="V296" s="6"/>
      <c r="W296" s="6"/>
      <c r="X296" s="6"/>
      <c r="Y296" s="6"/>
      <c r="Z296" s="6"/>
      <c r="AA296" s="6"/>
      <c r="AB296" s="6"/>
      <c r="AC296" s="6"/>
      <c r="AD296" s="6"/>
      <c r="AM296" s="7"/>
      <c r="AN296" s="6"/>
      <c r="AO296" s="7"/>
      <c r="AP296" s="7"/>
      <c r="AR296" s="7"/>
      <c r="AS296" s="8"/>
      <c r="AW296" s="8"/>
      <c r="AX296" s="6"/>
      <c r="AY296" s="7"/>
      <c r="BA296" s="5"/>
    </row>
    <row r="297" customFormat="false" ht="18" hidden="false" customHeight="true" outlineLevel="0" collapsed="false">
      <c r="C297" s="5"/>
      <c r="V297" s="6"/>
      <c r="W297" s="6"/>
      <c r="X297" s="6"/>
      <c r="Y297" s="6"/>
      <c r="Z297" s="6"/>
      <c r="AA297" s="6"/>
      <c r="AB297" s="6"/>
      <c r="AC297" s="6"/>
      <c r="AD297" s="6"/>
      <c r="AM297" s="7"/>
      <c r="AN297" s="6"/>
      <c r="AO297" s="7"/>
      <c r="AP297" s="7"/>
      <c r="AR297" s="7"/>
      <c r="AS297" s="8"/>
      <c r="AW297" s="8"/>
      <c r="AX297" s="6"/>
      <c r="AY297" s="7"/>
      <c r="BA297" s="5"/>
    </row>
    <row r="298" customFormat="false" ht="18" hidden="false" customHeight="true" outlineLevel="0" collapsed="false">
      <c r="C298" s="5"/>
      <c r="V298" s="6"/>
      <c r="W298" s="6"/>
      <c r="X298" s="6"/>
      <c r="Y298" s="6"/>
      <c r="Z298" s="6"/>
      <c r="AA298" s="6"/>
      <c r="AB298" s="6"/>
      <c r="AC298" s="6"/>
      <c r="AD298" s="6"/>
      <c r="AM298" s="7"/>
      <c r="AN298" s="6"/>
      <c r="AO298" s="7"/>
      <c r="AP298" s="7"/>
      <c r="AR298" s="7"/>
      <c r="AS298" s="8"/>
      <c r="AW298" s="8"/>
      <c r="AX298" s="6"/>
      <c r="AY298" s="7"/>
      <c r="BA298" s="5"/>
    </row>
    <row r="299" customFormat="false" ht="18" hidden="false" customHeight="true" outlineLevel="0" collapsed="false">
      <c r="C299" s="5"/>
      <c r="V299" s="6"/>
      <c r="W299" s="6"/>
      <c r="X299" s="6"/>
      <c r="Y299" s="6"/>
      <c r="Z299" s="6"/>
      <c r="AA299" s="6"/>
      <c r="AB299" s="6"/>
      <c r="AC299" s="6"/>
      <c r="AD299" s="6"/>
      <c r="AM299" s="7"/>
      <c r="AN299" s="6"/>
      <c r="AO299" s="7"/>
      <c r="AP299" s="7"/>
      <c r="AR299" s="7"/>
      <c r="AS299" s="8"/>
      <c r="AW299" s="8"/>
      <c r="AX299" s="6"/>
      <c r="AY299" s="7"/>
      <c r="BA299" s="5"/>
    </row>
    <row r="300" customFormat="false" ht="18" hidden="false" customHeight="true" outlineLevel="0" collapsed="false">
      <c r="C300" s="5"/>
      <c r="V300" s="6"/>
      <c r="W300" s="6"/>
      <c r="X300" s="6"/>
      <c r="Y300" s="6"/>
      <c r="Z300" s="6"/>
      <c r="AA300" s="6"/>
      <c r="AB300" s="6"/>
      <c r="AC300" s="6"/>
      <c r="AD300" s="6"/>
      <c r="AM300" s="7"/>
      <c r="AN300" s="6"/>
      <c r="AO300" s="7"/>
      <c r="AP300" s="7"/>
      <c r="AR300" s="7"/>
      <c r="AS300" s="8"/>
      <c r="AW300" s="8"/>
      <c r="AX300" s="6"/>
      <c r="AY300" s="7"/>
      <c r="BA300" s="5"/>
    </row>
    <row r="301" customFormat="false" ht="18" hidden="false" customHeight="true" outlineLevel="0" collapsed="false">
      <c r="C301" s="5"/>
      <c r="V301" s="6"/>
      <c r="W301" s="6"/>
      <c r="X301" s="6"/>
      <c r="Y301" s="6"/>
      <c r="Z301" s="6"/>
      <c r="AA301" s="6"/>
      <c r="AB301" s="6"/>
      <c r="AC301" s="6"/>
      <c r="AD301" s="6"/>
      <c r="AM301" s="7"/>
      <c r="AN301" s="6"/>
      <c r="AO301" s="7"/>
      <c r="AP301" s="7"/>
      <c r="AR301" s="7"/>
      <c r="AS301" s="8"/>
      <c r="AW301" s="8"/>
      <c r="AX301" s="6"/>
      <c r="AY301" s="7"/>
      <c r="BA301" s="5"/>
    </row>
    <row r="302" customFormat="false" ht="18" hidden="false" customHeight="true" outlineLevel="0" collapsed="false">
      <c r="C302" s="5"/>
      <c r="V302" s="6"/>
      <c r="W302" s="6"/>
      <c r="X302" s="6"/>
      <c r="Y302" s="6"/>
      <c r="Z302" s="6"/>
      <c r="AA302" s="6"/>
      <c r="AB302" s="6"/>
      <c r="AC302" s="6"/>
      <c r="AD302" s="6"/>
      <c r="AM302" s="7"/>
      <c r="AN302" s="6"/>
      <c r="AO302" s="7"/>
      <c r="AP302" s="7"/>
      <c r="AR302" s="7"/>
      <c r="AS302" s="8"/>
      <c r="AW302" s="8"/>
      <c r="AX302" s="6"/>
      <c r="AY302" s="7"/>
      <c r="BA302" s="5"/>
    </row>
    <row r="303" customFormat="false" ht="18" hidden="false" customHeight="true" outlineLevel="0" collapsed="false">
      <c r="C303" s="5"/>
      <c r="V303" s="6"/>
      <c r="W303" s="6"/>
      <c r="X303" s="6"/>
      <c r="Y303" s="6"/>
      <c r="Z303" s="6"/>
      <c r="AA303" s="6"/>
      <c r="AB303" s="6"/>
      <c r="AC303" s="6"/>
      <c r="AD303" s="6"/>
      <c r="AM303" s="7"/>
      <c r="AN303" s="6"/>
      <c r="AO303" s="7"/>
      <c r="AP303" s="7"/>
      <c r="AR303" s="7"/>
      <c r="AS303" s="8"/>
      <c r="AW303" s="8"/>
      <c r="AX303" s="6"/>
      <c r="AY303" s="7"/>
      <c r="BA303" s="5"/>
    </row>
    <row r="304" customFormat="false" ht="18" hidden="false" customHeight="true" outlineLevel="0" collapsed="false">
      <c r="C304" s="5"/>
      <c r="V304" s="6"/>
      <c r="W304" s="6"/>
      <c r="X304" s="6"/>
      <c r="Y304" s="6"/>
      <c r="Z304" s="6"/>
      <c r="AA304" s="6"/>
      <c r="AB304" s="6"/>
      <c r="AC304" s="6"/>
      <c r="AD304" s="6"/>
      <c r="AM304" s="7"/>
      <c r="AN304" s="6"/>
      <c r="AO304" s="7"/>
      <c r="AP304" s="7"/>
      <c r="AR304" s="7"/>
      <c r="AS304" s="8"/>
      <c r="AW304" s="8"/>
      <c r="AX304" s="6"/>
      <c r="AY304" s="7"/>
      <c r="BA304" s="5"/>
    </row>
    <row r="305" customFormat="false" ht="18" hidden="false" customHeight="true" outlineLevel="0" collapsed="false">
      <c r="C305" s="5"/>
      <c r="V305" s="6"/>
      <c r="W305" s="6"/>
      <c r="X305" s="6"/>
      <c r="Y305" s="6"/>
      <c r="Z305" s="6"/>
      <c r="AA305" s="6"/>
      <c r="AB305" s="6"/>
      <c r="AC305" s="6"/>
      <c r="AD305" s="6"/>
      <c r="AM305" s="7"/>
      <c r="AN305" s="6"/>
      <c r="AO305" s="7"/>
      <c r="AP305" s="7"/>
      <c r="AR305" s="7"/>
      <c r="AS305" s="8"/>
      <c r="AW305" s="8"/>
      <c r="AX305" s="6"/>
      <c r="AY305" s="7"/>
      <c r="BA305" s="5"/>
    </row>
    <row r="306" customFormat="false" ht="18" hidden="false" customHeight="true" outlineLevel="0" collapsed="false">
      <c r="C306" s="5"/>
      <c r="V306" s="6"/>
      <c r="W306" s="6"/>
      <c r="X306" s="6"/>
      <c r="Y306" s="6"/>
      <c r="Z306" s="6"/>
      <c r="AA306" s="6"/>
      <c r="AB306" s="6"/>
      <c r="AC306" s="6"/>
      <c r="AD306" s="6"/>
      <c r="AM306" s="7"/>
      <c r="AN306" s="6"/>
      <c r="AO306" s="7"/>
      <c r="AP306" s="7"/>
      <c r="AR306" s="7"/>
      <c r="AS306" s="8"/>
      <c r="AW306" s="8"/>
      <c r="AX306" s="6"/>
      <c r="AY306" s="7"/>
      <c r="BA306" s="5"/>
    </row>
    <row r="307" customFormat="false" ht="18" hidden="false" customHeight="true" outlineLevel="0" collapsed="false">
      <c r="C307" s="5"/>
      <c r="V307" s="6"/>
      <c r="W307" s="6"/>
      <c r="X307" s="6"/>
      <c r="Y307" s="6"/>
      <c r="Z307" s="6"/>
      <c r="AA307" s="6"/>
      <c r="AB307" s="6"/>
      <c r="AC307" s="6"/>
      <c r="AD307" s="6"/>
      <c r="AM307" s="7"/>
      <c r="AN307" s="6"/>
      <c r="AO307" s="7"/>
      <c r="AP307" s="7"/>
      <c r="AR307" s="7"/>
      <c r="AS307" s="8"/>
      <c r="AW307" s="8"/>
      <c r="AX307" s="6"/>
      <c r="AY307" s="7"/>
      <c r="BA307" s="5"/>
    </row>
    <row r="308" customFormat="false" ht="18" hidden="false" customHeight="true" outlineLevel="0" collapsed="false">
      <c r="C308" s="5"/>
      <c r="V308" s="6"/>
      <c r="W308" s="6"/>
      <c r="X308" s="6"/>
      <c r="Y308" s="6"/>
      <c r="Z308" s="6"/>
      <c r="AA308" s="6"/>
      <c r="AB308" s="6"/>
      <c r="AC308" s="6"/>
      <c r="AD308" s="6"/>
      <c r="AM308" s="7"/>
      <c r="AN308" s="6"/>
      <c r="AO308" s="7"/>
      <c r="AP308" s="7"/>
      <c r="AR308" s="7"/>
      <c r="AS308" s="8"/>
      <c r="AW308" s="8"/>
      <c r="AX308" s="6"/>
      <c r="AY308" s="7"/>
      <c r="BA308" s="5"/>
    </row>
    <row r="309" customFormat="false" ht="18" hidden="false" customHeight="true" outlineLevel="0" collapsed="false">
      <c r="C309" s="5"/>
      <c r="V309" s="6"/>
      <c r="W309" s="6"/>
      <c r="X309" s="6"/>
      <c r="Y309" s="6"/>
      <c r="Z309" s="6"/>
      <c r="AA309" s="6"/>
      <c r="AB309" s="6"/>
      <c r="AC309" s="6"/>
      <c r="AD309" s="6"/>
      <c r="AM309" s="7"/>
      <c r="AN309" s="6"/>
      <c r="AO309" s="7"/>
      <c r="AP309" s="7"/>
      <c r="AR309" s="7"/>
      <c r="AS309" s="8"/>
      <c r="AW309" s="8"/>
      <c r="AX309" s="6"/>
      <c r="AY309" s="7"/>
      <c r="BA309" s="5"/>
    </row>
    <row r="310" customFormat="false" ht="18" hidden="false" customHeight="true" outlineLevel="0" collapsed="false">
      <c r="C310" s="5"/>
      <c r="V310" s="6"/>
      <c r="W310" s="6"/>
      <c r="X310" s="6"/>
      <c r="Y310" s="6"/>
      <c r="Z310" s="6"/>
      <c r="AA310" s="6"/>
      <c r="AB310" s="6"/>
      <c r="AC310" s="6"/>
      <c r="AD310" s="6"/>
      <c r="AM310" s="7"/>
      <c r="AN310" s="6"/>
      <c r="AO310" s="7"/>
      <c r="AP310" s="7"/>
      <c r="AR310" s="7"/>
      <c r="AS310" s="8"/>
      <c r="AW310" s="8"/>
      <c r="AX310" s="6"/>
      <c r="AY310" s="7"/>
      <c r="BA310" s="5"/>
    </row>
    <row r="311" customFormat="false" ht="18" hidden="false" customHeight="true" outlineLevel="0" collapsed="false">
      <c r="C311" s="5"/>
      <c r="V311" s="6"/>
      <c r="W311" s="6"/>
      <c r="X311" s="6"/>
      <c r="Y311" s="6"/>
      <c r="Z311" s="6"/>
      <c r="AA311" s="6"/>
      <c r="AB311" s="6"/>
      <c r="AC311" s="6"/>
      <c r="AD311" s="6"/>
      <c r="AM311" s="7"/>
      <c r="AN311" s="6"/>
      <c r="AO311" s="7"/>
      <c r="AP311" s="7"/>
      <c r="AR311" s="7"/>
      <c r="AS311" s="8"/>
      <c r="AW311" s="8"/>
      <c r="AX311" s="6"/>
      <c r="AY311" s="7"/>
      <c r="BA311" s="5"/>
    </row>
    <row r="312" customFormat="false" ht="18" hidden="false" customHeight="true" outlineLevel="0" collapsed="false">
      <c r="C312" s="5"/>
      <c r="V312" s="6"/>
      <c r="W312" s="6"/>
      <c r="X312" s="6"/>
      <c r="Y312" s="6"/>
      <c r="Z312" s="6"/>
      <c r="AA312" s="6"/>
      <c r="AB312" s="6"/>
      <c r="AC312" s="6"/>
      <c r="AD312" s="6"/>
      <c r="AM312" s="7"/>
      <c r="AN312" s="6"/>
      <c r="AO312" s="7"/>
      <c r="AP312" s="7"/>
      <c r="AR312" s="7"/>
      <c r="AS312" s="8"/>
      <c r="AW312" s="8"/>
      <c r="AX312" s="6"/>
      <c r="AY312" s="7"/>
      <c r="BA312" s="5"/>
    </row>
    <row r="313" customFormat="false" ht="18" hidden="false" customHeight="true" outlineLevel="0" collapsed="false">
      <c r="C313" s="5"/>
      <c r="V313" s="6"/>
      <c r="W313" s="6"/>
      <c r="X313" s="6"/>
      <c r="Y313" s="6"/>
      <c r="Z313" s="6"/>
      <c r="AA313" s="6"/>
      <c r="AB313" s="6"/>
      <c r="AC313" s="6"/>
      <c r="AD313" s="6"/>
      <c r="AM313" s="7"/>
      <c r="AN313" s="6"/>
      <c r="AO313" s="7"/>
      <c r="AP313" s="7"/>
      <c r="AR313" s="7"/>
      <c r="AS313" s="8"/>
      <c r="AW313" s="8"/>
      <c r="AX313" s="6"/>
      <c r="AY313" s="7"/>
      <c r="BA313" s="5"/>
    </row>
    <row r="314" customFormat="false" ht="18" hidden="false" customHeight="true" outlineLevel="0" collapsed="false">
      <c r="C314" s="5"/>
      <c r="V314" s="6"/>
      <c r="W314" s="6"/>
      <c r="X314" s="6"/>
      <c r="Y314" s="6"/>
      <c r="Z314" s="6"/>
      <c r="AA314" s="6"/>
      <c r="AB314" s="6"/>
      <c r="AC314" s="6"/>
      <c r="AD314" s="6"/>
      <c r="AM314" s="7"/>
      <c r="AN314" s="6"/>
      <c r="AO314" s="7"/>
      <c r="AP314" s="7"/>
      <c r="AR314" s="7"/>
      <c r="AS314" s="8"/>
      <c r="AW314" s="8"/>
      <c r="AX314" s="6"/>
      <c r="AY314" s="7"/>
      <c r="BA314" s="5"/>
    </row>
    <row r="315" customFormat="false" ht="18" hidden="false" customHeight="true" outlineLevel="0" collapsed="false">
      <c r="C315" s="5"/>
      <c r="V315" s="6"/>
      <c r="W315" s="6"/>
      <c r="X315" s="6"/>
      <c r="Y315" s="6"/>
      <c r="Z315" s="6"/>
      <c r="AA315" s="6"/>
      <c r="AB315" s="6"/>
      <c r="AC315" s="6"/>
      <c r="AD315" s="6"/>
      <c r="AM315" s="7"/>
      <c r="AN315" s="6"/>
      <c r="AO315" s="7"/>
      <c r="AP315" s="7"/>
      <c r="AR315" s="7"/>
      <c r="AS315" s="8"/>
      <c r="AW315" s="8"/>
      <c r="AX315" s="6"/>
      <c r="AY315" s="7"/>
      <c r="BA315" s="5"/>
    </row>
    <row r="316" customFormat="false" ht="18" hidden="false" customHeight="true" outlineLevel="0" collapsed="false">
      <c r="C316" s="5"/>
      <c r="V316" s="6"/>
      <c r="W316" s="6"/>
      <c r="X316" s="6"/>
      <c r="Y316" s="6"/>
      <c r="Z316" s="6"/>
      <c r="AA316" s="6"/>
      <c r="AB316" s="6"/>
      <c r="AC316" s="6"/>
      <c r="AD316" s="6"/>
      <c r="AM316" s="7"/>
      <c r="AN316" s="6"/>
      <c r="AO316" s="7"/>
      <c r="AP316" s="7"/>
      <c r="AR316" s="7"/>
      <c r="AS316" s="8"/>
      <c r="AW316" s="8"/>
      <c r="AX316" s="6"/>
      <c r="AY316" s="7"/>
      <c r="BA316" s="5"/>
    </row>
    <row r="317" customFormat="false" ht="18" hidden="false" customHeight="true" outlineLevel="0" collapsed="false">
      <c r="C317" s="5"/>
      <c r="V317" s="6"/>
      <c r="W317" s="6"/>
      <c r="X317" s="6"/>
      <c r="Y317" s="6"/>
      <c r="Z317" s="6"/>
      <c r="AA317" s="6"/>
      <c r="AB317" s="6"/>
      <c r="AC317" s="6"/>
      <c r="AD317" s="6"/>
      <c r="AM317" s="7"/>
      <c r="AN317" s="6"/>
      <c r="AO317" s="7"/>
      <c r="AP317" s="7"/>
      <c r="AR317" s="7"/>
      <c r="AS317" s="8"/>
      <c r="AW317" s="8"/>
      <c r="AX317" s="6"/>
      <c r="AY317" s="7"/>
      <c r="BA317" s="5"/>
    </row>
    <row r="318" customFormat="false" ht="18" hidden="false" customHeight="true" outlineLevel="0" collapsed="false">
      <c r="C318" s="5"/>
      <c r="V318" s="6"/>
      <c r="W318" s="6"/>
      <c r="X318" s="6"/>
      <c r="Y318" s="6"/>
      <c r="Z318" s="6"/>
      <c r="AA318" s="6"/>
      <c r="AB318" s="6"/>
      <c r="AC318" s="6"/>
      <c r="AD318" s="6"/>
      <c r="AM318" s="7"/>
      <c r="AN318" s="6"/>
      <c r="AO318" s="7"/>
      <c r="AP318" s="7"/>
      <c r="AR318" s="7"/>
      <c r="AS318" s="8"/>
      <c r="AW318" s="8"/>
      <c r="AX318" s="6"/>
      <c r="AY318" s="7"/>
      <c r="BA318" s="5"/>
    </row>
    <row r="319" customFormat="false" ht="18" hidden="false" customHeight="true" outlineLevel="0" collapsed="false">
      <c r="C319" s="5"/>
      <c r="V319" s="6"/>
      <c r="W319" s="6"/>
      <c r="X319" s="6"/>
      <c r="Y319" s="6"/>
      <c r="Z319" s="6"/>
      <c r="AA319" s="6"/>
      <c r="AB319" s="6"/>
      <c r="AC319" s="6"/>
      <c r="AD319" s="6"/>
      <c r="AM319" s="7"/>
      <c r="AN319" s="6"/>
      <c r="AO319" s="7"/>
      <c r="AP319" s="7"/>
      <c r="AR319" s="7"/>
      <c r="AS319" s="8"/>
      <c r="AW319" s="8"/>
      <c r="AX319" s="6"/>
      <c r="AY319" s="7"/>
      <c r="BA319" s="5"/>
    </row>
    <row r="320" customFormat="false" ht="18" hidden="false" customHeight="true" outlineLevel="0" collapsed="false">
      <c r="C320" s="5"/>
      <c r="V320" s="6"/>
      <c r="W320" s="6"/>
      <c r="X320" s="6"/>
      <c r="Y320" s="6"/>
      <c r="Z320" s="6"/>
      <c r="AA320" s="6"/>
      <c r="AB320" s="6"/>
      <c r="AC320" s="6"/>
      <c r="AD320" s="6"/>
      <c r="AM320" s="7"/>
      <c r="AN320" s="6"/>
      <c r="AO320" s="7"/>
      <c r="AP320" s="7"/>
      <c r="AR320" s="7"/>
      <c r="AS320" s="8"/>
      <c r="AW320" s="8"/>
      <c r="AX320" s="6"/>
      <c r="AY320" s="7"/>
      <c r="BA320" s="5"/>
    </row>
    <row r="321" customFormat="false" ht="18" hidden="false" customHeight="true" outlineLevel="0" collapsed="false">
      <c r="C321" s="5"/>
      <c r="V321" s="6"/>
      <c r="W321" s="6"/>
      <c r="X321" s="6"/>
      <c r="Y321" s="6"/>
      <c r="Z321" s="6"/>
      <c r="AA321" s="6"/>
      <c r="AB321" s="6"/>
      <c r="AC321" s="6"/>
      <c r="AD321" s="6"/>
      <c r="AM321" s="7"/>
      <c r="AN321" s="6"/>
      <c r="AO321" s="7"/>
      <c r="AP321" s="7"/>
      <c r="AR321" s="7"/>
      <c r="AS321" s="8"/>
      <c r="AW321" s="8"/>
      <c r="AX321" s="6"/>
      <c r="AY321" s="7"/>
      <c r="BA321" s="5"/>
    </row>
    <row r="322" customFormat="false" ht="18" hidden="false" customHeight="true" outlineLevel="0" collapsed="false">
      <c r="C322" s="5"/>
      <c r="V322" s="6"/>
      <c r="W322" s="6"/>
      <c r="X322" s="6"/>
      <c r="Y322" s="6"/>
      <c r="Z322" s="6"/>
      <c r="AA322" s="6"/>
      <c r="AB322" s="6"/>
      <c r="AC322" s="6"/>
      <c r="AD322" s="6"/>
      <c r="AM322" s="7"/>
      <c r="AN322" s="6"/>
      <c r="AO322" s="7"/>
      <c r="AP322" s="7"/>
      <c r="AR322" s="7"/>
      <c r="AS322" s="8"/>
      <c r="AW322" s="8"/>
      <c r="AX322" s="6"/>
      <c r="AY322" s="7"/>
      <c r="BA322" s="5"/>
    </row>
    <row r="323" customFormat="false" ht="18" hidden="false" customHeight="true" outlineLevel="0" collapsed="false">
      <c r="C323" s="5"/>
      <c r="V323" s="6"/>
      <c r="W323" s="6"/>
      <c r="X323" s="6"/>
      <c r="Y323" s="6"/>
      <c r="Z323" s="6"/>
      <c r="AA323" s="6"/>
      <c r="AB323" s="6"/>
      <c r="AC323" s="6"/>
      <c r="AD323" s="6"/>
      <c r="AM323" s="7"/>
      <c r="AN323" s="6"/>
      <c r="AO323" s="7"/>
      <c r="AP323" s="7"/>
      <c r="AR323" s="7"/>
      <c r="AS323" s="8"/>
      <c r="AW323" s="8"/>
      <c r="AX323" s="6"/>
      <c r="AY323" s="7"/>
      <c r="BA323" s="5"/>
    </row>
    <row r="324" customFormat="false" ht="18" hidden="false" customHeight="true" outlineLevel="0" collapsed="false">
      <c r="C324" s="5"/>
      <c r="V324" s="6"/>
      <c r="W324" s="6"/>
      <c r="X324" s="6"/>
      <c r="Y324" s="6"/>
      <c r="Z324" s="6"/>
      <c r="AA324" s="6"/>
      <c r="AB324" s="6"/>
      <c r="AC324" s="6"/>
      <c r="AD324" s="6"/>
      <c r="AM324" s="7"/>
      <c r="AN324" s="6"/>
      <c r="AO324" s="7"/>
      <c r="AP324" s="7"/>
      <c r="AR324" s="7"/>
      <c r="AS324" s="8"/>
      <c r="AW324" s="8"/>
      <c r="AX324" s="6"/>
      <c r="AY324" s="7"/>
      <c r="BA324" s="5"/>
    </row>
    <row r="325" customFormat="false" ht="18" hidden="false" customHeight="true" outlineLevel="0" collapsed="false">
      <c r="C325" s="5"/>
      <c r="V325" s="6"/>
      <c r="W325" s="6"/>
      <c r="X325" s="6"/>
      <c r="Y325" s="6"/>
      <c r="Z325" s="6"/>
      <c r="AA325" s="6"/>
      <c r="AB325" s="6"/>
      <c r="AC325" s="6"/>
      <c r="AD325" s="6"/>
      <c r="AM325" s="7"/>
      <c r="AN325" s="6"/>
      <c r="AO325" s="7"/>
      <c r="AP325" s="7"/>
      <c r="AR325" s="7"/>
      <c r="AS325" s="8"/>
      <c r="AW325" s="8"/>
      <c r="AX325" s="6"/>
      <c r="AY325" s="7"/>
      <c r="BA325" s="5"/>
    </row>
    <row r="326" customFormat="false" ht="18" hidden="false" customHeight="true" outlineLevel="0" collapsed="false">
      <c r="C326" s="5"/>
      <c r="V326" s="6"/>
      <c r="W326" s="6"/>
      <c r="X326" s="6"/>
      <c r="Y326" s="6"/>
      <c r="Z326" s="6"/>
      <c r="AA326" s="6"/>
      <c r="AB326" s="6"/>
      <c r="AC326" s="6"/>
      <c r="AD326" s="6"/>
      <c r="AM326" s="7"/>
      <c r="AN326" s="6"/>
      <c r="AO326" s="7"/>
      <c r="AP326" s="7"/>
      <c r="AR326" s="7"/>
      <c r="AS326" s="8"/>
      <c r="AW326" s="8"/>
      <c r="AX326" s="6"/>
      <c r="AY326" s="7"/>
      <c r="BA326" s="5"/>
    </row>
    <row r="327" customFormat="false" ht="18" hidden="false" customHeight="true" outlineLevel="0" collapsed="false">
      <c r="C327" s="5"/>
      <c r="V327" s="6"/>
      <c r="W327" s="6"/>
      <c r="X327" s="6"/>
      <c r="Y327" s="6"/>
      <c r="Z327" s="6"/>
      <c r="AA327" s="6"/>
      <c r="AB327" s="6"/>
      <c r="AC327" s="6"/>
      <c r="AD327" s="6"/>
      <c r="AM327" s="7"/>
      <c r="AN327" s="6"/>
      <c r="AO327" s="7"/>
      <c r="AP327" s="7"/>
      <c r="AR327" s="7"/>
      <c r="AS327" s="8"/>
      <c r="AW327" s="8"/>
      <c r="AX327" s="6"/>
      <c r="AY327" s="7"/>
      <c r="BA327" s="5"/>
    </row>
    <row r="328" customFormat="false" ht="18" hidden="false" customHeight="true" outlineLevel="0" collapsed="false">
      <c r="C328" s="5"/>
      <c r="V328" s="6"/>
      <c r="W328" s="6"/>
      <c r="X328" s="6"/>
      <c r="Y328" s="6"/>
      <c r="Z328" s="6"/>
      <c r="AA328" s="6"/>
      <c r="AB328" s="6"/>
      <c r="AC328" s="6"/>
      <c r="AD328" s="6"/>
      <c r="AM328" s="7"/>
      <c r="AN328" s="6"/>
      <c r="AO328" s="7"/>
      <c r="AP328" s="7"/>
      <c r="AR328" s="7"/>
      <c r="AS328" s="8"/>
      <c r="AW328" s="8"/>
      <c r="AX328" s="6"/>
      <c r="AY328" s="7"/>
      <c r="BA328" s="5"/>
    </row>
    <row r="329" customFormat="false" ht="18" hidden="false" customHeight="true" outlineLevel="0" collapsed="false">
      <c r="C329" s="5"/>
      <c r="V329" s="6"/>
      <c r="W329" s="6"/>
      <c r="X329" s="6"/>
      <c r="Y329" s="6"/>
      <c r="Z329" s="6"/>
      <c r="AA329" s="6"/>
      <c r="AB329" s="6"/>
      <c r="AC329" s="6"/>
      <c r="AD329" s="6"/>
      <c r="AM329" s="7"/>
      <c r="AN329" s="6"/>
      <c r="AO329" s="7"/>
      <c r="AP329" s="7"/>
      <c r="AR329" s="7"/>
      <c r="AS329" s="8"/>
      <c r="AW329" s="8"/>
      <c r="AX329" s="6"/>
      <c r="AY329" s="7"/>
      <c r="BA329" s="5"/>
    </row>
    <row r="330" customFormat="false" ht="18" hidden="false" customHeight="true" outlineLevel="0" collapsed="false">
      <c r="C330" s="5"/>
      <c r="V330" s="6"/>
      <c r="W330" s="6"/>
      <c r="X330" s="6"/>
      <c r="Y330" s="6"/>
      <c r="Z330" s="6"/>
      <c r="AA330" s="6"/>
      <c r="AB330" s="6"/>
      <c r="AC330" s="6"/>
      <c r="AD330" s="6"/>
      <c r="AM330" s="7"/>
      <c r="AN330" s="6"/>
      <c r="AO330" s="7"/>
      <c r="AP330" s="7"/>
      <c r="AR330" s="7"/>
      <c r="AS330" s="8"/>
      <c r="AW330" s="8"/>
      <c r="AX330" s="6"/>
      <c r="AY330" s="7"/>
      <c r="BA330" s="5"/>
    </row>
    <row r="331" customFormat="false" ht="18" hidden="false" customHeight="true" outlineLevel="0" collapsed="false">
      <c r="C331" s="5"/>
      <c r="V331" s="6"/>
      <c r="W331" s="6"/>
      <c r="X331" s="6"/>
      <c r="Y331" s="6"/>
      <c r="Z331" s="6"/>
      <c r="AA331" s="6"/>
      <c r="AB331" s="6"/>
      <c r="AC331" s="6"/>
      <c r="AD331" s="6"/>
      <c r="AM331" s="7"/>
      <c r="AN331" s="6"/>
      <c r="AO331" s="7"/>
      <c r="AP331" s="7"/>
      <c r="AR331" s="7"/>
      <c r="AS331" s="8"/>
      <c r="AW331" s="8"/>
      <c r="AX331" s="6"/>
      <c r="AY331" s="7"/>
      <c r="BA331" s="5"/>
    </row>
    <row r="332" customFormat="false" ht="18" hidden="false" customHeight="true" outlineLevel="0" collapsed="false">
      <c r="C332" s="5"/>
      <c r="V332" s="6"/>
      <c r="W332" s="6"/>
      <c r="X332" s="6"/>
      <c r="Y332" s="6"/>
      <c r="Z332" s="6"/>
      <c r="AA332" s="6"/>
      <c r="AB332" s="6"/>
      <c r="AC332" s="6"/>
      <c r="AD332" s="6"/>
      <c r="AM332" s="7"/>
      <c r="AN332" s="6"/>
      <c r="AO332" s="7"/>
      <c r="AP332" s="7"/>
      <c r="AR332" s="7"/>
      <c r="AS332" s="8"/>
      <c r="AW332" s="8"/>
      <c r="AX332" s="6"/>
      <c r="AY332" s="7"/>
      <c r="BA332" s="5"/>
    </row>
    <row r="333" customFormat="false" ht="18" hidden="false" customHeight="true" outlineLevel="0" collapsed="false">
      <c r="C333" s="5"/>
      <c r="V333" s="6"/>
      <c r="W333" s="6"/>
      <c r="X333" s="6"/>
      <c r="Y333" s="6"/>
      <c r="Z333" s="6"/>
      <c r="AA333" s="6"/>
      <c r="AB333" s="6"/>
      <c r="AC333" s="6"/>
      <c r="AD333" s="6"/>
      <c r="AM333" s="7"/>
      <c r="AN333" s="6"/>
      <c r="AO333" s="7"/>
      <c r="AP333" s="7"/>
      <c r="AR333" s="7"/>
      <c r="AS333" s="8"/>
      <c r="AW333" s="8"/>
      <c r="AX333" s="6"/>
      <c r="AY333" s="7"/>
      <c r="BA333" s="5"/>
    </row>
    <row r="334" customFormat="false" ht="18" hidden="false" customHeight="true" outlineLevel="0" collapsed="false">
      <c r="C334" s="5"/>
      <c r="V334" s="6"/>
      <c r="W334" s="6"/>
      <c r="X334" s="6"/>
      <c r="Y334" s="6"/>
      <c r="Z334" s="6"/>
      <c r="AA334" s="6"/>
      <c r="AB334" s="6"/>
      <c r="AC334" s="6"/>
      <c r="AD334" s="6"/>
      <c r="AM334" s="7"/>
      <c r="AN334" s="6"/>
      <c r="AO334" s="7"/>
      <c r="AP334" s="7"/>
      <c r="AR334" s="7"/>
      <c r="AS334" s="8"/>
      <c r="AW334" s="8"/>
      <c r="AX334" s="6"/>
      <c r="AY334" s="7"/>
      <c r="BA334" s="5"/>
    </row>
    <row r="335" customFormat="false" ht="18" hidden="false" customHeight="true" outlineLevel="0" collapsed="false">
      <c r="C335" s="5"/>
      <c r="V335" s="6"/>
      <c r="W335" s="6"/>
      <c r="X335" s="6"/>
      <c r="Y335" s="6"/>
      <c r="Z335" s="6"/>
      <c r="AA335" s="6"/>
      <c r="AB335" s="6"/>
      <c r="AC335" s="6"/>
      <c r="AD335" s="6"/>
      <c r="AM335" s="7"/>
      <c r="AN335" s="6"/>
      <c r="AO335" s="7"/>
      <c r="AP335" s="7"/>
      <c r="AR335" s="7"/>
      <c r="AS335" s="8"/>
      <c r="AW335" s="8"/>
      <c r="AX335" s="6"/>
      <c r="AY335" s="7"/>
      <c r="BA335" s="5"/>
    </row>
    <row r="336" customFormat="false" ht="18" hidden="false" customHeight="true" outlineLevel="0" collapsed="false">
      <c r="C336" s="5"/>
      <c r="V336" s="6"/>
      <c r="W336" s="6"/>
      <c r="X336" s="6"/>
      <c r="Y336" s="6"/>
      <c r="Z336" s="6"/>
      <c r="AA336" s="6"/>
      <c r="AB336" s="6"/>
      <c r="AC336" s="6"/>
      <c r="AD336" s="6"/>
      <c r="AM336" s="7"/>
      <c r="AN336" s="6"/>
      <c r="AO336" s="7"/>
      <c r="AP336" s="7"/>
      <c r="AR336" s="7"/>
      <c r="AS336" s="8"/>
      <c r="AW336" s="8"/>
      <c r="AX336" s="6"/>
      <c r="AY336" s="7"/>
      <c r="BA336" s="5"/>
    </row>
    <row r="337" customFormat="false" ht="18" hidden="false" customHeight="true" outlineLevel="0" collapsed="false">
      <c r="C337" s="5"/>
      <c r="V337" s="6"/>
      <c r="W337" s="6"/>
      <c r="X337" s="6"/>
      <c r="Y337" s="6"/>
      <c r="Z337" s="6"/>
      <c r="AA337" s="6"/>
      <c r="AB337" s="6"/>
      <c r="AC337" s="6"/>
      <c r="AD337" s="6"/>
      <c r="AM337" s="7"/>
      <c r="AN337" s="6"/>
      <c r="AO337" s="7"/>
      <c r="AP337" s="7"/>
      <c r="AR337" s="7"/>
      <c r="AS337" s="8"/>
      <c r="AW337" s="8"/>
      <c r="AX337" s="6"/>
      <c r="AY337" s="7"/>
      <c r="BA337" s="5"/>
    </row>
    <row r="338" customFormat="false" ht="18" hidden="false" customHeight="true" outlineLevel="0" collapsed="false">
      <c r="C338" s="5"/>
      <c r="V338" s="6"/>
      <c r="W338" s="6"/>
      <c r="X338" s="6"/>
      <c r="Y338" s="6"/>
      <c r="Z338" s="6"/>
      <c r="AA338" s="6"/>
      <c r="AB338" s="6"/>
      <c r="AC338" s="6"/>
      <c r="AD338" s="6"/>
      <c r="AM338" s="7"/>
      <c r="AN338" s="6"/>
      <c r="AO338" s="7"/>
      <c r="AP338" s="7"/>
      <c r="AR338" s="7"/>
      <c r="AS338" s="8"/>
      <c r="AW338" s="8"/>
      <c r="AX338" s="6"/>
      <c r="AY338" s="7"/>
      <c r="BA338" s="5"/>
    </row>
    <row r="339" customFormat="false" ht="18" hidden="false" customHeight="true" outlineLevel="0" collapsed="false">
      <c r="C339" s="5"/>
      <c r="V339" s="6"/>
      <c r="W339" s="6"/>
      <c r="X339" s="6"/>
      <c r="Y339" s="6"/>
      <c r="Z339" s="6"/>
      <c r="AA339" s="6"/>
      <c r="AB339" s="6"/>
      <c r="AC339" s="6"/>
      <c r="AD339" s="6"/>
      <c r="AM339" s="7"/>
      <c r="AN339" s="6"/>
      <c r="AO339" s="7"/>
      <c r="AP339" s="7"/>
      <c r="AR339" s="7"/>
      <c r="AS339" s="8"/>
      <c r="AW339" s="8"/>
      <c r="AX339" s="6"/>
      <c r="AY339" s="7"/>
      <c r="BA339" s="5"/>
    </row>
    <row r="340" customFormat="false" ht="18" hidden="false" customHeight="true" outlineLevel="0" collapsed="false">
      <c r="C340" s="5"/>
      <c r="V340" s="6"/>
      <c r="W340" s="6"/>
      <c r="X340" s="6"/>
      <c r="Y340" s="6"/>
      <c r="Z340" s="6"/>
      <c r="AA340" s="6"/>
      <c r="AB340" s="6"/>
      <c r="AC340" s="6"/>
      <c r="AD340" s="6"/>
      <c r="AM340" s="7"/>
      <c r="AN340" s="6"/>
      <c r="AO340" s="7"/>
      <c r="AP340" s="7"/>
      <c r="AR340" s="7"/>
      <c r="AS340" s="8"/>
      <c r="AW340" s="8"/>
      <c r="AX340" s="6"/>
      <c r="AY340" s="7"/>
      <c r="BA340" s="5"/>
    </row>
    <row r="341" customFormat="false" ht="18" hidden="false" customHeight="true" outlineLevel="0" collapsed="false">
      <c r="C341" s="5"/>
      <c r="V341" s="6"/>
      <c r="W341" s="6"/>
      <c r="X341" s="6"/>
      <c r="Y341" s="6"/>
      <c r="Z341" s="6"/>
      <c r="AA341" s="6"/>
      <c r="AB341" s="6"/>
      <c r="AC341" s="6"/>
      <c r="AD341" s="6"/>
      <c r="AM341" s="7"/>
      <c r="AN341" s="6"/>
      <c r="AO341" s="7"/>
      <c r="AP341" s="7"/>
      <c r="AR341" s="7"/>
      <c r="AS341" s="8"/>
      <c r="AW341" s="8"/>
      <c r="AX341" s="6"/>
      <c r="AY341" s="7"/>
      <c r="BA341" s="5"/>
    </row>
    <row r="342" customFormat="false" ht="18" hidden="false" customHeight="true" outlineLevel="0" collapsed="false">
      <c r="C342" s="5"/>
      <c r="V342" s="6"/>
      <c r="W342" s="6"/>
      <c r="X342" s="6"/>
      <c r="Y342" s="6"/>
      <c r="Z342" s="6"/>
      <c r="AA342" s="6"/>
      <c r="AB342" s="6"/>
      <c r="AC342" s="6"/>
      <c r="AD342" s="6"/>
      <c r="AM342" s="7"/>
      <c r="AN342" s="6"/>
      <c r="AO342" s="7"/>
      <c r="AP342" s="7"/>
      <c r="AR342" s="7"/>
      <c r="AS342" s="8"/>
      <c r="AW342" s="8"/>
      <c r="AX342" s="6"/>
      <c r="AY342" s="7"/>
      <c r="BA342" s="5"/>
    </row>
    <row r="343" customFormat="false" ht="18" hidden="false" customHeight="true" outlineLevel="0" collapsed="false">
      <c r="C343" s="5"/>
      <c r="V343" s="6"/>
      <c r="W343" s="6"/>
      <c r="X343" s="6"/>
      <c r="Y343" s="6"/>
      <c r="Z343" s="6"/>
      <c r="AA343" s="6"/>
      <c r="AB343" s="6"/>
      <c r="AC343" s="6"/>
      <c r="AD343" s="6"/>
      <c r="AM343" s="7"/>
      <c r="AN343" s="6"/>
      <c r="AO343" s="7"/>
      <c r="AP343" s="7"/>
      <c r="AR343" s="7"/>
      <c r="AS343" s="8"/>
      <c r="AW343" s="8"/>
      <c r="AX343" s="6"/>
      <c r="AY343" s="7"/>
      <c r="BA343" s="5"/>
    </row>
    <row r="344" customFormat="false" ht="18" hidden="false" customHeight="true" outlineLevel="0" collapsed="false">
      <c r="C344" s="5"/>
      <c r="V344" s="6"/>
      <c r="W344" s="6"/>
      <c r="X344" s="6"/>
      <c r="Y344" s="6"/>
      <c r="Z344" s="6"/>
      <c r="AA344" s="6"/>
      <c r="AB344" s="6"/>
      <c r="AC344" s="6"/>
      <c r="AD344" s="6"/>
      <c r="AM344" s="7"/>
      <c r="AN344" s="6"/>
      <c r="AO344" s="7"/>
      <c r="AP344" s="7"/>
      <c r="AR344" s="7"/>
      <c r="AS344" s="8"/>
      <c r="AW344" s="8"/>
      <c r="AX344" s="6"/>
      <c r="AY344" s="7"/>
      <c r="BA344" s="5"/>
    </row>
    <row r="345" customFormat="false" ht="18" hidden="false" customHeight="true" outlineLevel="0" collapsed="false">
      <c r="C345" s="5"/>
      <c r="V345" s="6"/>
      <c r="W345" s="6"/>
      <c r="X345" s="6"/>
      <c r="Y345" s="6"/>
      <c r="Z345" s="6"/>
      <c r="AA345" s="6"/>
      <c r="AB345" s="6"/>
      <c r="AC345" s="6"/>
      <c r="AD345" s="6"/>
      <c r="AM345" s="7"/>
      <c r="AN345" s="6"/>
      <c r="AO345" s="7"/>
      <c r="AP345" s="7"/>
      <c r="AR345" s="7"/>
      <c r="AS345" s="8"/>
      <c r="AW345" s="8"/>
      <c r="AX345" s="6"/>
      <c r="AY345" s="7"/>
      <c r="BA345" s="5"/>
    </row>
    <row r="346" customFormat="false" ht="18" hidden="false" customHeight="true" outlineLevel="0" collapsed="false">
      <c r="C346" s="5"/>
      <c r="V346" s="6"/>
      <c r="W346" s="6"/>
      <c r="X346" s="6"/>
      <c r="Y346" s="6"/>
      <c r="Z346" s="6"/>
      <c r="AA346" s="6"/>
      <c r="AB346" s="6"/>
      <c r="AC346" s="6"/>
      <c r="AD346" s="6"/>
      <c r="AM346" s="7"/>
      <c r="AN346" s="6"/>
      <c r="AO346" s="7"/>
      <c r="AP346" s="7"/>
      <c r="AR346" s="7"/>
      <c r="AS346" s="8"/>
      <c r="AW346" s="8"/>
      <c r="AX346" s="6"/>
      <c r="AY346" s="7"/>
      <c r="BA346" s="5"/>
    </row>
    <row r="347" customFormat="false" ht="18" hidden="false" customHeight="true" outlineLevel="0" collapsed="false">
      <c r="C347" s="5"/>
      <c r="V347" s="6"/>
      <c r="W347" s="6"/>
      <c r="X347" s="6"/>
      <c r="Y347" s="6"/>
      <c r="Z347" s="6"/>
      <c r="AA347" s="6"/>
      <c r="AB347" s="6"/>
      <c r="AC347" s="6"/>
      <c r="AD347" s="6"/>
      <c r="AM347" s="7"/>
      <c r="AN347" s="6"/>
      <c r="AO347" s="7"/>
      <c r="AP347" s="7"/>
      <c r="AR347" s="7"/>
      <c r="AS347" s="8"/>
      <c r="AW347" s="8"/>
      <c r="AX347" s="6"/>
      <c r="AY347" s="7"/>
      <c r="BA347" s="5"/>
    </row>
    <row r="348" customFormat="false" ht="18" hidden="false" customHeight="true" outlineLevel="0" collapsed="false">
      <c r="C348" s="5"/>
      <c r="V348" s="6"/>
      <c r="W348" s="6"/>
      <c r="X348" s="6"/>
      <c r="Y348" s="6"/>
      <c r="Z348" s="6"/>
      <c r="AA348" s="6"/>
      <c r="AB348" s="6"/>
      <c r="AC348" s="6"/>
      <c r="AD348" s="6"/>
      <c r="AM348" s="7"/>
      <c r="AN348" s="6"/>
      <c r="AO348" s="7"/>
      <c r="AP348" s="7"/>
      <c r="AR348" s="7"/>
      <c r="AS348" s="8"/>
      <c r="AW348" s="8"/>
      <c r="AX348" s="6"/>
      <c r="AY348" s="7"/>
      <c r="BA348" s="5"/>
    </row>
    <row r="349" customFormat="false" ht="18" hidden="false" customHeight="true" outlineLevel="0" collapsed="false">
      <c r="C349" s="5"/>
      <c r="V349" s="6"/>
      <c r="W349" s="6"/>
      <c r="X349" s="6"/>
      <c r="Y349" s="6"/>
      <c r="Z349" s="6"/>
      <c r="AA349" s="6"/>
      <c r="AB349" s="6"/>
      <c r="AC349" s="6"/>
      <c r="AD349" s="6"/>
      <c r="AM349" s="7"/>
      <c r="AN349" s="6"/>
      <c r="AO349" s="7"/>
      <c r="AP349" s="7"/>
      <c r="AR349" s="7"/>
      <c r="AS349" s="8"/>
      <c r="AW349" s="8"/>
      <c r="AX349" s="6"/>
      <c r="AY349" s="7"/>
      <c r="BA349" s="5"/>
    </row>
    <row r="350" customFormat="false" ht="18" hidden="false" customHeight="true" outlineLevel="0" collapsed="false">
      <c r="C350" s="5"/>
      <c r="V350" s="6"/>
      <c r="W350" s="6"/>
      <c r="X350" s="6"/>
      <c r="Y350" s="6"/>
      <c r="Z350" s="6"/>
      <c r="AA350" s="6"/>
      <c r="AB350" s="6"/>
      <c r="AC350" s="6"/>
      <c r="AD350" s="6"/>
      <c r="AM350" s="7"/>
      <c r="AN350" s="6"/>
      <c r="AO350" s="7"/>
      <c r="AP350" s="7"/>
      <c r="AR350" s="7"/>
      <c r="AS350" s="8"/>
      <c r="AW350" s="8"/>
      <c r="AX350" s="6"/>
      <c r="AY350" s="7"/>
      <c r="BA350" s="5"/>
    </row>
    <row r="351" customFormat="false" ht="18" hidden="false" customHeight="true" outlineLevel="0" collapsed="false">
      <c r="C351" s="5"/>
      <c r="V351" s="6"/>
      <c r="W351" s="6"/>
      <c r="X351" s="6"/>
      <c r="Y351" s="6"/>
      <c r="Z351" s="6"/>
      <c r="AA351" s="6"/>
      <c r="AB351" s="6"/>
      <c r="AC351" s="6"/>
      <c r="AD351" s="6"/>
      <c r="AM351" s="7"/>
      <c r="AN351" s="6"/>
      <c r="AO351" s="7"/>
      <c r="AP351" s="7"/>
      <c r="AR351" s="7"/>
      <c r="AS351" s="8"/>
      <c r="AW351" s="8"/>
      <c r="AX351" s="6"/>
      <c r="AY351" s="7"/>
      <c r="BA351" s="5"/>
    </row>
    <row r="352" customFormat="false" ht="18" hidden="false" customHeight="true" outlineLevel="0" collapsed="false">
      <c r="C352" s="5"/>
      <c r="V352" s="6"/>
      <c r="W352" s="6"/>
      <c r="X352" s="6"/>
      <c r="Y352" s="6"/>
      <c r="Z352" s="6"/>
      <c r="AA352" s="6"/>
      <c r="AB352" s="6"/>
      <c r="AC352" s="6"/>
      <c r="AD352" s="6"/>
      <c r="AM352" s="7"/>
      <c r="AN352" s="6"/>
      <c r="AO352" s="7"/>
      <c r="AP352" s="7"/>
      <c r="AR352" s="7"/>
      <c r="AS352" s="8"/>
      <c r="AW352" s="8"/>
      <c r="AX352" s="6"/>
      <c r="AY352" s="7"/>
      <c r="BA352" s="5"/>
    </row>
    <row r="353" customFormat="false" ht="18" hidden="false" customHeight="true" outlineLevel="0" collapsed="false">
      <c r="C353" s="5"/>
      <c r="V353" s="6"/>
      <c r="W353" s="6"/>
      <c r="X353" s="6"/>
      <c r="Y353" s="6"/>
      <c r="Z353" s="6"/>
      <c r="AA353" s="6"/>
      <c r="AB353" s="6"/>
      <c r="AC353" s="6"/>
      <c r="AD353" s="6"/>
      <c r="AM353" s="7"/>
      <c r="AN353" s="6"/>
      <c r="AO353" s="7"/>
      <c r="AP353" s="7"/>
      <c r="AR353" s="7"/>
      <c r="AS353" s="8"/>
      <c r="AW353" s="8"/>
      <c r="AX353" s="6"/>
      <c r="AY353" s="7"/>
      <c r="BA353" s="5"/>
    </row>
    <row r="354" customFormat="false" ht="18" hidden="false" customHeight="true" outlineLevel="0" collapsed="false">
      <c r="C354" s="5"/>
      <c r="V354" s="6"/>
      <c r="W354" s="6"/>
      <c r="X354" s="6"/>
      <c r="Y354" s="6"/>
      <c r="Z354" s="6"/>
      <c r="AA354" s="6"/>
      <c r="AB354" s="6"/>
      <c r="AC354" s="6"/>
      <c r="AD354" s="6"/>
      <c r="AM354" s="7"/>
      <c r="AN354" s="6"/>
      <c r="AO354" s="7"/>
      <c r="AP354" s="7"/>
      <c r="AR354" s="7"/>
      <c r="AS354" s="8"/>
      <c r="AW354" s="8"/>
      <c r="AX354" s="6"/>
      <c r="AY354" s="7"/>
      <c r="BA354" s="5"/>
    </row>
    <row r="355" customFormat="false" ht="18" hidden="false" customHeight="true" outlineLevel="0" collapsed="false">
      <c r="C355" s="5"/>
      <c r="V355" s="6"/>
      <c r="W355" s="6"/>
      <c r="X355" s="6"/>
      <c r="Y355" s="6"/>
      <c r="Z355" s="6"/>
      <c r="AA355" s="6"/>
      <c r="AB355" s="6"/>
      <c r="AC355" s="6"/>
      <c r="AD355" s="6"/>
      <c r="AM355" s="7"/>
      <c r="AN355" s="6"/>
      <c r="AO355" s="7"/>
      <c r="AP355" s="7"/>
      <c r="AR355" s="7"/>
      <c r="AS355" s="8"/>
      <c r="AW355" s="8"/>
      <c r="AX355" s="6"/>
      <c r="AY355" s="7"/>
      <c r="BA355" s="5"/>
    </row>
    <row r="356" customFormat="false" ht="18" hidden="false" customHeight="true" outlineLevel="0" collapsed="false">
      <c r="C356" s="5"/>
      <c r="V356" s="6"/>
      <c r="W356" s="6"/>
      <c r="X356" s="6"/>
      <c r="Y356" s="6"/>
      <c r="Z356" s="6"/>
      <c r="AA356" s="6"/>
      <c r="AB356" s="6"/>
      <c r="AC356" s="6"/>
      <c r="AD356" s="6"/>
      <c r="AM356" s="7"/>
      <c r="AN356" s="6"/>
      <c r="AO356" s="7"/>
      <c r="AP356" s="7"/>
      <c r="AR356" s="7"/>
      <c r="AS356" s="8"/>
      <c r="AW356" s="8"/>
      <c r="AX356" s="6"/>
      <c r="AY356" s="7"/>
      <c r="BA356" s="5"/>
    </row>
    <row r="357" customFormat="false" ht="18" hidden="false" customHeight="true" outlineLevel="0" collapsed="false">
      <c r="C357" s="5"/>
      <c r="V357" s="6"/>
      <c r="W357" s="6"/>
      <c r="X357" s="6"/>
      <c r="Y357" s="6"/>
      <c r="Z357" s="6"/>
      <c r="AA357" s="6"/>
      <c r="AB357" s="6"/>
      <c r="AC357" s="6"/>
      <c r="AD357" s="6"/>
      <c r="AM357" s="7"/>
      <c r="AN357" s="6"/>
      <c r="AO357" s="7"/>
      <c r="AP357" s="7"/>
      <c r="AR357" s="7"/>
      <c r="AS357" s="8"/>
      <c r="AW357" s="8"/>
      <c r="AX357" s="6"/>
      <c r="AY357" s="7"/>
      <c r="BA357" s="5"/>
    </row>
    <row r="358" customFormat="false" ht="18" hidden="false" customHeight="true" outlineLevel="0" collapsed="false">
      <c r="C358" s="5"/>
      <c r="V358" s="6"/>
      <c r="W358" s="6"/>
      <c r="X358" s="6"/>
      <c r="Y358" s="6"/>
      <c r="Z358" s="6"/>
      <c r="AA358" s="6"/>
      <c r="AB358" s="6"/>
      <c r="AC358" s="6"/>
      <c r="AD358" s="6"/>
      <c r="AM358" s="7"/>
      <c r="AN358" s="6"/>
      <c r="AO358" s="7"/>
      <c r="AP358" s="7"/>
      <c r="AR358" s="7"/>
      <c r="AS358" s="8"/>
      <c r="AW358" s="8"/>
      <c r="AX358" s="6"/>
      <c r="AY358" s="7"/>
      <c r="BA358" s="5"/>
    </row>
    <row r="359" customFormat="false" ht="18" hidden="false" customHeight="true" outlineLevel="0" collapsed="false">
      <c r="C359" s="5"/>
      <c r="V359" s="6"/>
      <c r="W359" s="6"/>
      <c r="X359" s="6"/>
      <c r="Y359" s="6"/>
      <c r="Z359" s="6"/>
      <c r="AA359" s="6"/>
      <c r="AB359" s="6"/>
      <c r="AC359" s="6"/>
      <c r="AD359" s="6"/>
      <c r="AM359" s="7"/>
      <c r="AN359" s="6"/>
      <c r="AO359" s="7"/>
      <c r="AP359" s="7"/>
      <c r="AR359" s="7"/>
      <c r="AS359" s="8"/>
      <c r="AW359" s="8"/>
      <c r="AX359" s="6"/>
      <c r="AY359" s="7"/>
      <c r="BA359" s="5"/>
    </row>
    <row r="360" customFormat="false" ht="18" hidden="false" customHeight="true" outlineLevel="0" collapsed="false">
      <c r="C360" s="5"/>
      <c r="V360" s="6"/>
      <c r="W360" s="6"/>
      <c r="X360" s="6"/>
      <c r="Y360" s="6"/>
      <c r="Z360" s="6"/>
      <c r="AA360" s="6"/>
      <c r="AB360" s="6"/>
      <c r="AC360" s="6"/>
      <c r="AD360" s="6"/>
      <c r="AM360" s="7"/>
      <c r="AN360" s="6"/>
      <c r="AO360" s="7"/>
      <c r="AP360" s="7"/>
      <c r="AR360" s="7"/>
      <c r="AS360" s="8"/>
      <c r="AW360" s="8"/>
      <c r="AX360" s="6"/>
      <c r="AY360" s="7"/>
      <c r="BA360" s="5"/>
    </row>
    <row r="361" customFormat="false" ht="18" hidden="false" customHeight="true" outlineLevel="0" collapsed="false">
      <c r="C361" s="5"/>
      <c r="V361" s="6"/>
      <c r="W361" s="6"/>
      <c r="X361" s="6"/>
      <c r="Y361" s="6"/>
      <c r="Z361" s="6"/>
      <c r="AA361" s="6"/>
      <c r="AB361" s="6"/>
      <c r="AC361" s="6"/>
      <c r="AD361" s="6"/>
      <c r="AM361" s="7"/>
      <c r="AN361" s="6"/>
      <c r="AO361" s="7"/>
      <c r="AP361" s="7"/>
      <c r="AR361" s="7"/>
      <c r="AS361" s="8"/>
      <c r="AW361" s="8"/>
      <c r="AX361" s="6"/>
      <c r="AY361" s="7"/>
      <c r="BA361" s="5"/>
    </row>
    <row r="362" customFormat="false" ht="18" hidden="false" customHeight="true" outlineLevel="0" collapsed="false">
      <c r="C362" s="5"/>
      <c r="V362" s="6"/>
      <c r="W362" s="6"/>
      <c r="X362" s="6"/>
      <c r="Y362" s="6"/>
      <c r="Z362" s="6"/>
      <c r="AA362" s="6"/>
      <c r="AB362" s="6"/>
      <c r="AC362" s="6"/>
      <c r="AD362" s="6"/>
      <c r="AM362" s="7"/>
      <c r="AN362" s="6"/>
      <c r="AO362" s="7"/>
      <c r="AP362" s="7"/>
      <c r="AR362" s="7"/>
      <c r="AS362" s="8"/>
      <c r="AW362" s="8"/>
      <c r="AX362" s="6"/>
      <c r="AY362" s="7"/>
      <c r="BA362" s="5"/>
    </row>
    <row r="363" customFormat="false" ht="18" hidden="false" customHeight="true" outlineLevel="0" collapsed="false">
      <c r="C363" s="5"/>
      <c r="V363" s="6"/>
      <c r="W363" s="6"/>
      <c r="X363" s="6"/>
      <c r="Y363" s="6"/>
      <c r="Z363" s="6"/>
      <c r="AA363" s="6"/>
      <c r="AB363" s="6"/>
      <c r="AC363" s="6"/>
      <c r="AD363" s="6"/>
      <c r="AM363" s="7"/>
      <c r="AN363" s="6"/>
      <c r="AO363" s="7"/>
      <c r="AP363" s="7"/>
      <c r="AR363" s="7"/>
      <c r="AS363" s="8"/>
      <c r="AW363" s="8"/>
      <c r="AX363" s="6"/>
      <c r="AY363" s="7"/>
      <c r="BA363" s="5"/>
    </row>
    <row r="364" customFormat="false" ht="18" hidden="false" customHeight="true" outlineLevel="0" collapsed="false">
      <c r="C364" s="5"/>
      <c r="V364" s="6"/>
      <c r="W364" s="6"/>
      <c r="X364" s="6"/>
      <c r="Y364" s="6"/>
      <c r="Z364" s="6"/>
      <c r="AA364" s="6"/>
      <c r="AB364" s="6"/>
      <c r="AC364" s="6"/>
      <c r="AD364" s="6"/>
      <c r="AM364" s="7"/>
      <c r="AN364" s="6"/>
      <c r="AO364" s="7"/>
      <c r="AP364" s="7"/>
      <c r="AR364" s="7"/>
      <c r="AS364" s="8"/>
      <c r="AW364" s="8"/>
      <c r="AX364" s="6"/>
      <c r="AY364" s="7"/>
      <c r="BA364" s="5"/>
    </row>
    <row r="365" customFormat="false" ht="18" hidden="false" customHeight="true" outlineLevel="0" collapsed="false">
      <c r="C365" s="5"/>
      <c r="V365" s="6"/>
      <c r="W365" s="6"/>
      <c r="X365" s="6"/>
      <c r="Y365" s="6"/>
      <c r="Z365" s="6"/>
      <c r="AA365" s="6"/>
      <c r="AB365" s="6"/>
      <c r="AC365" s="6"/>
      <c r="AD365" s="6"/>
      <c r="AM365" s="7"/>
      <c r="AN365" s="6"/>
      <c r="AO365" s="7"/>
      <c r="AP365" s="7"/>
      <c r="AR365" s="7"/>
      <c r="AS365" s="8"/>
      <c r="AW365" s="8"/>
      <c r="AX365" s="6"/>
      <c r="AY365" s="7"/>
      <c r="BA365" s="5"/>
    </row>
    <row r="366" customFormat="false" ht="18" hidden="false" customHeight="true" outlineLevel="0" collapsed="false">
      <c r="C366" s="5"/>
      <c r="V366" s="6"/>
      <c r="W366" s="6"/>
      <c r="X366" s="6"/>
      <c r="Y366" s="6"/>
      <c r="Z366" s="6"/>
      <c r="AA366" s="6"/>
      <c r="AB366" s="6"/>
      <c r="AC366" s="6"/>
      <c r="AD366" s="6"/>
      <c r="AM366" s="7"/>
      <c r="AN366" s="6"/>
      <c r="AO366" s="7"/>
      <c r="AP366" s="7"/>
      <c r="AR366" s="7"/>
      <c r="AS366" s="8"/>
      <c r="AW366" s="8"/>
      <c r="AX366" s="6"/>
      <c r="AY366" s="7"/>
      <c r="BA366" s="5"/>
    </row>
    <row r="367" customFormat="false" ht="18" hidden="false" customHeight="true" outlineLevel="0" collapsed="false">
      <c r="C367" s="5"/>
      <c r="V367" s="6"/>
      <c r="W367" s="6"/>
      <c r="X367" s="6"/>
      <c r="Y367" s="6"/>
      <c r="Z367" s="6"/>
      <c r="AA367" s="6"/>
      <c r="AB367" s="6"/>
      <c r="AC367" s="6"/>
      <c r="AD367" s="6"/>
      <c r="AM367" s="7"/>
      <c r="AN367" s="6"/>
      <c r="AO367" s="7"/>
      <c r="AP367" s="7"/>
      <c r="AR367" s="7"/>
      <c r="AS367" s="8"/>
      <c r="AW367" s="8"/>
      <c r="AX367" s="6"/>
      <c r="AY367" s="7"/>
      <c r="BA367" s="5"/>
    </row>
    <row r="368" customFormat="false" ht="18" hidden="false" customHeight="true" outlineLevel="0" collapsed="false">
      <c r="C368" s="5"/>
      <c r="V368" s="6"/>
      <c r="W368" s="6"/>
      <c r="X368" s="6"/>
      <c r="Y368" s="6"/>
      <c r="Z368" s="6"/>
      <c r="AA368" s="6"/>
      <c r="AB368" s="6"/>
      <c r="AC368" s="6"/>
      <c r="AD368" s="6"/>
      <c r="AM368" s="7"/>
      <c r="AN368" s="6"/>
      <c r="AO368" s="7"/>
      <c r="AP368" s="7"/>
      <c r="AR368" s="7"/>
      <c r="AS368" s="8"/>
      <c r="AW368" s="8"/>
      <c r="AX368" s="6"/>
      <c r="AY368" s="7"/>
      <c r="BA368" s="5"/>
    </row>
    <row r="369" customFormat="false" ht="18" hidden="false" customHeight="true" outlineLevel="0" collapsed="false">
      <c r="C369" s="5"/>
      <c r="V369" s="6"/>
      <c r="W369" s="6"/>
      <c r="X369" s="6"/>
      <c r="Y369" s="6"/>
      <c r="Z369" s="6"/>
      <c r="AA369" s="6"/>
      <c r="AB369" s="6"/>
      <c r="AC369" s="6"/>
      <c r="AD369" s="6"/>
      <c r="AM369" s="7"/>
      <c r="AN369" s="6"/>
      <c r="AO369" s="7"/>
      <c r="AP369" s="7"/>
      <c r="AR369" s="7"/>
      <c r="AS369" s="8"/>
      <c r="AW369" s="8"/>
      <c r="AX369" s="6"/>
      <c r="AY369" s="7"/>
      <c r="BA369" s="5"/>
    </row>
    <row r="370" customFormat="false" ht="18" hidden="false" customHeight="true" outlineLevel="0" collapsed="false">
      <c r="C370" s="5"/>
      <c r="V370" s="6"/>
      <c r="W370" s="6"/>
      <c r="X370" s="6"/>
      <c r="Y370" s="6"/>
      <c r="Z370" s="6"/>
      <c r="AA370" s="6"/>
      <c r="AB370" s="6"/>
      <c r="AC370" s="6"/>
      <c r="AD370" s="6"/>
      <c r="AM370" s="7"/>
      <c r="AN370" s="6"/>
      <c r="AO370" s="7"/>
      <c r="AP370" s="7"/>
      <c r="AR370" s="7"/>
      <c r="AS370" s="8"/>
      <c r="AW370" s="8"/>
      <c r="AX370" s="6"/>
      <c r="AY370" s="7"/>
      <c r="BA370" s="5"/>
    </row>
    <row r="371" customFormat="false" ht="18" hidden="false" customHeight="true" outlineLevel="0" collapsed="false">
      <c r="C371" s="5"/>
      <c r="V371" s="6"/>
      <c r="W371" s="6"/>
      <c r="X371" s="6"/>
      <c r="Y371" s="6"/>
      <c r="Z371" s="6"/>
      <c r="AA371" s="6"/>
      <c r="AB371" s="6"/>
      <c r="AC371" s="6"/>
      <c r="AD371" s="6"/>
      <c r="AM371" s="7"/>
      <c r="AN371" s="6"/>
      <c r="AO371" s="7"/>
      <c r="AP371" s="7"/>
      <c r="AR371" s="7"/>
      <c r="AS371" s="8"/>
      <c r="AW371" s="8"/>
      <c r="AX371" s="6"/>
      <c r="AY371" s="7"/>
      <c r="BA371" s="5"/>
    </row>
    <row r="372" customFormat="false" ht="18" hidden="false" customHeight="true" outlineLevel="0" collapsed="false">
      <c r="C372" s="5"/>
      <c r="V372" s="6"/>
      <c r="W372" s="6"/>
      <c r="X372" s="6"/>
      <c r="Y372" s="6"/>
      <c r="Z372" s="6"/>
      <c r="AA372" s="6"/>
      <c r="AB372" s="6"/>
      <c r="AC372" s="6"/>
      <c r="AD372" s="6"/>
      <c r="AM372" s="7"/>
      <c r="AN372" s="6"/>
      <c r="AO372" s="7"/>
      <c r="AP372" s="7"/>
      <c r="AR372" s="7"/>
      <c r="AS372" s="8"/>
      <c r="AW372" s="8"/>
      <c r="AX372" s="6"/>
      <c r="AY372" s="7"/>
      <c r="BA372" s="5"/>
    </row>
    <row r="373" customFormat="false" ht="18" hidden="false" customHeight="true" outlineLevel="0" collapsed="false">
      <c r="C373" s="5"/>
      <c r="V373" s="6"/>
      <c r="W373" s="6"/>
      <c r="X373" s="6"/>
      <c r="Y373" s="6"/>
      <c r="Z373" s="6"/>
      <c r="AA373" s="6"/>
      <c r="AB373" s="6"/>
      <c r="AC373" s="6"/>
      <c r="AD373" s="6"/>
      <c r="AM373" s="7"/>
      <c r="AN373" s="6"/>
      <c r="AO373" s="7"/>
      <c r="AP373" s="7"/>
      <c r="AR373" s="7"/>
      <c r="AS373" s="8"/>
      <c r="AW373" s="8"/>
      <c r="AX373" s="6"/>
      <c r="AY373" s="7"/>
      <c r="BA373" s="5"/>
    </row>
    <row r="374" customFormat="false" ht="18" hidden="false" customHeight="true" outlineLevel="0" collapsed="false">
      <c r="C374" s="5"/>
      <c r="V374" s="6"/>
      <c r="W374" s="6"/>
      <c r="X374" s="6"/>
      <c r="Y374" s="6"/>
      <c r="Z374" s="6"/>
      <c r="AA374" s="6"/>
      <c r="AB374" s="6"/>
      <c r="AC374" s="6"/>
      <c r="AD374" s="6"/>
      <c r="AM374" s="7"/>
      <c r="AN374" s="6"/>
      <c r="AO374" s="7"/>
      <c r="AP374" s="7"/>
      <c r="AR374" s="7"/>
      <c r="AS374" s="8"/>
      <c r="AW374" s="8"/>
      <c r="AX374" s="6"/>
      <c r="AY374" s="7"/>
      <c r="BA374" s="5"/>
    </row>
    <row r="375" customFormat="false" ht="18" hidden="false" customHeight="true" outlineLevel="0" collapsed="false">
      <c r="C375" s="5"/>
      <c r="V375" s="6"/>
      <c r="W375" s="6"/>
      <c r="X375" s="6"/>
      <c r="Y375" s="6"/>
      <c r="Z375" s="6"/>
      <c r="AA375" s="6"/>
      <c r="AB375" s="6"/>
      <c r="AC375" s="6"/>
      <c r="AD375" s="6"/>
      <c r="AM375" s="7"/>
      <c r="AN375" s="6"/>
      <c r="AO375" s="7"/>
      <c r="AP375" s="7"/>
      <c r="AR375" s="7"/>
      <c r="AS375" s="8"/>
      <c r="AW375" s="8"/>
      <c r="AX375" s="6"/>
      <c r="AY375" s="7"/>
      <c r="BA375" s="5"/>
    </row>
    <row r="376" customFormat="false" ht="18" hidden="false" customHeight="true" outlineLevel="0" collapsed="false">
      <c r="C376" s="5"/>
      <c r="V376" s="6"/>
      <c r="W376" s="6"/>
      <c r="X376" s="6"/>
      <c r="Y376" s="6"/>
      <c r="Z376" s="6"/>
      <c r="AA376" s="6"/>
      <c r="AB376" s="6"/>
      <c r="AC376" s="6"/>
      <c r="AD376" s="6"/>
      <c r="AM376" s="7"/>
      <c r="AN376" s="6"/>
      <c r="AO376" s="7"/>
      <c r="AP376" s="7"/>
      <c r="AR376" s="7"/>
      <c r="AS376" s="8"/>
      <c r="AW376" s="8"/>
      <c r="AX376" s="6"/>
      <c r="AY376" s="7"/>
      <c r="BA376" s="5"/>
    </row>
    <row r="377" customFormat="false" ht="18" hidden="false" customHeight="true" outlineLevel="0" collapsed="false">
      <c r="C377" s="5"/>
      <c r="V377" s="6"/>
      <c r="W377" s="6"/>
      <c r="X377" s="6"/>
      <c r="Y377" s="6"/>
      <c r="Z377" s="6"/>
      <c r="AA377" s="6"/>
      <c r="AB377" s="6"/>
      <c r="AC377" s="6"/>
      <c r="AD377" s="6"/>
      <c r="AM377" s="7"/>
      <c r="AN377" s="6"/>
      <c r="AO377" s="7"/>
      <c r="AP377" s="7"/>
      <c r="AR377" s="7"/>
      <c r="AS377" s="8"/>
      <c r="AW377" s="8"/>
      <c r="AX377" s="6"/>
      <c r="AY377" s="7"/>
      <c r="BA377" s="5"/>
    </row>
    <row r="378" customFormat="false" ht="18" hidden="false" customHeight="true" outlineLevel="0" collapsed="false">
      <c r="C378" s="5"/>
      <c r="V378" s="6"/>
      <c r="W378" s="6"/>
      <c r="X378" s="6"/>
      <c r="Y378" s="6"/>
      <c r="Z378" s="6"/>
      <c r="AA378" s="6"/>
      <c r="AB378" s="6"/>
      <c r="AC378" s="6"/>
      <c r="AD378" s="6"/>
      <c r="AM378" s="7"/>
      <c r="AN378" s="6"/>
      <c r="AO378" s="7"/>
      <c r="AP378" s="7"/>
      <c r="AR378" s="7"/>
      <c r="AS378" s="8"/>
      <c r="AW378" s="8"/>
      <c r="AX378" s="6"/>
      <c r="AY378" s="7"/>
      <c r="BA378" s="5"/>
    </row>
    <row r="379" customFormat="false" ht="18" hidden="false" customHeight="true" outlineLevel="0" collapsed="false">
      <c r="C379" s="5"/>
      <c r="V379" s="6"/>
      <c r="W379" s="6"/>
      <c r="X379" s="6"/>
      <c r="Y379" s="6"/>
      <c r="Z379" s="6"/>
      <c r="AA379" s="6"/>
      <c r="AB379" s="6"/>
      <c r="AC379" s="6"/>
      <c r="AD379" s="6"/>
      <c r="AM379" s="7"/>
      <c r="AN379" s="6"/>
      <c r="AO379" s="7"/>
      <c r="AP379" s="7"/>
      <c r="AR379" s="7"/>
      <c r="AS379" s="8"/>
      <c r="AW379" s="8"/>
      <c r="AX379" s="6"/>
      <c r="AY379" s="7"/>
      <c r="BA379" s="5"/>
    </row>
    <row r="380" customFormat="false" ht="18" hidden="false" customHeight="true" outlineLevel="0" collapsed="false">
      <c r="C380" s="5"/>
      <c r="V380" s="6"/>
      <c r="W380" s="6"/>
      <c r="X380" s="6"/>
      <c r="Y380" s="6"/>
      <c r="Z380" s="6"/>
      <c r="AA380" s="6"/>
      <c r="AB380" s="6"/>
      <c r="AC380" s="6"/>
      <c r="AD380" s="6"/>
      <c r="AM380" s="7"/>
      <c r="AN380" s="6"/>
      <c r="AO380" s="7"/>
      <c r="AP380" s="7"/>
      <c r="AR380" s="7"/>
      <c r="AS380" s="8"/>
      <c r="AW380" s="8"/>
      <c r="AX380" s="6"/>
      <c r="AY380" s="7"/>
      <c r="BA380" s="5"/>
    </row>
    <row r="381" customFormat="false" ht="18" hidden="false" customHeight="true" outlineLevel="0" collapsed="false">
      <c r="C381" s="5"/>
      <c r="V381" s="6"/>
      <c r="W381" s="6"/>
      <c r="X381" s="6"/>
      <c r="Y381" s="6"/>
      <c r="Z381" s="6"/>
      <c r="AA381" s="6"/>
      <c r="AB381" s="6"/>
      <c r="AC381" s="6"/>
      <c r="AD381" s="6"/>
      <c r="AM381" s="7"/>
      <c r="AN381" s="6"/>
      <c r="AO381" s="7"/>
      <c r="AP381" s="7"/>
      <c r="AR381" s="7"/>
      <c r="AS381" s="8"/>
      <c r="AW381" s="8"/>
      <c r="AX381" s="6"/>
      <c r="AY381" s="7"/>
      <c r="BA381" s="5"/>
    </row>
    <row r="382" customFormat="false" ht="18" hidden="false" customHeight="true" outlineLevel="0" collapsed="false">
      <c r="C382" s="5"/>
      <c r="V382" s="6"/>
      <c r="W382" s="6"/>
      <c r="X382" s="6"/>
      <c r="Y382" s="6"/>
      <c r="Z382" s="6"/>
      <c r="AA382" s="6"/>
      <c r="AB382" s="6"/>
      <c r="AC382" s="6"/>
      <c r="AD382" s="6"/>
      <c r="AM382" s="7"/>
      <c r="AN382" s="6"/>
      <c r="AO382" s="7"/>
      <c r="AP382" s="7"/>
      <c r="AR382" s="7"/>
      <c r="AS382" s="8"/>
      <c r="AW382" s="8"/>
      <c r="AX382" s="6"/>
      <c r="AY382" s="7"/>
      <c r="BA382" s="5"/>
    </row>
    <row r="383" customFormat="false" ht="18" hidden="false" customHeight="true" outlineLevel="0" collapsed="false">
      <c r="C383" s="5"/>
      <c r="V383" s="6"/>
      <c r="W383" s="6"/>
      <c r="X383" s="6"/>
      <c r="Y383" s="6"/>
      <c r="Z383" s="6"/>
      <c r="AA383" s="6"/>
      <c r="AB383" s="6"/>
      <c r="AC383" s="6"/>
      <c r="AD383" s="6"/>
      <c r="AM383" s="7"/>
      <c r="AN383" s="6"/>
      <c r="AO383" s="7"/>
      <c r="AP383" s="7"/>
      <c r="AR383" s="7"/>
      <c r="AS383" s="8"/>
      <c r="AW383" s="8"/>
      <c r="AX383" s="6"/>
      <c r="AY383" s="7"/>
      <c r="BA383" s="5"/>
    </row>
    <row r="384" customFormat="false" ht="18" hidden="false" customHeight="true" outlineLevel="0" collapsed="false">
      <c r="C384" s="5"/>
      <c r="V384" s="6"/>
      <c r="W384" s="6"/>
      <c r="X384" s="6"/>
      <c r="Y384" s="6"/>
      <c r="Z384" s="6"/>
      <c r="AA384" s="6"/>
      <c r="AB384" s="6"/>
      <c r="AC384" s="6"/>
      <c r="AD384" s="6"/>
      <c r="AM384" s="7"/>
      <c r="AN384" s="6"/>
      <c r="AO384" s="7"/>
      <c r="AP384" s="7"/>
      <c r="AR384" s="7"/>
      <c r="AS384" s="8"/>
      <c r="AW384" s="8"/>
      <c r="AX384" s="6"/>
      <c r="AY384" s="7"/>
      <c r="BA384" s="5"/>
    </row>
    <row r="385" customFormat="false" ht="18" hidden="false" customHeight="true" outlineLevel="0" collapsed="false">
      <c r="C385" s="5"/>
      <c r="V385" s="6"/>
      <c r="W385" s="6"/>
      <c r="X385" s="6"/>
      <c r="Y385" s="6"/>
      <c r="Z385" s="6"/>
      <c r="AA385" s="6"/>
      <c r="AB385" s="6"/>
      <c r="AC385" s="6"/>
      <c r="AD385" s="6"/>
      <c r="AM385" s="7"/>
      <c r="AN385" s="6"/>
      <c r="AO385" s="7"/>
      <c r="AP385" s="7"/>
      <c r="AR385" s="7"/>
      <c r="AS385" s="8"/>
      <c r="AW385" s="8"/>
      <c r="AX385" s="6"/>
      <c r="AY385" s="7"/>
      <c r="BA385" s="5"/>
    </row>
    <row r="386" customFormat="false" ht="18" hidden="false" customHeight="true" outlineLevel="0" collapsed="false">
      <c r="C386" s="5"/>
      <c r="V386" s="6"/>
      <c r="W386" s="6"/>
      <c r="X386" s="6"/>
      <c r="Y386" s="6"/>
      <c r="Z386" s="6"/>
      <c r="AA386" s="6"/>
      <c r="AB386" s="6"/>
      <c r="AC386" s="6"/>
      <c r="AD386" s="6"/>
      <c r="AM386" s="7"/>
      <c r="AN386" s="6"/>
      <c r="AO386" s="7"/>
      <c r="AP386" s="7"/>
      <c r="AR386" s="7"/>
      <c r="AS386" s="8"/>
      <c r="AW386" s="8"/>
      <c r="AX386" s="6"/>
      <c r="AY386" s="7"/>
      <c r="BA386" s="5"/>
    </row>
    <row r="387" customFormat="false" ht="18" hidden="false" customHeight="true" outlineLevel="0" collapsed="false">
      <c r="C387" s="5"/>
      <c r="V387" s="6"/>
      <c r="W387" s="6"/>
      <c r="X387" s="6"/>
      <c r="Y387" s="6"/>
      <c r="Z387" s="6"/>
      <c r="AA387" s="6"/>
      <c r="AB387" s="6"/>
      <c r="AC387" s="6"/>
      <c r="AD387" s="6"/>
      <c r="AM387" s="7"/>
      <c r="AN387" s="6"/>
      <c r="AO387" s="7"/>
      <c r="AP387" s="7"/>
      <c r="AR387" s="7"/>
      <c r="AS387" s="8"/>
      <c r="AW387" s="8"/>
      <c r="AX387" s="6"/>
      <c r="AY387" s="7"/>
      <c r="BA387" s="5"/>
    </row>
    <row r="388" customFormat="false" ht="18" hidden="false" customHeight="true" outlineLevel="0" collapsed="false">
      <c r="C388" s="5"/>
      <c r="V388" s="6"/>
      <c r="W388" s="6"/>
      <c r="X388" s="6"/>
      <c r="Y388" s="6"/>
      <c r="Z388" s="6"/>
      <c r="AA388" s="6"/>
      <c r="AB388" s="6"/>
      <c r="AC388" s="6"/>
      <c r="AD388" s="6"/>
      <c r="AM388" s="7"/>
      <c r="AN388" s="6"/>
      <c r="AO388" s="7"/>
      <c r="AP388" s="7"/>
      <c r="AR388" s="7"/>
      <c r="AS388" s="8"/>
      <c r="AW388" s="8"/>
      <c r="AX388" s="6"/>
      <c r="AY388" s="7"/>
      <c r="BA388" s="5"/>
    </row>
    <row r="389" customFormat="false" ht="18" hidden="false" customHeight="true" outlineLevel="0" collapsed="false">
      <c r="C389" s="5"/>
      <c r="V389" s="6"/>
      <c r="W389" s="6"/>
      <c r="X389" s="6"/>
      <c r="Y389" s="6"/>
      <c r="Z389" s="6"/>
      <c r="AA389" s="6"/>
      <c r="AB389" s="6"/>
      <c r="AC389" s="6"/>
      <c r="AD389" s="6"/>
      <c r="AM389" s="7"/>
      <c r="AN389" s="6"/>
      <c r="AO389" s="7"/>
      <c r="AP389" s="7"/>
      <c r="AR389" s="7"/>
      <c r="AS389" s="8"/>
      <c r="AW389" s="8"/>
      <c r="AX389" s="6"/>
      <c r="AY389" s="7"/>
      <c r="BA389" s="5"/>
    </row>
    <row r="390" customFormat="false" ht="18" hidden="false" customHeight="true" outlineLevel="0" collapsed="false">
      <c r="C390" s="5"/>
      <c r="V390" s="6"/>
      <c r="W390" s="6"/>
      <c r="X390" s="6"/>
      <c r="Y390" s="6"/>
      <c r="Z390" s="6"/>
      <c r="AA390" s="6"/>
      <c r="AB390" s="6"/>
      <c r="AC390" s="6"/>
      <c r="AD390" s="6"/>
      <c r="AM390" s="7"/>
      <c r="AN390" s="6"/>
      <c r="AO390" s="7"/>
      <c r="AP390" s="7"/>
      <c r="AR390" s="7"/>
      <c r="AS390" s="8"/>
      <c r="AW390" s="8"/>
      <c r="AX390" s="6"/>
      <c r="AY390" s="7"/>
      <c r="BA390" s="5"/>
    </row>
    <row r="391" customFormat="false" ht="18" hidden="false" customHeight="true" outlineLevel="0" collapsed="false">
      <c r="C391" s="5"/>
      <c r="V391" s="6"/>
      <c r="W391" s="6"/>
      <c r="X391" s="6"/>
      <c r="Y391" s="6"/>
      <c r="Z391" s="6"/>
      <c r="AA391" s="6"/>
      <c r="AB391" s="6"/>
      <c r="AC391" s="6"/>
      <c r="AD391" s="6"/>
      <c r="AM391" s="7"/>
      <c r="AN391" s="6"/>
      <c r="AO391" s="7"/>
      <c r="AP391" s="7"/>
      <c r="AR391" s="7"/>
      <c r="AS391" s="8"/>
      <c r="AW391" s="8"/>
      <c r="AX391" s="6"/>
      <c r="AY391" s="7"/>
      <c r="BA391" s="5"/>
    </row>
    <row r="392" customFormat="false" ht="18" hidden="false" customHeight="true" outlineLevel="0" collapsed="false">
      <c r="C392" s="5"/>
      <c r="V392" s="6"/>
      <c r="W392" s="6"/>
      <c r="X392" s="6"/>
      <c r="Y392" s="6"/>
      <c r="Z392" s="6"/>
      <c r="AA392" s="6"/>
      <c r="AB392" s="6"/>
      <c r="AC392" s="6"/>
      <c r="AD392" s="6"/>
      <c r="AM392" s="7"/>
      <c r="AN392" s="6"/>
      <c r="AO392" s="7"/>
      <c r="AP392" s="7"/>
      <c r="AR392" s="7"/>
      <c r="AS392" s="8"/>
      <c r="AW392" s="8"/>
      <c r="AX392" s="6"/>
      <c r="AY392" s="7"/>
      <c r="BA392" s="5"/>
    </row>
    <row r="393" customFormat="false" ht="18" hidden="false" customHeight="true" outlineLevel="0" collapsed="false">
      <c r="C393" s="5"/>
      <c r="V393" s="6"/>
      <c r="W393" s="6"/>
      <c r="X393" s="6"/>
      <c r="Y393" s="6"/>
      <c r="Z393" s="6"/>
      <c r="AA393" s="6"/>
      <c r="AB393" s="6"/>
      <c r="AC393" s="6"/>
      <c r="AD393" s="6"/>
      <c r="AM393" s="7"/>
      <c r="AN393" s="6"/>
      <c r="AO393" s="7"/>
      <c r="AP393" s="7"/>
      <c r="AR393" s="7"/>
      <c r="AS393" s="8"/>
      <c r="AW393" s="8"/>
      <c r="AX393" s="6"/>
      <c r="AY393" s="7"/>
      <c r="BA393" s="5"/>
    </row>
    <row r="394" customFormat="false" ht="18" hidden="false" customHeight="true" outlineLevel="0" collapsed="false">
      <c r="C394" s="5"/>
      <c r="V394" s="6"/>
      <c r="W394" s="6"/>
      <c r="X394" s="6"/>
      <c r="Y394" s="6"/>
      <c r="Z394" s="6"/>
      <c r="AA394" s="6"/>
      <c r="AB394" s="6"/>
      <c r="AC394" s="6"/>
      <c r="AD394" s="6"/>
      <c r="AM394" s="7"/>
      <c r="AN394" s="6"/>
      <c r="AO394" s="7"/>
      <c r="AP394" s="7"/>
      <c r="AR394" s="7"/>
      <c r="AS394" s="8"/>
      <c r="AW394" s="8"/>
      <c r="AX394" s="6"/>
      <c r="AY394" s="7"/>
      <c r="BA394" s="5"/>
    </row>
    <row r="395" customFormat="false" ht="18" hidden="false" customHeight="true" outlineLevel="0" collapsed="false">
      <c r="C395" s="5"/>
      <c r="V395" s="6"/>
      <c r="W395" s="6"/>
      <c r="X395" s="6"/>
      <c r="Y395" s="6"/>
      <c r="Z395" s="6"/>
      <c r="AA395" s="6"/>
      <c r="AB395" s="6"/>
      <c r="AC395" s="6"/>
      <c r="AD395" s="6"/>
      <c r="AM395" s="7"/>
      <c r="AN395" s="6"/>
      <c r="AO395" s="7"/>
      <c r="AP395" s="7"/>
      <c r="AR395" s="7"/>
      <c r="AS395" s="8"/>
      <c r="AW395" s="8"/>
      <c r="AX395" s="6"/>
      <c r="AY395" s="7"/>
      <c r="BA395" s="5"/>
    </row>
    <row r="396" customFormat="false" ht="18" hidden="false" customHeight="true" outlineLevel="0" collapsed="false">
      <c r="C396" s="5"/>
      <c r="V396" s="6"/>
      <c r="W396" s="6"/>
      <c r="X396" s="6"/>
      <c r="Y396" s="6"/>
      <c r="Z396" s="6"/>
      <c r="AA396" s="6"/>
      <c r="AB396" s="6"/>
      <c r="AC396" s="6"/>
      <c r="AD396" s="6"/>
      <c r="AM396" s="7"/>
      <c r="AN396" s="6"/>
      <c r="AO396" s="7"/>
      <c r="AP396" s="7"/>
      <c r="AR396" s="7"/>
      <c r="AS396" s="8"/>
      <c r="AW396" s="8"/>
      <c r="AX396" s="6"/>
      <c r="AY396" s="7"/>
      <c r="BA396" s="5"/>
    </row>
    <row r="397" customFormat="false" ht="18" hidden="false" customHeight="true" outlineLevel="0" collapsed="false">
      <c r="C397" s="5"/>
      <c r="V397" s="6"/>
      <c r="W397" s="6"/>
      <c r="X397" s="6"/>
      <c r="Y397" s="6"/>
      <c r="Z397" s="6"/>
      <c r="AA397" s="6"/>
      <c r="AB397" s="6"/>
      <c r="AC397" s="6"/>
      <c r="AD397" s="6"/>
      <c r="AM397" s="7"/>
      <c r="AN397" s="6"/>
      <c r="AO397" s="7"/>
      <c r="AP397" s="7"/>
      <c r="AR397" s="7"/>
      <c r="AS397" s="8"/>
      <c r="AW397" s="8"/>
      <c r="AX397" s="6"/>
      <c r="AY397" s="7"/>
      <c r="BA397" s="5"/>
    </row>
    <row r="398" customFormat="false" ht="18" hidden="false" customHeight="true" outlineLevel="0" collapsed="false">
      <c r="C398" s="5"/>
      <c r="V398" s="6"/>
      <c r="W398" s="6"/>
      <c r="X398" s="6"/>
      <c r="Y398" s="6"/>
      <c r="Z398" s="6"/>
      <c r="AA398" s="6"/>
      <c r="AB398" s="6"/>
      <c r="AC398" s="6"/>
      <c r="AD398" s="6"/>
      <c r="AM398" s="7"/>
      <c r="AN398" s="6"/>
      <c r="AO398" s="7"/>
      <c r="AP398" s="7"/>
      <c r="AR398" s="7"/>
      <c r="AS398" s="8"/>
      <c r="AW398" s="8"/>
      <c r="AX398" s="6"/>
      <c r="AY398" s="7"/>
      <c r="BA398" s="5"/>
    </row>
    <row r="399" customFormat="false" ht="18" hidden="false" customHeight="true" outlineLevel="0" collapsed="false">
      <c r="C399" s="5"/>
      <c r="V399" s="6"/>
      <c r="W399" s="6"/>
      <c r="X399" s="6"/>
      <c r="Y399" s="6"/>
      <c r="Z399" s="6"/>
      <c r="AA399" s="6"/>
      <c r="AB399" s="6"/>
      <c r="AC399" s="6"/>
      <c r="AD399" s="6"/>
      <c r="AM399" s="7"/>
      <c r="AN399" s="6"/>
      <c r="AO399" s="7"/>
      <c r="AP399" s="7"/>
      <c r="AR399" s="7"/>
      <c r="AS399" s="8"/>
      <c r="AW399" s="8"/>
      <c r="AX399" s="6"/>
      <c r="AY399" s="7"/>
      <c r="BA399" s="5"/>
    </row>
    <row r="400" customFormat="false" ht="18" hidden="false" customHeight="true" outlineLevel="0" collapsed="false">
      <c r="C400" s="5"/>
      <c r="V400" s="6"/>
      <c r="W400" s="6"/>
      <c r="X400" s="6"/>
      <c r="Y400" s="6"/>
      <c r="Z400" s="6"/>
      <c r="AA400" s="6"/>
      <c r="AB400" s="6"/>
      <c r="AC400" s="6"/>
      <c r="AD400" s="6"/>
      <c r="AM400" s="7"/>
      <c r="AN400" s="6"/>
      <c r="AO400" s="7"/>
      <c r="AP400" s="7"/>
      <c r="AR400" s="7"/>
      <c r="AS400" s="8"/>
      <c r="AW400" s="8"/>
      <c r="AX400" s="6"/>
      <c r="AY400" s="7"/>
      <c r="BA400" s="5"/>
    </row>
    <row r="401" customFormat="false" ht="18" hidden="false" customHeight="true" outlineLevel="0" collapsed="false">
      <c r="C401" s="5"/>
      <c r="V401" s="6"/>
      <c r="W401" s="6"/>
      <c r="X401" s="6"/>
      <c r="Y401" s="6"/>
      <c r="Z401" s="6"/>
      <c r="AA401" s="6"/>
      <c r="AB401" s="6"/>
      <c r="AC401" s="6"/>
      <c r="AD401" s="6"/>
      <c r="AM401" s="7"/>
      <c r="AN401" s="6"/>
      <c r="AO401" s="7"/>
      <c r="AP401" s="7"/>
      <c r="AR401" s="7"/>
      <c r="AS401" s="8"/>
      <c r="AW401" s="8"/>
      <c r="AX401" s="6"/>
      <c r="AY401" s="7"/>
      <c r="BA401" s="5"/>
    </row>
  </sheetData>
  <dataValidations count="7">
    <dataValidation allowBlank="true" errorStyle="stop" operator="between" showDropDown="false" showErrorMessage="false" showInputMessage="false" sqref="B2:B401" type="list">
      <formula1>"Abierto,Cerrado"</formula1>
      <formula2>0</formula2>
    </dataValidation>
    <dataValidation allowBlank="true" errorStyle="stop" operator="between" showDropDown="false" showErrorMessage="false" showInputMessage="false" sqref="P2:P401" type="list">
      <formula1>"0,1,2+"</formula1>
      <formula2>0</formula2>
    </dataValidation>
    <dataValidation allowBlank="true" errorStyle="stop" operator="between" showDropDown="false" showErrorMessage="false" showInputMessage="false" sqref="Q2:Q401" type="list">
      <formula1>"0,1,2+"</formula1>
      <formula2>0</formula2>
    </dataValidation>
    <dataValidation allowBlank="true" errorStyle="stop" operator="between" showDropDown="false" showErrorMessage="false" showInputMessage="false" sqref="R2:R401" type="list">
      <formula1>"ninguno,local,visitante"</formula1>
      <formula2>0</formula2>
    </dataValidation>
    <dataValidation allowBlank="true" errorStyle="stop" operator="between" showDropDown="false" showErrorMessage="false" showInputMessage="false" sqref="S2:S401" type="list">
      <formula1>"Sí,No"</formula1>
      <formula2>0</formula2>
    </dataValidation>
    <dataValidation allowBlank="true" errorStyle="stop" operator="between" showDropDown="false" showErrorMessage="false" showInputMessage="false" sqref="AT2:AT401" type="list">
      <formula1>"APOSTAR,BORDERLINE,PASAR"</formula1>
      <formula2>0</formula2>
    </dataValidation>
    <dataValidation allowBlank="true" errorStyle="stop" operator="between" showDropDown="false" showErrorMessage="false" showInputMessage="false" sqref="AV2:AV401" type="list">
      <formula1>"Ganada,Perdida,Push,Cash out,Anulada"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21"/>
    <col collapsed="false" customWidth="true" hidden="false" outlineLevel="0" max="4" min="4" style="0" width="60"/>
    <col collapsed="false" customWidth="true" hidden="false" outlineLevel="0" max="5" min="5" style="0" width="45"/>
  </cols>
  <sheetData>
    <row r="1" customFormat="false" ht="15" hidden="false" customHeight="false" outlineLevel="0" collapsed="false">
      <c r="A1" s="4" t="s">
        <v>40</v>
      </c>
      <c r="B1" s="4" t="s">
        <v>46</v>
      </c>
      <c r="C1" s="4" t="s">
        <v>156</v>
      </c>
      <c r="D1" s="4" t="s">
        <v>157</v>
      </c>
      <c r="E1" s="4" t="s">
        <v>158</v>
      </c>
    </row>
    <row r="2" customFormat="false" ht="18" hidden="false" customHeight="true" outlineLevel="0" collapsed="false">
      <c r="C2" s="5"/>
      <c r="D2" s="9"/>
      <c r="E2" s="9"/>
    </row>
    <row r="3" customFormat="false" ht="18" hidden="false" customHeight="true" outlineLevel="0" collapsed="false">
      <c r="C3" s="5"/>
      <c r="D3" s="9"/>
      <c r="E3" s="9"/>
    </row>
    <row r="4" customFormat="false" ht="18" hidden="false" customHeight="true" outlineLevel="0" collapsed="false">
      <c r="C4" s="5"/>
      <c r="D4" s="9"/>
      <c r="E4" s="9"/>
    </row>
    <row r="5" customFormat="false" ht="18" hidden="false" customHeight="true" outlineLevel="0" collapsed="false">
      <c r="C5" s="5"/>
      <c r="D5" s="9"/>
      <c r="E5" s="9"/>
    </row>
    <row r="6" customFormat="false" ht="18" hidden="false" customHeight="true" outlineLevel="0" collapsed="false">
      <c r="C6" s="5"/>
      <c r="D6" s="9"/>
      <c r="E6" s="9"/>
    </row>
    <row r="7" customFormat="false" ht="18" hidden="false" customHeight="true" outlineLevel="0" collapsed="false">
      <c r="C7" s="5"/>
      <c r="D7" s="9"/>
      <c r="E7" s="9"/>
    </row>
    <row r="8" customFormat="false" ht="18" hidden="false" customHeight="true" outlineLevel="0" collapsed="false">
      <c r="C8" s="5"/>
      <c r="D8" s="9"/>
      <c r="E8" s="9"/>
    </row>
    <row r="9" customFormat="false" ht="18" hidden="false" customHeight="true" outlineLevel="0" collapsed="false">
      <c r="C9" s="5"/>
      <c r="D9" s="9"/>
      <c r="E9" s="9"/>
    </row>
    <row r="10" customFormat="false" ht="18" hidden="false" customHeight="true" outlineLevel="0" collapsed="false">
      <c r="C10" s="5"/>
      <c r="D10" s="9"/>
      <c r="E10" s="9"/>
    </row>
    <row r="11" customFormat="false" ht="18" hidden="false" customHeight="true" outlineLevel="0" collapsed="false">
      <c r="C11" s="5"/>
      <c r="D11" s="9"/>
      <c r="E11" s="9"/>
    </row>
    <row r="12" customFormat="false" ht="18" hidden="false" customHeight="true" outlineLevel="0" collapsed="false">
      <c r="C12" s="5"/>
      <c r="D12" s="9"/>
      <c r="E12" s="9"/>
    </row>
    <row r="13" customFormat="false" ht="18" hidden="false" customHeight="true" outlineLevel="0" collapsed="false">
      <c r="C13" s="5"/>
      <c r="D13" s="9"/>
      <c r="E13" s="9"/>
    </row>
    <row r="14" customFormat="false" ht="18" hidden="false" customHeight="true" outlineLevel="0" collapsed="false">
      <c r="C14" s="5"/>
      <c r="D14" s="9"/>
      <c r="E14" s="9"/>
    </row>
    <row r="15" customFormat="false" ht="18" hidden="false" customHeight="true" outlineLevel="0" collapsed="false">
      <c r="C15" s="5"/>
      <c r="D15" s="9"/>
      <c r="E15" s="9"/>
    </row>
    <row r="16" customFormat="false" ht="18" hidden="false" customHeight="true" outlineLevel="0" collapsed="false">
      <c r="C16" s="5"/>
      <c r="D16" s="9"/>
      <c r="E16" s="9"/>
    </row>
    <row r="17" customFormat="false" ht="18" hidden="false" customHeight="true" outlineLevel="0" collapsed="false">
      <c r="C17" s="5"/>
      <c r="D17" s="9"/>
      <c r="E17" s="9"/>
    </row>
    <row r="18" customFormat="false" ht="18" hidden="false" customHeight="true" outlineLevel="0" collapsed="false">
      <c r="C18" s="5"/>
      <c r="D18" s="9"/>
      <c r="E18" s="9"/>
    </row>
    <row r="19" customFormat="false" ht="18" hidden="false" customHeight="true" outlineLevel="0" collapsed="false">
      <c r="C19" s="5"/>
      <c r="D19" s="9"/>
      <c r="E19" s="9"/>
    </row>
    <row r="20" customFormat="false" ht="18" hidden="false" customHeight="true" outlineLevel="0" collapsed="false">
      <c r="C20" s="5"/>
      <c r="D20" s="9"/>
      <c r="E20" s="9"/>
    </row>
    <row r="21" customFormat="false" ht="18" hidden="false" customHeight="true" outlineLevel="0" collapsed="false">
      <c r="C21" s="5"/>
      <c r="D21" s="9"/>
      <c r="E21" s="9"/>
    </row>
    <row r="22" customFormat="false" ht="18" hidden="false" customHeight="true" outlineLevel="0" collapsed="false">
      <c r="C22" s="5"/>
      <c r="D22" s="9"/>
      <c r="E22" s="9"/>
    </row>
    <row r="23" customFormat="false" ht="18" hidden="false" customHeight="true" outlineLevel="0" collapsed="false">
      <c r="C23" s="5"/>
      <c r="D23" s="9"/>
      <c r="E23" s="9"/>
    </row>
    <row r="24" customFormat="false" ht="18" hidden="false" customHeight="true" outlineLevel="0" collapsed="false">
      <c r="C24" s="5"/>
      <c r="D24" s="9"/>
      <c r="E24" s="9"/>
    </row>
    <row r="25" customFormat="false" ht="18" hidden="false" customHeight="true" outlineLevel="0" collapsed="false">
      <c r="C25" s="5"/>
      <c r="D25" s="9"/>
      <c r="E25" s="9"/>
    </row>
    <row r="26" customFormat="false" ht="18" hidden="false" customHeight="true" outlineLevel="0" collapsed="false">
      <c r="C26" s="5"/>
      <c r="D26" s="9"/>
      <c r="E26" s="9"/>
    </row>
    <row r="27" customFormat="false" ht="18" hidden="false" customHeight="true" outlineLevel="0" collapsed="false">
      <c r="C27" s="5"/>
      <c r="D27" s="9"/>
      <c r="E27" s="9"/>
    </row>
    <row r="28" customFormat="false" ht="18" hidden="false" customHeight="true" outlineLevel="0" collapsed="false">
      <c r="C28" s="5"/>
      <c r="D28" s="9"/>
      <c r="E28" s="9"/>
    </row>
    <row r="29" customFormat="false" ht="18" hidden="false" customHeight="true" outlineLevel="0" collapsed="false">
      <c r="C29" s="5"/>
      <c r="D29" s="9"/>
      <c r="E29" s="9"/>
    </row>
    <row r="30" customFormat="false" ht="18" hidden="false" customHeight="true" outlineLevel="0" collapsed="false">
      <c r="C30" s="5"/>
      <c r="D30" s="9"/>
      <c r="E30" s="9"/>
    </row>
    <row r="31" customFormat="false" ht="18" hidden="false" customHeight="true" outlineLevel="0" collapsed="false">
      <c r="C31" s="5"/>
      <c r="D31" s="9"/>
      <c r="E31" s="9"/>
    </row>
    <row r="32" customFormat="false" ht="18" hidden="false" customHeight="true" outlineLevel="0" collapsed="false">
      <c r="C32" s="5"/>
      <c r="D32" s="9"/>
      <c r="E32" s="9"/>
    </row>
    <row r="33" customFormat="false" ht="18" hidden="false" customHeight="true" outlineLevel="0" collapsed="false">
      <c r="C33" s="5"/>
      <c r="D33" s="9"/>
      <c r="E33" s="9"/>
    </row>
    <row r="34" customFormat="false" ht="18" hidden="false" customHeight="true" outlineLevel="0" collapsed="false">
      <c r="C34" s="5"/>
      <c r="D34" s="9"/>
      <c r="E34" s="9"/>
    </row>
    <row r="35" customFormat="false" ht="18" hidden="false" customHeight="true" outlineLevel="0" collapsed="false">
      <c r="C35" s="5"/>
      <c r="D35" s="9"/>
      <c r="E35" s="9"/>
    </row>
    <row r="36" customFormat="false" ht="18" hidden="false" customHeight="true" outlineLevel="0" collapsed="false">
      <c r="C36" s="5"/>
      <c r="D36" s="9"/>
      <c r="E36" s="9"/>
    </row>
    <row r="37" customFormat="false" ht="18" hidden="false" customHeight="true" outlineLevel="0" collapsed="false">
      <c r="C37" s="5"/>
      <c r="D37" s="9"/>
      <c r="E37" s="9"/>
    </row>
    <row r="38" customFormat="false" ht="18" hidden="false" customHeight="true" outlineLevel="0" collapsed="false">
      <c r="C38" s="5"/>
      <c r="D38" s="9"/>
      <c r="E38" s="9"/>
    </row>
    <row r="39" customFormat="false" ht="18" hidden="false" customHeight="true" outlineLevel="0" collapsed="false">
      <c r="C39" s="5"/>
      <c r="D39" s="9"/>
      <c r="E39" s="9"/>
    </row>
    <row r="40" customFormat="false" ht="18" hidden="false" customHeight="true" outlineLevel="0" collapsed="false">
      <c r="C40" s="5"/>
      <c r="D40" s="9"/>
      <c r="E40" s="9"/>
    </row>
    <row r="41" customFormat="false" ht="18" hidden="false" customHeight="true" outlineLevel="0" collapsed="false">
      <c r="C41" s="5"/>
      <c r="D41" s="9"/>
      <c r="E41" s="9"/>
    </row>
    <row r="42" customFormat="false" ht="18" hidden="false" customHeight="true" outlineLevel="0" collapsed="false">
      <c r="C42" s="5"/>
      <c r="D42" s="9"/>
      <c r="E42" s="9"/>
    </row>
    <row r="43" customFormat="false" ht="18" hidden="false" customHeight="true" outlineLevel="0" collapsed="false">
      <c r="C43" s="5"/>
      <c r="D43" s="9"/>
      <c r="E43" s="9"/>
    </row>
    <row r="44" customFormat="false" ht="18" hidden="false" customHeight="true" outlineLevel="0" collapsed="false">
      <c r="C44" s="5"/>
      <c r="D44" s="9"/>
      <c r="E44" s="9"/>
    </row>
    <row r="45" customFormat="false" ht="18" hidden="false" customHeight="true" outlineLevel="0" collapsed="false">
      <c r="C45" s="5"/>
      <c r="D45" s="9"/>
      <c r="E45" s="9"/>
    </row>
    <row r="46" customFormat="false" ht="18" hidden="false" customHeight="true" outlineLevel="0" collapsed="false">
      <c r="C46" s="5"/>
      <c r="D46" s="9"/>
      <c r="E46" s="9"/>
    </row>
    <row r="47" customFormat="false" ht="18" hidden="false" customHeight="true" outlineLevel="0" collapsed="false">
      <c r="C47" s="5"/>
      <c r="D47" s="9"/>
      <c r="E47" s="9"/>
    </row>
    <row r="48" customFormat="false" ht="18" hidden="false" customHeight="true" outlineLevel="0" collapsed="false">
      <c r="C48" s="5"/>
      <c r="D48" s="9"/>
      <c r="E48" s="9"/>
    </row>
    <row r="49" customFormat="false" ht="18" hidden="false" customHeight="true" outlineLevel="0" collapsed="false">
      <c r="C49" s="5"/>
      <c r="D49" s="9"/>
      <c r="E49" s="9"/>
    </row>
    <row r="50" customFormat="false" ht="18" hidden="false" customHeight="true" outlineLevel="0" collapsed="false">
      <c r="C50" s="5"/>
      <c r="D50" s="9"/>
      <c r="E50" s="9"/>
    </row>
    <row r="51" customFormat="false" ht="18" hidden="false" customHeight="true" outlineLevel="0" collapsed="false">
      <c r="C51" s="5"/>
      <c r="D51" s="9"/>
      <c r="E51" s="9"/>
    </row>
    <row r="52" customFormat="false" ht="18" hidden="false" customHeight="true" outlineLevel="0" collapsed="false">
      <c r="C52" s="5"/>
      <c r="D52" s="9"/>
      <c r="E52" s="9"/>
    </row>
    <row r="53" customFormat="false" ht="18" hidden="false" customHeight="true" outlineLevel="0" collapsed="false">
      <c r="C53" s="5"/>
      <c r="D53" s="9"/>
      <c r="E53" s="9"/>
    </row>
    <row r="54" customFormat="false" ht="18" hidden="false" customHeight="true" outlineLevel="0" collapsed="false">
      <c r="C54" s="5"/>
      <c r="D54" s="9"/>
      <c r="E54" s="9"/>
    </row>
    <row r="55" customFormat="false" ht="18" hidden="false" customHeight="true" outlineLevel="0" collapsed="false">
      <c r="C55" s="5"/>
      <c r="D55" s="9"/>
      <c r="E55" s="9"/>
    </row>
    <row r="56" customFormat="false" ht="18" hidden="false" customHeight="true" outlineLevel="0" collapsed="false">
      <c r="C56" s="5"/>
      <c r="D56" s="9"/>
      <c r="E56" s="9"/>
    </row>
    <row r="57" customFormat="false" ht="18" hidden="false" customHeight="true" outlineLevel="0" collapsed="false">
      <c r="C57" s="5"/>
      <c r="D57" s="9"/>
      <c r="E57" s="9"/>
    </row>
    <row r="58" customFormat="false" ht="18" hidden="false" customHeight="true" outlineLevel="0" collapsed="false">
      <c r="C58" s="5"/>
      <c r="D58" s="9"/>
      <c r="E58" s="9"/>
    </row>
    <row r="59" customFormat="false" ht="18" hidden="false" customHeight="true" outlineLevel="0" collapsed="false">
      <c r="C59" s="5"/>
      <c r="D59" s="9"/>
      <c r="E59" s="9"/>
    </row>
    <row r="60" customFormat="false" ht="18" hidden="false" customHeight="true" outlineLevel="0" collapsed="false">
      <c r="C60" s="5"/>
      <c r="D60" s="9"/>
      <c r="E60" s="9"/>
    </row>
    <row r="61" customFormat="false" ht="18" hidden="false" customHeight="true" outlineLevel="0" collapsed="false">
      <c r="C61" s="5"/>
      <c r="D61" s="9"/>
      <c r="E61" s="9"/>
    </row>
    <row r="62" customFormat="false" ht="18" hidden="false" customHeight="true" outlineLevel="0" collapsed="false">
      <c r="C62" s="5"/>
      <c r="D62" s="9"/>
      <c r="E62" s="9"/>
    </row>
    <row r="63" customFormat="false" ht="18" hidden="false" customHeight="true" outlineLevel="0" collapsed="false">
      <c r="C63" s="5"/>
      <c r="D63" s="9"/>
      <c r="E63" s="9"/>
    </row>
    <row r="64" customFormat="false" ht="18" hidden="false" customHeight="true" outlineLevel="0" collapsed="false">
      <c r="C64" s="5"/>
      <c r="D64" s="9"/>
      <c r="E64" s="9"/>
    </row>
    <row r="65" customFormat="false" ht="18" hidden="false" customHeight="true" outlineLevel="0" collapsed="false">
      <c r="C65" s="5"/>
      <c r="D65" s="9"/>
      <c r="E65" s="9"/>
    </row>
    <row r="66" customFormat="false" ht="18" hidden="false" customHeight="true" outlineLevel="0" collapsed="false">
      <c r="C66" s="5"/>
      <c r="D66" s="9"/>
      <c r="E66" s="9"/>
    </row>
    <row r="67" customFormat="false" ht="18" hidden="false" customHeight="true" outlineLevel="0" collapsed="false">
      <c r="C67" s="5"/>
      <c r="D67" s="9"/>
      <c r="E67" s="9"/>
    </row>
    <row r="68" customFormat="false" ht="18" hidden="false" customHeight="true" outlineLevel="0" collapsed="false">
      <c r="C68" s="5"/>
      <c r="D68" s="9"/>
      <c r="E68" s="9"/>
    </row>
    <row r="69" customFormat="false" ht="18" hidden="false" customHeight="true" outlineLevel="0" collapsed="false">
      <c r="C69" s="5"/>
      <c r="D69" s="9"/>
      <c r="E69" s="9"/>
    </row>
    <row r="70" customFormat="false" ht="18" hidden="false" customHeight="true" outlineLevel="0" collapsed="false">
      <c r="C70" s="5"/>
      <c r="D70" s="9"/>
      <c r="E70" s="9"/>
    </row>
    <row r="71" customFormat="false" ht="18" hidden="false" customHeight="true" outlineLevel="0" collapsed="false">
      <c r="C71" s="5"/>
      <c r="D71" s="9"/>
      <c r="E71" s="9"/>
    </row>
    <row r="72" customFormat="false" ht="18" hidden="false" customHeight="true" outlineLevel="0" collapsed="false">
      <c r="C72" s="5"/>
      <c r="D72" s="9"/>
      <c r="E72" s="9"/>
    </row>
    <row r="73" customFormat="false" ht="18" hidden="false" customHeight="true" outlineLevel="0" collapsed="false">
      <c r="C73" s="5"/>
      <c r="D73" s="9"/>
      <c r="E73" s="9"/>
    </row>
    <row r="74" customFormat="false" ht="18" hidden="false" customHeight="true" outlineLevel="0" collapsed="false">
      <c r="C74" s="5"/>
      <c r="D74" s="9"/>
      <c r="E74" s="9"/>
    </row>
    <row r="75" customFormat="false" ht="18" hidden="false" customHeight="true" outlineLevel="0" collapsed="false">
      <c r="C75" s="5"/>
      <c r="D75" s="9"/>
      <c r="E75" s="9"/>
    </row>
    <row r="76" customFormat="false" ht="18" hidden="false" customHeight="true" outlineLevel="0" collapsed="false">
      <c r="C76" s="5"/>
      <c r="D76" s="9"/>
      <c r="E76" s="9"/>
    </row>
    <row r="77" customFormat="false" ht="18" hidden="false" customHeight="true" outlineLevel="0" collapsed="false">
      <c r="C77" s="5"/>
      <c r="D77" s="9"/>
      <c r="E77" s="9"/>
    </row>
    <row r="78" customFormat="false" ht="18" hidden="false" customHeight="true" outlineLevel="0" collapsed="false">
      <c r="C78" s="5"/>
      <c r="D78" s="9"/>
      <c r="E78" s="9"/>
    </row>
    <row r="79" customFormat="false" ht="18" hidden="false" customHeight="true" outlineLevel="0" collapsed="false">
      <c r="C79" s="5"/>
      <c r="D79" s="9"/>
      <c r="E79" s="9"/>
    </row>
    <row r="80" customFormat="false" ht="18" hidden="false" customHeight="true" outlineLevel="0" collapsed="false">
      <c r="C80" s="5"/>
      <c r="D80" s="9"/>
      <c r="E80" s="9"/>
    </row>
    <row r="81" customFormat="false" ht="18" hidden="false" customHeight="true" outlineLevel="0" collapsed="false">
      <c r="C81" s="5"/>
      <c r="D81" s="9"/>
      <c r="E81" s="9"/>
    </row>
    <row r="82" customFormat="false" ht="18" hidden="false" customHeight="true" outlineLevel="0" collapsed="false">
      <c r="C82" s="5"/>
      <c r="D82" s="9"/>
      <c r="E82" s="9"/>
    </row>
    <row r="83" customFormat="false" ht="18" hidden="false" customHeight="true" outlineLevel="0" collapsed="false">
      <c r="C83" s="5"/>
      <c r="D83" s="9"/>
      <c r="E83" s="9"/>
    </row>
    <row r="84" customFormat="false" ht="18" hidden="false" customHeight="true" outlineLevel="0" collapsed="false">
      <c r="C84" s="5"/>
      <c r="D84" s="9"/>
      <c r="E84" s="9"/>
    </row>
    <row r="85" customFormat="false" ht="18" hidden="false" customHeight="true" outlineLevel="0" collapsed="false">
      <c r="C85" s="5"/>
      <c r="D85" s="9"/>
      <c r="E85" s="9"/>
    </row>
    <row r="86" customFormat="false" ht="18" hidden="false" customHeight="true" outlineLevel="0" collapsed="false">
      <c r="C86" s="5"/>
      <c r="D86" s="9"/>
      <c r="E86" s="9"/>
    </row>
    <row r="87" customFormat="false" ht="18" hidden="false" customHeight="true" outlineLevel="0" collapsed="false">
      <c r="C87" s="5"/>
      <c r="D87" s="9"/>
      <c r="E87" s="9"/>
    </row>
    <row r="88" customFormat="false" ht="18" hidden="false" customHeight="true" outlineLevel="0" collapsed="false">
      <c r="C88" s="5"/>
      <c r="D88" s="9"/>
      <c r="E88" s="9"/>
    </row>
    <row r="89" customFormat="false" ht="18" hidden="false" customHeight="true" outlineLevel="0" collapsed="false">
      <c r="C89" s="5"/>
      <c r="D89" s="9"/>
      <c r="E89" s="9"/>
    </row>
    <row r="90" customFormat="false" ht="18" hidden="false" customHeight="true" outlineLevel="0" collapsed="false">
      <c r="C90" s="5"/>
      <c r="D90" s="9"/>
      <c r="E90" s="9"/>
    </row>
    <row r="91" customFormat="false" ht="18" hidden="false" customHeight="true" outlineLevel="0" collapsed="false">
      <c r="C91" s="5"/>
      <c r="D91" s="9"/>
      <c r="E91" s="9"/>
    </row>
    <row r="92" customFormat="false" ht="18" hidden="false" customHeight="true" outlineLevel="0" collapsed="false">
      <c r="C92" s="5"/>
      <c r="D92" s="9"/>
      <c r="E92" s="9"/>
    </row>
    <row r="93" customFormat="false" ht="18" hidden="false" customHeight="true" outlineLevel="0" collapsed="false">
      <c r="C93" s="5"/>
      <c r="D93" s="9"/>
      <c r="E93" s="9"/>
    </row>
    <row r="94" customFormat="false" ht="18" hidden="false" customHeight="true" outlineLevel="0" collapsed="false">
      <c r="C94" s="5"/>
      <c r="D94" s="9"/>
      <c r="E94" s="9"/>
    </row>
    <row r="95" customFormat="false" ht="18" hidden="false" customHeight="true" outlineLevel="0" collapsed="false">
      <c r="C95" s="5"/>
      <c r="D95" s="9"/>
      <c r="E95" s="9"/>
    </row>
    <row r="96" customFormat="false" ht="18" hidden="false" customHeight="true" outlineLevel="0" collapsed="false">
      <c r="C96" s="5"/>
      <c r="D96" s="9"/>
      <c r="E96" s="9"/>
    </row>
    <row r="97" customFormat="false" ht="18" hidden="false" customHeight="true" outlineLevel="0" collapsed="false">
      <c r="C97" s="5"/>
      <c r="D97" s="9"/>
      <c r="E97" s="9"/>
    </row>
    <row r="98" customFormat="false" ht="18" hidden="false" customHeight="true" outlineLevel="0" collapsed="false">
      <c r="C98" s="5"/>
      <c r="D98" s="9"/>
      <c r="E98" s="9"/>
    </row>
    <row r="99" customFormat="false" ht="18" hidden="false" customHeight="true" outlineLevel="0" collapsed="false">
      <c r="C99" s="5"/>
      <c r="D99" s="9"/>
      <c r="E99" s="9"/>
    </row>
    <row r="100" customFormat="false" ht="18" hidden="false" customHeight="true" outlineLevel="0" collapsed="false">
      <c r="C100" s="5"/>
      <c r="D100" s="9"/>
      <c r="E100" s="9"/>
    </row>
    <row r="101" customFormat="false" ht="18" hidden="false" customHeight="true" outlineLevel="0" collapsed="false">
      <c r="C101" s="5"/>
      <c r="D101" s="9"/>
      <c r="E101" s="9"/>
    </row>
    <row r="102" customFormat="false" ht="18" hidden="false" customHeight="true" outlineLevel="0" collapsed="false">
      <c r="C102" s="5"/>
      <c r="D102" s="9"/>
      <c r="E102" s="9"/>
    </row>
    <row r="103" customFormat="false" ht="18" hidden="false" customHeight="true" outlineLevel="0" collapsed="false">
      <c r="C103" s="5"/>
      <c r="D103" s="9"/>
      <c r="E103" s="9"/>
    </row>
    <row r="104" customFormat="false" ht="18" hidden="false" customHeight="true" outlineLevel="0" collapsed="false">
      <c r="C104" s="5"/>
      <c r="D104" s="9"/>
      <c r="E104" s="9"/>
    </row>
    <row r="105" customFormat="false" ht="18" hidden="false" customHeight="true" outlineLevel="0" collapsed="false">
      <c r="C105" s="5"/>
      <c r="D105" s="9"/>
      <c r="E105" s="9"/>
    </row>
    <row r="106" customFormat="false" ht="18" hidden="false" customHeight="true" outlineLevel="0" collapsed="false">
      <c r="C106" s="5"/>
      <c r="D106" s="9"/>
      <c r="E106" s="9"/>
    </row>
    <row r="107" customFormat="false" ht="18" hidden="false" customHeight="true" outlineLevel="0" collapsed="false">
      <c r="C107" s="5"/>
      <c r="D107" s="9"/>
      <c r="E107" s="9"/>
    </row>
    <row r="108" customFormat="false" ht="18" hidden="false" customHeight="true" outlineLevel="0" collapsed="false">
      <c r="C108" s="5"/>
      <c r="D108" s="9"/>
      <c r="E108" s="9"/>
    </row>
    <row r="109" customFormat="false" ht="18" hidden="false" customHeight="true" outlineLevel="0" collapsed="false">
      <c r="C109" s="5"/>
      <c r="D109" s="9"/>
      <c r="E109" s="9"/>
    </row>
    <row r="110" customFormat="false" ht="18" hidden="false" customHeight="true" outlineLevel="0" collapsed="false">
      <c r="C110" s="5"/>
      <c r="D110" s="9"/>
      <c r="E110" s="9"/>
    </row>
    <row r="111" customFormat="false" ht="18" hidden="false" customHeight="true" outlineLevel="0" collapsed="false">
      <c r="C111" s="5"/>
      <c r="D111" s="9"/>
      <c r="E111" s="9"/>
    </row>
    <row r="112" customFormat="false" ht="18" hidden="false" customHeight="true" outlineLevel="0" collapsed="false">
      <c r="C112" s="5"/>
      <c r="D112" s="9"/>
      <c r="E112" s="9"/>
    </row>
    <row r="113" customFormat="false" ht="18" hidden="false" customHeight="true" outlineLevel="0" collapsed="false">
      <c r="C113" s="5"/>
      <c r="D113" s="9"/>
      <c r="E113" s="9"/>
    </row>
    <row r="114" customFormat="false" ht="18" hidden="false" customHeight="true" outlineLevel="0" collapsed="false">
      <c r="C114" s="5"/>
      <c r="D114" s="9"/>
      <c r="E114" s="9"/>
    </row>
    <row r="115" customFormat="false" ht="18" hidden="false" customHeight="true" outlineLevel="0" collapsed="false">
      <c r="C115" s="5"/>
      <c r="D115" s="9"/>
      <c r="E115" s="9"/>
    </row>
    <row r="116" customFormat="false" ht="18" hidden="false" customHeight="true" outlineLevel="0" collapsed="false">
      <c r="C116" s="5"/>
      <c r="D116" s="9"/>
      <c r="E116" s="9"/>
    </row>
    <row r="117" customFormat="false" ht="18" hidden="false" customHeight="true" outlineLevel="0" collapsed="false">
      <c r="C117" s="5"/>
      <c r="D117" s="9"/>
      <c r="E117" s="9"/>
    </row>
    <row r="118" customFormat="false" ht="18" hidden="false" customHeight="true" outlineLevel="0" collapsed="false">
      <c r="C118" s="5"/>
      <c r="D118" s="9"/>
      <c r="E118" s="9"/>
    </row>
    <row r="119" customFormat="false" ht="18" hidden="false" customHeight="true" outlineLevel="0" collapsed="false">
      <c r="C119" s="5"/>
      <c r="D119" s="9"/>
      <c r="E119" s="9"/>
    </row>
    <row r="120" customFormat="false" ht="18" hidden="false" customHeight="true" outlineLevel="0" collapsed="false">
      <c r="C120" s="5"/>
      <c r="D120" s="9"/>
      <c r="E120" s="9"/>
    </row>
    <row r="121" customFormat="false" ht="18" hidden="false" customHeight="true" outlineLevel="0" collapsed="false">
      <c r="C121" s="5"/>
      <c r="D121" s="9"/>
      <c r="E121" s="9"/>
    </row>
    <row r="122" customFormat="false" ht="18" hidden="false" customHeight="true" outlineLevel="0" collapsed="false">
      <c r="C122" s="5"/>
      <c r="D122" s="9"/>
      <c r="E122" s="9"/>
    </row>
    <row r="123" customFormat="false" ht="18" hidden="false" customHeight="true" outlineLevel="0" collapsed="false">
      <c r="C123" s="5"/>
      <c r="D123" s="9"/>
      <c r="E123" s="9"/>
    </row>
    <row r="124" customFormat="false" ht="18" hidden="false" customHeight="true" outlineLevel="0" collapsed="false">
      <c r="C124" s="5"/>
      <c r="D124" s="9"/>
      <c r="E124" s="9"/>
    </row>
    <row r="125" customFormat="false" ht="18" hidden="false" customHeight="true" outlineLevel="0" collapsed="false">
      <c r="C125" s="5"/>
      <c r="D125" s="9"/>
      <c r="E125" s="9"/>
    </row>
    <row r="126" customFormat="false" ht="18" hidden="false" customHeight="true" outlineLevel="0" collapsed="false">
      <c r="C126" s="5"/>
      <c r="D126" s="9"/>
      <c r="E126" s="9"/>
    </row>
    <row r="127" customFormat="false" ht="18" hidden="false" customHeight="true" outlineLevel="0" collapsed="false">
      <c r="C127" s="5"/>
      <c r="D127" s="9"/>
      <c r="E127" s="9"/>
    </row>
    <row r="128" customFormat="false" ht="18" hidden="false" customHeight="true" outlineLevel="0" collapsed="false">
      <c r="C128" s="5"/>
      <c r="D128" s="9"/>
      <c r="E128" s="9"/>
    </row>
    <row r="129" customFormat="false" ht="18" hidden="false" customHeight="true" outlineLevel="0" collapsed="false">
      <c r="C129" s="5"/>
      <c r="D129" s="9"/>
      <c r="E129" s="9"/>
    </row>
    <row r="130" customFormat="false" ht="18" hidden="false" customHeight="true" outlineLevel="0" collapsed="false">
      <c r="C130" s="5"/>
      <c r="D130" s="9"/>
      <c r="E130" s="9"/>
    </row>
    <row r="131" customFormat="false" ht="18" hidden="false" customHeight="true" outlineLevel="0" collapsed="false">
      <c r="C131" s="5"/>
      <c r="D131" s="9"/>
      <c r="E131" s="9"/>
    </row>
    <row r="132" customFormat="false" ht="18" hidden="false" customHeight="true" outlineLevel="0" collapsed="false">
      <c r="C132" s="5"/>
      <c r="D132" s="9"/>
      <c r="E132" s="9"/>
    </row>
    <row r="133" customFormat="false" ht="18" hidden="false" customHeight="true" outlineLevel="0" collapsed="false">
      <c r="C133" s="5"/>
      <c r="D133" s="9"/>
      <c r="E133" s="9"/>
    </row>
    <row r="134" customFormat="false" ht="18" hidden="false" customHeight="true" outlineLevel="0" collapsed="false">
      <c r="C134" s="5"/>
      <c r="D134" s="9"/>
      <c r="E134" s="9"/>
    </row>
    <row r="135" customFormat="false" ht="18" hidden="false" customHeight="true" outlineLevel="0" collapsed="false">
      <c r="C135" s="5"/>
      <c r="D135" s="9"/>
      <c r="E135" s="9"/>
    </row>
    <row r="136" customFormat="false" ht="18" hidden="false" customHeight="true" outlineLevel="0" collapsed="false">
      <c r="C136" s="5"/>
      <c r="D136" s="9"/>
      <c r="E136" s="9"/>
    </row>
    <row r="137" customFormat="false" ht="18" hidden="false" customHeight="true" outlineLevel="0" collapsed="false">
      <c r="C137" s="5"/>
      <c r="D137" s="9"/>
      <c r="E137" s="9"/>
    </row>
    <row r="138" customFormat="false" ht="18" hidden="false" customHeight="true" outlineLevel="0" collapsed="false">
      <c r="C138" s="5"/>
      <c r="D138" s="9"/>
      <c r="E138" s="9"/>
    </row>
    <row r="139" customFormat="false" ht="18" hidden="false" customHeight="true" outlineLevel="0" collapsed="false">
      <c r="C139" s="5"/>
      <c r="D139" s="9"/>
      <c r="E139" s="9"/>
    </row>
    <row r="140" customFormat="false" ht="18" hidden="false" customHeight="true" outlineLevel="0" collapsed="false">
      <c r="C140" s="5"/>
      <c r="D140" s="9"/>
      <c r="E140" s="9"/>
    </row>
    <row r="141" customFormat="false" ht="18" hidden="false" customHeight="true" outlineLevel="0" collapsed="false">
      <c r="C141" s="5"/>
      <c r="D141" s="9"/>
      <c r="E141" s="9"/>
    </row>
    <row r="142" customFormat="false" ht="18" hidden="false" customHeight="true" outlineLevel="0" collapsed="false">
      <c r="C142" s="5"/>
      <c r="D142" s="9"/>
      <c r="E142" s="9"/>
    </row>
    <row r="143" customFormat="false" ht="18" hidden="false" customHeight="true" outlineLevel="0" collapsed="false">
      <c r="C143" s="5"/>
      <c r="D143" s="9"/>
      <c r="E143" s="9"/>
    </row>
    <row r="144" customFormat="false" ht="18" hidden="false" customHeight="true" outlineLevel="0" collapsed="false">
      <c r="C144" s="5"/>
      <c r="D144" s="9"/>
      <c r="E144" s="9"/>
    </row>
    <row r="145" customFormat="false" ht="18" hidden="false" customHeight="true" outlineLevel="0" collapsed="false">
      <c r="C145" s="5"/>
      <c r="D145" s="9"/>
      <c r="E145" s="9"/>
    </row>
    <row r="146" customFormat="false" ht="18" hidden="false" customHeight="true" outlineLevel="0" collapsed="false">
      <c r="C146" s="5"/>
      <c r="D146" s="9"/>
      <c r="E146" s="9"/>
    </row>
    <row r="147" customFormat="false" ht="18" hidden="false" customHeight="true" outlineLevel="0" collapsed="false">
      <c r="C147" s="5"/>
      <c r="D147" s="9"/>
      <c r="E147" s="9"/>
    </row>
    <row r="148" customFormat="false" ht="18" hidden="false" customHeight="true" outlineLevel="0" collapsed="false">
      <c r="C148" s="5"/>
      <c r="D148" s="9"/>
      <c r="E148" s="9"/>
    </row>
    <row r="149" customFormat="false" ht="18" hidden="false" customHeight="true" outlineLevel="0" collapsed="false">
      <c r="C149" s="5"/>
      <c r="D149" s="9"/>
      <c r="E149" s="9"/>
    </row>
    <row r="150" customFormat="false" ht="18" hidden="false" customHeight="true" outlineLevel="0" collapsed="false">
      <c r="C150" s="5"/>
      <c r="D150" s="9"/>
      <c r="E150" s="9"/>
    </row>
    <row r="151" customFormat="false" ht="18" hidden="false" customHeight="true" outlineLevel="0" collapsed="false">
      <c r="C151" s="5"/>
      <c r="D151" s="9"/>
      <c r="E151" s="9"/>
    </row>
    <row r="152" customFormat="false" ht="18" hidden="false" customHeight="true" outlineLevel="0" collapsed="false">
      <c r="C152" s="5"/>
      <c r="D152" s="9"/>
      <c r="E152" s="9"/>
    </row>
    <row r="153" customFormat="false" ht="18" hidden="false" customHeight="true" outlineLevel="0" collapsed="false">
      <c r="C153" s="5"/>
      <c r="D153" s="9"/>
      <c r="E153" s="9"/>
    </row>
    <row r="154" customFormat="false" ht="18" hidden="false" customHeight="true" outlineLevel="0" collapsed="false">
      <c r="C154" s="5"/>
      <c r="D154" s="9"/>
      <c r="E154" s="9"/>
    </row>
    <row r="155" customFormat="false" ht="18" hidden="false" customHeight="true" outlineLevel="0" collapsed="false">
      <c r="C155" s="5"/>
      <c r="D155" s="9"/>
      <c r="E155" s="9"/>
    </row>
    <row r="156" customFormat="false" ht="18" hidden="false" customHeight="true" outlineLevel="0" collapsed="false">
      <c r="C156" s="5"/>
      <c r="D156" s="9"/>
      <c r="E156" s="9"/>
    </row>
    <row r="157" customFormat="false" ht="18" hidden="false" customHeight="true" outlineLevel="0" collapsed="false">
      <c r="C157" s="5"/>
      <c r="D157" s="9"/>
      <c r="E157" s="9"/>
    </row>
    <row r="158" customFormat="false" ht="18" hidden="false" customHeight="true" outlineLevel="0" collapsed="false">
      <c r="C158" s="5"/>
      <c r="D158" s="9"/>
      <c r="E158" s="9"/>
    </row>
    <row r="159" customFormat="false" ht="18" hidden="false" customHeight="true" outlineLevel="0" collapsed="false">
      <c r="C159" s="5"/>
      <c r="D159" s="9"/>
      <c r="E159" s="9"/>
    </row>
    <row r="160" customFormat="false" ht="18" hidden="false" customHeight="true" outlineLevel="0" collapsed="false">
      <c r="C160" s="5"/>
      <c r="D160" s="9"/>
      <c r="E160" s="9"/>
    </row>
    <row r="161" customFormat="false" ht="18" hidden="false" customHeight="true" outlineLevel="0" collapsed="false">
      <c r="C161" s="5"/>
      <c r="D161" s="9"/>
      <c r="E161" s="9"/>
    </row>
    <row r="162" customFormat="false" ht="18" hidden="false" customHeight="true" outlineLevel="0" collapsed="false">
      <c r="C162" s="5"/>
      <c r="D162" s="9"/>
      <c r="E162" s="9"/>
    </row>
    <row r="163" customFormat="false" ht="18" hidden="false" customHeight="true" outlineLevel="0" collapsed="false">
      <c r="C163" s="5"/>
      <c r="D163" s="9"/>
      <c r="E163" s="9"/>
    </row>
    <row r="164" customFormat="false" ht="18" hidden="false" customHeight="true" outlineLevel="0" collapsed="false">
      <c r="C164" s="5"/>
      <c r="D164" s="9"/>
      <c r="E164" s="9"/>
    </row>
    <row r="165" customFormat="false" ht="18" hidden="false" customHeight="true" outlineLevel="0" collapsed="false">
      <c r="C165" s="5"/>
      <c r="D165" s="9"/>
      <c r="E165" s="9"/>
    </row>
    <row r="166" customFormat="false" ht="18" hidden="false" customHeight="true" outlineLevel="0" collapsed="false">
      <c r="C166" s="5"/>
      <c r="D166" s="9"/>
      <c r="E166" s="9"/>
    </row>
    <row r="167" customFormat="false" ht="18" hidden="false" customHeight="true" outlineLevel="0" collapsed="false">
      <c r="C167" s="5"/>
      <c r="D167" s="9"/>
      <c r="E167" s="9"/>
    </row>
    <row r="168" customFormat="false" ht="18" hidden="false" customHeight="true" outlineLevel="0" collapsed="false">
      <c r="C168" s="5"/>
      <c r="D168" s="9"/>
      <c r="E168" s="9"/>
    </row>
    <row r="169" customFormat="false" ht="18" hidden="false" customHeight="true" outlineLevel="0" collapsed="false">
      <c r="C169" s="5"/>
      <c r="D169" s="9"/>
      <c r="E169" s="9"/>
    </row>
    <row r="170" customFormat="false" ht="18" hidden="false" customHeight="true" outlineLevel="0" collapsed="false">
      <c r="C170" s="5"/>
      <c r="D170" s="9"/>
      <c r="E170" s="9"/>
    </row>
    <row r="171" customFormat="false" ht="18" hidden="false" customHeight="true" outlineLevel="0" collapsed="false">
      <c r="C171" s="5"/>
      <c r="D171" s="9"/>
      <c r="E171" s="9"/>
    </row>
    <row r="172" customFormat="false" ht="18" hidden="false" customHeight="true" outlineLevel="0" collapsed="false">
      <c r="C172" s="5"/>
      <c r="D172" s="9"/>
      <c r="E172" s="9"/>
    </row>
    <row r="173" customFormat="false" ht="18" hidden="false" customHeight="true" outlineLevel="0" collapsed="false">
      <c r="C173" s="5"/>
      <c r="D173" s="9"/>
      <c r="E173" s="9"/>
    </row>
    <row r="174" customFormat="false" ht="18" hidden="false" customHeight="true" outlineLevel="0" collapsed="false">
      <c r="C174" s="5"/>
      <c r="D174" s="9"/>
      <c r="E174" s="9"/>
    </row>
    <row r="175" customFormat="false" ht="18" hidden="false" customHeight="true" outlineLevel="0" collapsed="false">
      <c r="C175" s="5"/>
      <c r="D175" s="9"/>
      <c r="E175" s="9"/>
    </row>
    <row r="176" customFormat="false" ht="18" hidden="false" customHeight="true" outlineLevel="0" collapsed="false">
      <c r="C176" s="5"/>
      <c r="D176" s="9"/>
      <c r="E176" s="9"/>
    </row>
    <row r="177" customFormat="false" ht="18" hidden="false" customHeight="true" outlineLevel="0" collapsed="false">
      <c r="C177" s="5"/>
      <c r="D177" s="9"/>
      <c r="E177" s="9"/>
    </row>
    <row r="178" customFormat="false" ht="18" hidden="false" customHeight="true" outlineLevel="0" collapsed="false">
      <c r="C178" s="5"/>
      <c r="D178" s="9"/>
      <c r="E178" s="9"/>
    </row>
    <row r="179" customFormat="false" ht="18" hidden="false" customHeight="true" outlineLevel="0" collapsed="false">
      <c r="C179" s="5"/>
      <c r="D179" s="9"/>
      <c r="E179" s="9"/>
    </row>
    <row r="180" customFormat="false" ht="18" hidden="false" customHeight="true" outlineLevel="0" collapsed="false">
      <c r="C180" s="5"/>
      <c r="D180" s="9"/>
      <c r="E180" s="9"/>
    </row>
    <row r="181" customFormat="false" ht="18" hidden="false" customHeight="true" outlineLevel="0" collapsed="false">
      <c r="C181" s="5"/>
      <c r="D181" s="9"/>
      <c r="E181" s="9"/>
    </row>
    <row r="182" customFormat="false" ht="18" hidden="false" customHeight="true" outlineLevel="0" collapsed="false">
      <c r="C182" s="5"/>
      <c r="D182" s="9"/>
      <c r="E182" s="9"/>
    </row>
    <row r="183" customFormat="false" ht="18" hidden="false" customHeight="true" outlineLevel="0" collapsed="false">
      <c r="C183" s="5"/>
      <c r="D183" s="9"/>
      <c r="E183" s="9"/>
    </row>
    <row r="184" customFormat="false" ht="18" hidden="false" customHeight="true" outlineLevel="0" collapsed="false">
      <c r="C184" s="5"/>
      <c r="D184" s="9"/>
      <c r="E184" s="9"/>
    </row>
    <row r="185" customFormat="false" ht="18" hidden="false" customHeight="true" outlineLevel="0" collapsed="false">
      <c r="C185" s="5"/>
      <c r="D185" s="9"/>
      <c r="E185" s="9"/>
    </row>
    <row r="186" customFormat="false" ht="18" hidden="false" customHeight="true" outlineLevel="0" collapsed="false">
      <c r="C186" s="5"/>
      <c r="D186" s="9"/>
      <c r="E186" s="9"/>
    </row>
    <row r="187" customFormat="false" ht="18" hidden="false" customHeight="true" outlineLevel="0" collapsed="false">
      <c r="C187" s="5"/>
      <c r="D187" s="9"/>
      <c r="E187" s="9"/>
    </row>
    <row r="188" customFormat="false" ht="18" hidden="false" customHeight="true" outlineLevel="0" collapsed="false">
      <c r="C188" s="5"/>
      <c r="D188" s="9"/>
      <c r="E188" s="9"/>
    </row>
    <row r="189" customFormat="false" ht="18" hidden="false" customHeight="true" outlineLevel="0" collapsed="false">
      <c r="C189" s="5"/>
      <c r="D189" s="9"/>
      <c r="E189" s="9"/>
    </row>
    <row r="190" customFormat="false" ht="18" hidden="false" customHeight="true" outlineLevel="0" collapsed="false">
      <c r="C190" s="5"/>
      <c r="D190" s="9"/>
      <c r="E190" s="9"/>
    </row>
    <row r="191" customFormat="false" ht="18" hidden="false" customHeight="true" outlineLevel="0" collapsed="false">
      <c r="C191" s="5"/>
      <c r="D191" s="9"/>
      <c r="E191" s="9"/>
    </row>
    <row r="192" customFormat="false" ht="18" hidden="false" customHeight="true" outlineLevel="0" collapsed="false">
      <c r="C192" s="5"/>
      <c r="D192" s="9"/>
      <c r="E192" s="9"/>
    </row>
    <row r="193" customFormat="false" ht="18" hidden="false" customHeight="true" outlineLevel="0" collapsed="false">
      <c r="C193" s="5"/>
      <c r="D193" s="9"/>
      <c r="E193" s="9"/>
    </row>
    <row r="194" customFormat="false" ht="18" hidden="false" customHeight="true" outlineLevel="0" collapsed="false">
      <c r="C194" s="5"/>
      <c r="D194" s="9"/>
      <c r="E194" s="9"/>
    </row>
    <row r="195" customFormat="false" ht="18" hidden="false" customHeight="true" outlineLevel="0" collapsed="false">
      <c r="C195" s="5"/>
      <c r="D195" s="9"/>
      <c r="E195" s="9"/>
    </row>
    <row r="196" customFormat="false" ht="18" hidden="false" customHeight="true" outlineLevel="0" collapsed="false">
      <c r="C196" s="5"/>
      <c r="D196" s="9"/>
      <c r="E196" s="9"/>
    </row>
    <row r="197" customFormat="false" ht="18" hidden="false" customHeight="true" outlineLevel="0" collapsed="false">
      <c r="C197" s="5"/>
      <c r="D197" s="9"/>
      <c r="E197" s="9"/>
    </row>
    <row r="198" customFormat="false" ht="18" hidden="false" customHeight="true" outlineLevel="0" collapsed="false">
      <c r="C198" s="5"/>
      <c r="D198" s="9"/>
      <c r="E198" s="9"/>
    </row>
    <row r="199" customFormat="false" ht="18" hidden="false" customHeight="true" outlineLevel="0" collapsed="false">
      <c r="C199" s="5"/>
      <c r="D199" s="9"/>
      <c r="E199" s="9"/>
    </row>
    <row r="200" customFormat="false" ht="18" hidden="false" customHeight="true" outlineLevel="0" collapsed="false">
      <c r="C200" s="5"/>
      <c r="D200" s="9"/>
      <c r="E200" s="9"/>
    </row>
    <row r="201" customFormat="false" ht="18" hidden="false" customHeight="true" outlineLevel="0" collapsed="false">
      <c r="C201" s="5"/>
      <c r="D201" s="9"/>
      <c r="E201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9" min="5" style="0" width="13"/>
  </cols>
  <sheetData>
    <row r="1" customFormat="false" ht="15" hidden="false" customHeight="false" outlineLevel="0" collapsed="false">
      <c r="A1" s="4" t="s">
        <v>159</v>
      </c>
      <c r="B1" s="4" t="s">
        <v>71</v>
      </c>
      <c r="C1" s="4" t="s">
        <v>160</v>
      </c>
      <c r="D1" s="4" t="s">
        <v>161</v>
      </c>
      <c r="E1" s="4" t="s">
        <v>162</v>
      </c>
      <c r="F1" s="4" t="s">
        <v>163</v>
      </c>
      <c r="G1" s="4" t="s">
        <v>164</v>
      </c>
      <c r="H1" s="4" t="s">
        <v>42</v>
      </c>
      <c r="I1" s="4" t="s">
        <v>165</v>
      </c>
    </row>
    <row r="2" customFormat="false" ht="15" hidden="false" customHeight="false" outlineLevel="0" collapsed="false">
      <c r="A2" s="10" t="n">
        <v>8</v>
      </c>
      <c r="B2" s="11" t="n">
        <f aca="false">IF(A2="","",(A2-(A2*0.067))/8)</f>
        <v>0.933</v>
      </c>
      <c r="C2" s="11" t="n">
        <f aca="false">IF(OR(A2="",B2=""),"",A2+B2)</f>
        <v>8.933</v>
      </c>
      <c r="D2" s="11" t="n">
        <f aca="false">IF(A2="","",A2+SUMIFS(Registros!$AP$2:$AP$401,Registros!$C$2:$C$401,H2))</f>
        <v>8</v>
      </c>
      <c r="E2" s="11" t="n">
        <f aca="false">IF(A2="","",ROUND(A2*0.067,2))</f>
        <v>0.54</v>
      </c>
      <c r="F2" s="11" t="n">
        <f aca="false">IF(OR(D2="",C2=""),"",D2-C2)</f>
        <v>-0.933</v>
      </c>
      <c r="G2" s="12" t="n">
        <v>1</v>
      </c>
      <c r="H2" s="13"/>
      <c r="I2" s="12"/>
    </row>
    <row r="3" customFormat="false" ht="15" hidden="false" customHeight="false" outlineLevel="0" collapsed="false">
      <c r="A3" s="11" t="n">
        <f aca="false">IF(D2="","",D2)</f>
        <v>8</v>
      </c>
      <c r="B3" s="11" t="n">
        <f aca="false">IF(A3="","",(A3-(A3*0.067))/8)</f>
        <v>0.933</v>
      </c>
      <c r="C3" s="11" t="n">
        <f aca="false">IF(OR(A3="",B3=""),"",A3+B3)</f>
        <v>8.933</v>
      </c>
      <c r="D3" s="11" t="n">
        <f aca="false">IF(A3="","",A3+SUMIFS(Registros!$AP$2:$AP$401,Registros!$C$2:$C$401,H3))</f>
        <v>8</v>
      </c>
      <c r="E3" s="11" t="n">
        <f aca="false">IF(A3="","",ROUND(A3*0.067,2))</f>
        <v>0.54</v>
      </c>
      <c r="F3" s="11" t="n">
        <f aca="false">IF(OR(D3="",C3=""),"",D3-C3)</f>
        <v>-0.933</v>
      </c>
      <c r="G3" s="14" t="n">
        <f aca="false">IF(G2="","",G2+1)</f>
        <v>2</v>
      </c>
      <c r="H3" s="13"/>
      <c r="I3" s="12"/>
    </row>
    <row r="4" customFormat="false" ht="15" hidden="false" customHeight="false" outlineLevel="0" collapsed="false">
      <c r="A4" s="11" t="n">
        <f aca="false">IF(D3="","",D3)</f>
        <v>8</v>
      </c>
      <c r="B4" s="11" t="n">
        <f aca="false">IF(A4="","",(A4-(A4*0.067))/8)</f>
        <v>0.933</v>
      </c>
      <c r="C4" s="11" t="n">
        <f aca="false">IF(OR(A4="",B4=""),"",A4+B4)</f>
        <v>8.933</v>
      </c>
      <c r="D4" s="11" t="n">
        <f aca="false">IF(A4="","",A4+SUMIFS(Registros!$AP$2:$AP$401,Registros!$C$2:$C$401,H4))</f>
        <v>8</v>
      </c>
      <c r="E4" s="11" t="n">
        <f aca="false">IF(A4="","",ROUND(A4*0.067,2))</f>
        <v>0.54</v>
      </c>
      <c r="F4" s="11" t="n">
        <f aca="false">IF(OR(D4="",C4=""),"",D4-C4)</f>
        <v>-0.933</v>
      </c>
      <c r="G4" s="14" t="n">
        <f aca="false">IF(G3="","",G3+1)</f>
        <v>3</v>
      </c>
      <c r="H4" s="13"/>
      <c r="I4" s="12"/>
    </row>
    <row r="5" customFormat="false" ht="15" hidden="false" customHeight="false" outlineLevel="0" collapsed="false">
      <c r="A5" s="11" t="n">
        <f aca="false">IF(D4="","",D4)</f>
        <v>8</v>
      </c>
      <c r="B5" s="11" t="n">
        <f aca="false">IF(A5="","",(A5-(A5*0.067))/8)</f>
        <v>0.933</v>
      </c>
      <c r="C5" s="11" t="n">
        <f aca="false">IF(OR(A5="",B5=""),"",A5+B5)</f>
        <v>8.933</v>
      </c>
      <c r="D5" s="11" t="n">
        <f aca="false">IF(A5="","",A5+SUMIFS(Registros!$AP$2:$AP$401,Registros!$C$2:$C$401,H5))</f>
        <v>8</v>
      </c>
      <c r="E5" s="11" t="n">
        <f aca="false">IF(A5="","",ROUND(A5*0.067,2))</f>
        <v>0.54</v>
      </c>
      <c r="F5" s="11" t="n">
        <f aca="false">IF(OR(D5="",C5=""),"",D5-C5)</f>
        <v>-0.933</v>
      </c>
      <c r="G5" s="14" t="n">
        <f aca="false">IF(G4="","",G4+1)</f>
        <v>4</v>
      </c>
      <c r="H5" s="13"/>
      <c r="I5" s="12"/>
    </row>
    <row r="6" customFormat="false" ht="15" hidden="false" customHeight="false" outlineLevel="0" collapsed="false">
      <c r="A6" s="11" t="n">
        <f aca="false">IF(D5="","",D5)</f>
        <v>8</v>
      </c>
      <c r="B6" s="11" t="n">
        <f aca="false">IF(A6="","",(A6-(A6*0.067))/8)</f>
        <v>0.933</v>
      </c>
      <c r="C6" s="11" t="n">
        <f aca="false">IF(OR(A6="",B6=""),"",A6+B6)</f>
        <v>8.933</v>
      </c>
      <c r="D6" s="11" t="n">
        <f aca="false">IF(A6="","",A6+SUMIFS(Registros!$AP$2:$AP$401,Registros!$C$2:$C$401,H6))</f>
        <v>8</v>
      </c>
      <c r="E6" s="11" t="n">
        <f aca="false">IF(A6="","",ROUND(A6*0.067,2))</f>
        <v>0.54</v>
      </c>
      <c r="F6" s="11" t="n">
        <f aca="false">IF(OR(D6="",C6=""),"",D6-C6)</f>
        <v>-0.933</v>
      </c>
      <c r="G6" s="14" t="n">
        <f aca="false">IF(G5="","",G5+1)</f>
        <v>5</v>
      </c>
      <c r="H6" s="13"/>
      <c r="I6" s="12"/>
    </row>
    <row r="7" customFormat="false" ht="15" hidden="false" customHeight="false" outlineLevel="0" collapsed="false">
      <c r="A7" s="11" t="n">
        <f aca="false">IF(D6="","",D6)</f>
        <v>8</v>
      </c>
      <c r="B7" s="11" t="n">
        <f aca="false">IF(A7="","",(A7-(A7*0.067))/8)</f>
        <v>0.933</v>
      </c>
      <c r="C7" s="11" t="n">
        <f aca="false">IF(OR(A7="",B7=""),"",A7+B7)</f>
        <v>8.933</v>
      </c>
      <c r="D7" s="11" t="n">
        <f aca="false">IF(A7="","",A7+SUMIFS(Registros!$AP$2:$AP$401,Registros!$C$2:$C$401,H7))</f>
        <v>8</v>
      </c>
      <c r="E7" s="11" t="n">
        <f aca="false">IF(A7="","",ROUND(A7*0.067,2))</f>
        <v>0.54</v>
      </c>
      <c r="F7" s="11" t="n">
        <f aca="false">IF(OR(D7="",C7=""),"",D7-C7)</f>
        <v>-0.933</v>
      </c>
      <c r="G7" s="14" t="n">
        <f aca="false">IF(G6="","",G6+1)</f>
        <v>6</v>
      </c>
      <c r="H7" s="13"/>
      <c r="I7" s="12"/>
    </row>
    <row r="8" customFormat="false" ht="15" hidden="false" customHeight="false" outlineLevel="0" collapsed="false">
      <c r="A8" s="11" t="n">
        <f aca="false">IF(D7="","",D7)</f>
        <v>8</v>
      </c>
      <c r="B8" s="11" t="n">
        <f aca="false">IF(A8="","",(A8-(A8*0.067))/8)</f>
        <v>0.933</v>
      </c>
      <c r="C8" s="11" t="n">
        <f aca="false">IF(OR(A8="",B8=""),"",A8+B8)</f>
        <v>8.933</v>
      </c>
      <c r="D8" s="11" t="n">
        <f aca="false">IF(A8="","",A8+SUMIFS(Registros!$AP$2:$AP$401,Registros!$C$2:$C$401,H8))</f>
        <v>8</v>
      </c>
      <c r="E8" s="11" t="n">
        <f aca="false">IF(A8="","",ROUND(A8*0.067,2))</f>
        <v>0.54</v>
      </c>
      <c r="F8" s="11" t="n">
        <f aca="false">IF(OR(D8="",C8=""),"",D8-C8)</f>
        <v>-0.933</v>
      </c>
      <c r="G8" s="14" t="n">
        <f aca="false">IF(G7="","",G7+1)</f>
        <v>7</v>
      </c>
      <c r="H8" s="13"/>
      <c r="I8" s="12"/>
    </row>
    <row r="9" customFormat="false" ht="15" hidden="false" customHeight="false" outlineLevel="0" collapsed="false">
      <c r="A9" s="11" t="n">
        <f aca="false">IF(D8="","",D8)</f>
        <v>8</v>
      </c>
      <c r="B9" s="11" t="n">
        <f aca="false">IF(A9="","",(A9-(A9*0.067))/8)</f>
        <v>0.933</v>
      </c>
      <c r="C9" s="11" t="n">
        <f aca="false">IF(OR(A9="",B9=""),"",A9+B9)</f>
        <v>8.933</v>
      </c>
      <c r="D9" s="11" t="n">
        <f aca="false">IF(A9="","",A9+SUMIFS(Registros!$AP$2:$AP$401,Registros!$C$2:$C$401,H9))</f>
        <v>8</v>
      </c>
      <c r="E9" s="11" t="n">
        <f aca="false">IF(A9="","",ROUND(A9*0.067,2))</f>
        <v>0.54</v>
      </c>
      <c r="F9" s="11" t="n">
        <f aca="false">IF(OR(D9="",C9=""),"",D9-C9)</f>
        <v>-0.933</v>
      </c>
      <c r="G9" s="14" t="n">
        <f aca="false">IF(G8="","",G8+1)</f>
        <v>8</v>
      </c>
      <c r="H9" s="13"/>
      <c r="I9" s="12"/>
    </row>
    <row r="10" customFormat="false" ht="15" hidden="false" customHeight="false" outlineLevel="0" collapsed="false">
      <c r="A10" s="11" t="n">
        <f aca="false">IF(D9="","",D9)</f>
        <v>8</v>
      </c>
      <c r="B10" s="11" t="n">
        <f aca="false">IF(A10="","",(A10-(A10*0.067))/8)</f>
        <v>0.933</v>
      </c>
      <c r="C10" s="11" t="n">
        <f aca="false">IF(OR(A10="",B10=""),"",A10+B10)</f>
        <v>8.933</v>
      </c>
      <c r="D10" s="11" t="n">
        <f aca="false">IF(A10="","",A10+SUMIFS(Registros!$AP$2:$AP$401,Registros!$C$2:$C$401,H10))</f>
        <v>8</v>
      </c>
      <c r="E10" s="11" t="n">
        <f aca="false">IF(A10="","",ROUND(A10*0.067,2))</f>
        <v>0.54</v>
      </c>
      <c r="F10" s="11" t="n">
        <f aca="false">IF(OR(D10="",C10=""),"",D10-C10)</f>
        <v>-0.933</v>
      </c>
      <c r="G10" s="14" t="n">
        <f aca="false">IF(G9="","",G9+1)</f>
        <v>9</v>
      </c>
      <c r="H10" s="13"/>
      <c r="I10" s="12"/>
    </row>
    <row r="11" customFormat="false" ht="15" hidden="false" customHeight="false" outlineLevel="0" collapsed="false">
      <c r="A11" s="11" t="n">
        <f aca="false">IF(D10="","",D10)</f>
        <v>8</v>
      </c>
      <c r="B11" s="11" t="n">
        <f aca="false">IF(A11="","",(A11-(A11*0.067))/8)</f>
        <v>0.933</v>
      </c>
      <c r="C11" s="11" t="n">
        <f aca="false">IF(OR(A11="",B11=""),"",A11+B11)</f>
        <v>8.933</v>
      </c>
      <c r="D11" s="11" t="n">
        <f aca="false">IF(A11="","",A11+SUMIFS(Registros!$AP$2:$AP$401,Registros!$C$2:$C$401,H11))</f>
        <v>8</v>
      </c>
      <c r="E11" s="11" t="n">
        <f aca="false">IF(A11="","",ROUND(A11*0.067,2))</f>
        <v>0.54</v>
      </c>
      <c r="F11" s="11" t="n">
        <f aca="false">IF(OR(D11="",C11=""),"",D11-C11)</f>
        <v>-0.933</v>
      </c>
      <c r="G11" s="14" t="n">
        <f aca="false">IF(G10="","",G10+1)</f>
        <v>10</v>
      </c>
      <c r="H11" s="13"/>
      <c r="I11" s="12"/>
    </row>
    <row r="12" customFormat="false" ht="15" hidden="false" customHeight="false" outlineLevel="0" collapsed="false">
      <c r="A12" s="11" t="n">
        <f aca="false">IF(D11="","",D11)</f>
        <v>8</v>
      </c>
      <c r="B12" s="11" t="n">
        <f aca="false">IF(A12="","",(A12-(A12*0.067))/8)</f>
        <v>0.933</v>
      </c>
      <c r="C12" s="11" t="n">
        <f aca="false">IF(OR(A12="",B12=""),"",A12+B12)</f>
        <v>8.933</v>
      </c>
      <c r="D12" s="11" t="n">
        <f aca="false">IF(A12="","",A12+SUMIFS(Registros!$AP$2:$AP$401,Registros!$C$2:$C$401,H12))</f>
        <v>8</v>
      </c>
      <c r="E12" s="11" t="n">
        <f aca="false">IF(A12="","",ROUND(A12*0.067,2))</f>
        <v>0.54</v>
      </c>
      <c r="F12" s="11" t="n">
        <f aca="false">IF(OR(D12="",C12=""),"",D12-C12)</f>
        <v>-0.933</v>
      </c>
      <c r="G12" s="14" t="n">
        <f aca="false">IF(G11="","",G11+1)</f>
        <v>11</v>
      </c>
      <c r="H12" s="13"/>
      <c r="I12" s="12"/>
    </row>
    <row r="13" customFormat="false" ht="15" hidden="false" customHeight="false" outlineLevel="0" collapsed="false">
      <c r="A13" s="11" t="n">
        <f aca="false">IF(D12="","",D12)</f>
        <v>8</v>
      </c>
      <c r="B13" s="11" t="n">
        <f aca="false">IF(A13="","",(A13-(A13*0.067))/8)</f>
        <v>0.933</v>
      </c>
      <c r="C13" s="11" t="n">
        <f aca="false">IF(OR(A13="",B13=""),"",A13+B13)</f>
        <v>8.933</v>
      </c>
      <c r="D13" s="11" t="n">
        <f aca="false">IF(A13="","",A13+SUMIFS(Registros!$AP$2:$AP$401,Registros!$C$2:$C$401,H13))</f>
        <v>8</v>
      </c>
      <c r="E13" s="11" t="n">
        <f aca="false">IF(A13="","",ROUND(A13*0.067,2))</f>
        <v>0.54</v>
      </c>
      <c r="F13" s="11" t="n">
        <f aca="false">IF(OR(D13="",C13=""),"",D13-C13)</f>
        <v>-0.933</v>
      </c>
      <c r="G13" s="14" t="n">
        <f aca="false">IF(G12="","",G12+1)</f>
        <v>12</v>
      </c>
      <c r="H13" s="13"/>
      <c r="I13" s="12"/>
    </row>
    <row r="14" customFormat="false" ht="15" hidden="false" customHeight="false" outlineLevel="0" collapsed="false">
      <c r="A14" s="11" t="n">
        <f aca="false">IF(D13="","",D13)</f>
        <v>8</v>
      </c>
      <c r="B14" s="11" t="n">
        <f aca="false">IF(A14="","",(A14-(A14*0.067))/8)</f>
        <v>0.933</v>
      </c>
      <c r="C14" s="11" t="n">
        <f aca="false">IF(OR(A14="",B14=""),"",A14+B14)</f>
        <v>8.933</v>
      </c>
      <c r="D14" s="11" t="n">
        <f aca="false">IF(A14="","",A14+SUMIFS(Registros!$AP$2:$AP$401,Registros!$C$2:$C$401,H14))</f>
        <v>8</v>
      </c>
      <c r="E14" s="11" t="n">
        <f aca="false">IF(A14="","",ROUND(A14*0.067,2))</f>
        <v>0.54</v>
      </c>
      <c r="F14" s="11" t="n">
        <f aca="false">IF(OR(D14="",C14=""),"",D14-C14)</f>
        <v>-0.933</v>
      </c>
      <c r="G14" s="14" t="n">
        <f aca="false">IF(G13="","",G13+1)</f>
        <v>13</v>
      </c>
      <c r="H14" s="13"/>
      <c r="I14" s="12"/>
    </row>
    <row r="15" customFormat="false" ht="15" hidden="false" customHeight="false" outlineLevel="0" collapsed="false">
      <c r="A15" s="11" t="n">
        <f aca="false">IF(D14="","",D14)</f>
        <v>8</v>
      </c>
      <c r="B15" s="11" t="n">
        <f aca="false">IF(A15="","",(A15-(A15*0.067))/8)</f>
        <v>0.933</v>
      </c>
      <c r="C15" s="11" t="n">
        <f aca="false">IF(OR(A15="",B15=""),"",A15+B15)</f>
        <v>8.933</v>
      </c>
      <c r="D15" s="11" t="n">
        <f aca="false">IF(A15="","",A15+SUMIFS(Registros!$AP$2:$AP$401,Registros!$C$2:$C$401,H15))</f>
        <v>8</v>
      </c>
      <c r="E15" s="11" t="n">
        <f aca="false">IF(A15="","",ROUND(A15*0.067,2))</f>
        <v>0.54</v>
      </c>
      <c r="F15" s="11" t="n">
        <f aca="false">IF(OR(D15="",C15=""),"",D15-C15)</f>
        <v>-0.933</v>
      </c>
      <c r="G15" s="14" t="n">
        <f aca="false">IF(G14="","",G14+1)</f>
        <v>14</v>
      </c>
      <c r="H15" s="13"/>
      <c r="I15" s="12"/>
    </row>
    <row r="16" customFormat="false" ht="15" hidden="false" customHeight="false" outlineLevel="0" collapsed="false">
      <c r="A16" s="11" t="n">
        <f aca="false">IF(D15="","",D15)</f>
        <v>8</v>
      </c>
      <c r="B16" s="11" t="n">
        <f aca="false">IF(A16="","",(A16-(A16*0.067))/8)</f>
        <v>0.933</v>
      </c>
      <c r="C16" s="11" t="n">
        <f aca="false">IF(OR(A16="",B16=""),"",A16+B16)</f>
        <v>8.933</v>
      </c>
      <c r="D16" s="11" t="n">
        <f aca="false">IF(A16="","",A16+SUMIFS(Registros!$AP$2:$AP$401,Registros!$C$2:$C$401,H16))</f>
        <v>8</v>
      </c>
      <c r="E16" s="11" t="n">
        <f aca="false">IF(A16="","",ROUND(A16*0.067,2))</f>
        <v>0.54</v>
      </c>
      <c r="F16" s="11" t="n">
        <f aca="false">IF(OR(D16="",C16=""),"",D16-C16)</f>
        <v>-0.933</v>
      </c>
      <c r="G16" s="14" t="n">
        <f aca="false">IF(G15="","",G15+1)</f>
        <v>15</v>
      </c>
      <c r="H16" s="13"/>
      <c r="I16" s="12"/>
    </row>
    <row r="17" customFormat="false" ht="15" hidden="false" customHeight="false" outlineLevel="0" collapsed="false">
      <c r="A17" s="11" t="n">
        <f aca="false">IF(D16="","",D16)</f>
        <v>8</v>
      </c>
      <c r="B17" s="11" t="n">
        <f aca="false">IF(A17="","",(A17-(A17*0.067))/8)</f>
        <v>0.933</v>
      </c>
      <c r="C17" s="11" t="n">
        <f aca="false">IF(OR(A17="",B17=""),"",A17+B17)</f>
        <v>8.933</v>
      </c>
      <c r="D17" s="11" t="n">
        <f aca="false">IF(A17="","",A17+SUMIFS(Registros!$AP$2:$AP$401,Registros!$C$2:$C$401,H17))</f>
        <v>8</v>
      </c>
      <c r="E17" s="11" t="n">
        <f aca="false">IF(A17="","",ROUND(A17*0.067,2))</f>
        <v>0.54</v>
      </c>
      <c r="F17" s="11" t="n">
        <f aca="false">IF(OR(D17="",C17=""),"",D17-C17)</f>
        <v>-0.933</v>
      </c>
      <c r="G17" s="14" t="n">
        <f aca="false">IF(G16="","",G16+1)</f>
        <v>16</v>
      </c>
      <c r="H17" s="13"/>
      <c r="I17" s="12"/>
    </row>
    <row r="18" customFormat="false" ht="15" hidden="false" customHeight="false" outlineLevel="0" collapsed="false">
      <c r="A18" s="11" t="n">
        <f aca="false">IF(D17="","",D17)</f>
        <v>8</v>
      </c>
      <c r="B18" s="11" t="n">
        <f aca="false">IF(A18="","",(A18-(A18*0.067))/8)</f>
        <v>0.933</v>
      </c>
      <c r="C18" s="11" t="n">
        <f aca="false">IF(OR(A18="",B18=""),"",A18+B18)</f>
        <v>8.933</v>
      </c>
      <c r="D18" s="11" t="n">
        <f aca="false">IF(A18="","",A18+SUMIFS(Registros!$AP$2:$AP$401,Registros!$C$2:$C$401,H18))</f>
        <v>8</v>
      </c>
      <c r="E18" s="11" t="n">
        <f aca="false">IF(A18="","",ROUND(A18*0.067,2))</f>
        <v>0.54</v>
      </c>
      <c r="F18" s="11" t="n">
        <f aca="false">IF(OR(D18="",C18=""),"",D18-C18)</f>
        <v>-0.933</v>
      </c>
      <c r="G18" s="14" t="n">
        <f aca="false">IF(G17="","",G17+1)</f>
        <v>17</v>
      </c>
      <c r="H18" s="13"/>
      <c r="I18" s="12"/>
    </row>
    <row r="19" customFormat="false" ht="15" hidden="false" customHeight="false" outlineLevel="0" collapsed="false">
      <c r="A19" s="11" t="n">
        <f aca="false">IF(D18="","",D18)</f>
        <v>8</v>
      </c>
      <c r="B19" s="11" t="n">
        <f aca="false">IF(A19="","",(A19-(A19*0.067))/8)</f>
        <v>0.933</v>
      </c>
      <c r="C19" s="11" t="n">
        <f aca="false">IF(OR(A19="",B19=""),"",A19+B19)</f>
        <v>8.933</v>
      </c>
      <c r="D19" s="11" t="n">
        <f aca="false">IF(A19="","",A19+SUMIFS(Registros!$AP$2:$AP$401,Registros!$C$2:$C$401,H19))</f>
        <v>8</v>
      </c>
      <c r="E19" s="11" t="n">
        <f aca="false">IF(A19="","",ROUND(A19*0.067,2))</f>
        <v>0.54</v>
      </c>
      <c r="F19" s="11" t="n">
        <f aca="false">IF(OR(D19="",C19=""),"",D19-C19)</f>
        <v>-0.933</v>
      </c>
      <c r="G19" s="14" t="n">
        <f aca="false">IF(G18="","",G18+1)</f>
        <v>18</v>
      </c>
      <c r="H19" s="13"/>
      <c r="I19" s="12"/>
    </row>
    <row r="20" customFormat="false" ht="15" hidden="false" customHeight="false" outlineLevel="0" collapsed="false">
      <c r="A20" s="11" t="n">
        <f aca="false">IF(D19="","",D19)</f>
        <v>8</v>
      </c>
      <c r="B20" s="11" t="n">
        <f aca="false">IF(A20="","",(A20-(A20*0.067))/8)</f>
        <v>0.933</v>
      </c>
      <c r="C20" s="11" t="n">
        <f aca="false">IF(OR(A20="",B20=""),"",A20+B20)</f>
        <v>8.933</v>
      </c>
      <c r="D20" s="11" t="n">
        <f aca="false">IF(A20="","",A20+SUMIFS(Registros!$AP$2:$AP$401,Registros!$C$2:$C$401,H20))</f>
        <v>8</v>
      </c>
      <c r="E20" s="11" t="n">
        <f aca="false">IF(A20="","",ROUND(A20*0.067,2))</f>
        <v>0.54</v>
      </c>
      <c r="F20" s="11" t="n">
        <f aca="false">IF(OR(D20="",C20=""),"",D20-C20)</f>
        <v>-0.933</v>
      </c>
      <c r="G20" s="14" t="n">
        <f aca="false">IF(G19="","",G19+1)</f>
        <v>19</v>
      </c>
      <c r="H20" s="13"/>
      <c r="I20" s="12"/>
    </row>
    <row r="21" customFormat="false" ht="15" hidden="false" customHeight="false" outlineLevel="0" collapsed="false">
      <c r="A21" s="11" t="n">
        <f aca="false">IF(D20="","",D20)</f>
        <v>8</v>
      </c>
      <c r="B21" s="11" t="n">
        <f aca="false">IF(A21="","",(A21-(A21*0.067))/8)</f>
        <v>0.933</v>
      </c>
      <c r="C21" s="11" t="n">
        <f aca="false">IF(OR(A21="",B21=""),"",A21+B21)</f>
        <v>8.933</v>
      </c>
      <c r="D21" s="11" t="n">
        <f aca="false">IF(A21="","",A21+SUMIFS(Registros!$AP$2:$AP$401,Registros!$C$2:$C$401,H21))</f>
        <v>8</v>
      </c>
      <c r="E21" s="11" t="n">
        <f aca="false">IF(A21="","",ROUND(A21*0.067,2))</f>
        <v>0.54</v>
      </c>
      <c r="F21" s="11" t="n">
        <f aca="false">IF(OR(D21="",C21=""),"",D21-C21)</f>
        <v>-0.933</v>
      </c>
      <c r="G21" s="14" t="n">
        <f aca="false">IF(G20="","",G20+1)</f>
        <v>20</v>
      </c>
      <c r="H21" s="13"/>
      <c r="I21" s="12"/>
    </row>
    <row r="22" customFormat="false" ht="15" hidden="false" customHeight="false" outlineLevel="0" collapsed="false">
      <c r="A22" s="11" t="n">
        <f aca="false">IF(D21="","",D21)</f>
        <v>8</v>
      </c>
      <c r="B22" s="11" t="n">
        <f aca="false">IF(A22="","",(A22-(A22*0.067))/8)</f>
        <v>0.933</v>
      </c>
      <c r="C22" s="11" t="n">
        <f aca="false">IF(OR(A22="",B22=""),"",A22+B22)</f>
        <v>8.933</v>
      </c>
      <c r="D22" s="11" t="n">
        <f aca="false">IF(A22="","",A22+SUMIFS(Registros!$AP$2:$AP$401,Registros!$C$2:$C$401,H22))</f>
        <v>8</v>
      </c>
      <c r="E22" s="11" t="n">
        <f aca="false">IF(A22="","",ROUND(A22*0.067,2))</f>
        <v>0.54</v>
      </c>
      <c r="F22" s="11" t="n">
        <f aca="false">IF(OR(D22="",C22=""),"",D22-C22)</f>
        <v>-0.933</v>
      </c>
      <c r="G22" s="14" t="n">
        <f aca="false">IF(G21="","",G21+1)</f>
        <v>21</v>
      </c>
      <c r="H22" s="13"/>
      <c r="I22" s="12"/>
    </row>
    <row r="23" customFormat="false" ht="15" hidden="false" customHeight="false" outlineLevel="0" collapsed="false">
      <c r="A23" s="11" t="n">
        <f aca="false">IF(D22="","",D22)</f>
        <v>8</v>
      </c>
      <c r="B23" s="11" t="n">
        <f aca="false">IF(A23="","",(A23-(A23*0.067))/8)</f>
        <v>0.933</v>
      </c>
      <c r="C23" s="11" t="n">
        <f aca="false">IF(OR(A23="",B23=""),"",A23+B23)</f>
        <v>8.933</v>
      </c>
      <c r="D23" s="11" t="n">
        <f aca="false">IF(A23="","",A23+SUMIFS(Registros!$AP$2:$AP$401,Registros!$C$2:$C$401,H23))</f>
        <v>8</v>
      </c>
      <c r="E23" s="11" t="n">
        <f aca="false">IF(A23="","",ROUND(A23*0.067,2))</f>
        <v>0.54</v>
      </c>
      <c r="F23" s="11" t="n">
        <f aca="false">IF(OR(D23="",C23=""),"",D23-C23)</f>
        <v>-0.933</v>
      </c>
      <c r="G23" s="14" t="n">
        <f aca="false">IF(G22="","",G22+1)</f>
        <v>22</v>
      </c>
      <c r="H23" s="13"/>
      <c r="I23" s="12"/>
    </row>
    <row r="24" customFormat="false" ht="15" hidden="false" customHeight="false" outlineLevel="0" collapsed="false">
      <c r="A24" s="11" t="n">
        <f aca="false">IF(D23="","",D23)</f>
        <v>8</v>
      </c>
      <c r="B24" s="11" t="n">
        <f aca="false">IF(A24="","",(A24-(A24*0.067))/8)</f>
        <v>0.933</v>
      </c>
      <c r="C24" s="11" t="n">
        <f aca="false">IF(OR(A24="",B24=""),"",A24+B24)</f>
        <v>8.933</v>
      </c>
      <c r="D24" s="11" t="n">
        <f aca="false">IF(A24="","",A24+SUMIFS(Registros!$AP$2:$AP$401,Registros!$C$2:$C$401,H24))</f>
        <v>8</v>
      </c>
      <c r="E24" s="11" t="n">
        <f aca="false">IF(A24="","",ROUND(A24*0.067,2))</f>
        <v>0.54</v>
      </c>
      <c r="F24" s="11" t="n">
        <f aca="false">IF(OR(D24="",C24=""),"",D24-C24)</f>
        <v>-0.933</v>
      </c>
      <c r="G24" s="14" t="n">
        <f aca="false">IF(G23="","",G23+1)</f>
        <v>23</v>
      </c>
      <c r="H24" s="13"/>
      <c r="I24" s="12"/>
    </row>
    <row r="25" customFormat="false" ht="15" hidden="false" customHeight="false" outlineLevel="0" collapsed="false">
      <c r="A25" s="11" t="n">
        <f aca="false">IF(D24="","",D24)</f>
        <v>8</v>
      </c>
      <c r="B25" s="11" t="n">
        <f aca="false">IF(A25="","",(A25-(A25*0.067))/8)</f>
        <v>0.933</v>
      </c>
      <c r="C25" s="11" t="n">
        <f aca="false">IF(OR(A25="",B25=""),"",A25+B25)</f>
        <v>8.933</v>
      </c>
      <c r="D25" s="11" t="n">
        <f aca="false">IF(A25="","",A25+SUMIFS(Registros!$AP$2:$AP$401,Registros!$C$2:$C$401,H25))</f>
        <v>8</v>
      </c>
      <c r="E25" s="11" t="n">
        <f aca="false">IF(A25="","",ROUND(A25*0.067,2))</f>
        <v>0.54</v>
      </c>
      <c r="F25" s="11" t="n">
        <f aca="false">IF(OR(D25="",C25=""),"",D25-C25)</f>
        <v>-0.933</v>
      </c>
      <c r="G25" s="14" t="n">
        <f aca="false">IF(G24="","",G24+1)</f>
        <v>24</v>
      </c>
      <c r="H25" s="13"/>
      <c r="I25" s="12"/>
    </row>
    <row r="26" customFormat="false" ht="15" hidden="false" customHeight="false" outlineLevel="0" collapsed="false">
      <c r="A26" s="11" t="n">
        <f aca="false">IF(D25="","",D25)</f>
        <v>8</v>
      </c>
      <c r="B26" s="11" t="n">
        <f aca="false">IF(A26="","",(A26-(A26*0.067))/8)</f>
        <v>0.933</v>
      </c>
      <c r="C26" s="11" t="n">
        <f aca="false">IF(OR(A26="",B26=""),"",A26+B26)</f>
        <v>8.933</v>
      </c>
      <c r="D26" s="11" t="n">
        <f aca="false">IF(A26="","",A26+SUMIFS(Registros!$AP$2:$AP$401,Registros!$C$2:$C$401,H26))</f>
        <v>8</v>
      </c>
      <c r="E26" s="11" t="n">
        <f aca="false">IF(A26="","",ROUND(A26*0.067,2))</f>
        <v>0.54</v>
      </c>
      <c r="F26" s="11" t="n">
        <f aca="false">IF(OR(D26="",C26=""),"",D26-C26)</f>
        <v>-0.933</v>
      </c>
      <c r="G26" s="14" t="n">
        <f aca="false">IF(G25="","",G25+1)</f>
        <v>25</v>
      </c>
      <c r="H26" s="13"/>
      <c r="I26" s="12"/>
    </row>
    <row r="27" customFormat="false" ht="15" hidden="false" customHeight="false" outlineLevel="0" collapsed="false">
      <c r="A27" s="11" t="n">
        <f aca="false">IF(D26="","",D26)</f>
        <v>8</v>
      </c>
      <c r="B27" s="11" t="n">
        <f aca="false">IF(A27="","",(A27-(A27*0.067))/8)</f>
        <v>0.933</v>
      </c>
      <c r="C27" s="11" t="n">
        <f aca="false">IF(OR(A27="",B27=""),"",A27+B27)</f>
        <v>8.933</v>
      </c>
      <c r="D27" s="11" t="n">
        <f aca="false">IF(A27="","",A27+SUMIFS(Registros!$AP$2:$AP$401,Registros!$C$2:$C$401,H27))</f>
        <v>8</v>
      </c>
      <c r="E27" s="11" t="n">
        <f aca="false">IF(A27="","",ROUND(A27*0.067,2))</f>
        <v>0.54</v>
      </c>
      <c r="F27" s="11" t="n">
        <f aca="false">IF(OR(D27="",C27=""),"",D27-C27)</f>
        <v>-0.933</v>
      </c>
      <c r="G27" s="14" t="n">
        <f aca="false">IF(G26="","",G26+1)</f>
        <v>26</v>
      </c>
      <c r="H27" s="13"/>
      <c r="I27" s="12"/>
    </row>
    <row r="28" customFormat="false" ht="15" hidden="false" customHeight="false" outlineLevel="0" collapsed="false">
      <c r="A28" s="11" t="n">
        <f aca="false">IF(D27="","",D27)</f>
        <v>8</v>
      </c>
      <c r="B28" s="11" t="n">
        <f aca="false">IF(A28="","",(A28-(A28*0.067))/8)</f>
        <v>0.933</v>
      </c>
      <c r="C28" s="11" t="n">
        <f aca="false">IF(OR(A28="",B28=""),"",A28+B28)</f>
        <v>8.933</v>
      </c>
      <c r="D28" s="11" t="n">
        <f aca="false">IF(A28="","",A28+SUMIFS(Registros!$AP$2:$AP$401,Registros!$C$2:$C$401,H28))</f>
        <v>8</v>
      </c>
      <c r="E28" s="11" t="n">
        <f aca="false">IF(A28="","",ROUND(A28*0.067,2))</f>
        <v>0.54</v>
      </c>
      <c r="F28" s="11" t="n">
        <f aca="false">IF(OR(D28="",C28=""),"",D28-C28)</f>
        <v>-0.933</v>
      </c>
      <c r="G28" s="14" t="n">
        <f aca="false">IF(G27="","",G27+1)</f>
        <v>27</v>
      </c>
      <c r="H28" s="13"/>
      <c r="I28" s="12"/>
    </row>
    <row r="29" customFormat="false" ht="15" hidden="false" customHeight="false" outlineLevel="0" collapsed="false">
      <c r="A29" s="11" t="n">
        <f aca="false">IF(D28="","",D28)</f>
        <v>8</v>
      </c>
      <c r="B29" s="11" t="n">
        <f aca="false">IF(A29="","",(A29-(A29*0.067))/8)</f>
        <v>0.933</v>
      </c>
      <c r="C29" s="11" t="n">
        <f aca="false">IF(OR(A29="",B29=""),"",A29+B29)</f>
        <v>8.933</v>
      </c>
      <c r="D29" s="11" t="n">
        <f aca="false">IF(A29="","",A29+SUMIFS(Registros!$AP$2:$AP$401,Registros!$C$2:$C$401,H29))</f>
        <v>8</v>
      </c>
      <c r="E29" s="11" t="n">
        <f aca="false">IF(A29="","",ROUND(A29*0.067,2))</f>
        <v>0.54</v>
      </c>
      <c r="F29" s="11" t="n">
        <f aca="false">IF(OR(D29="",C29=""),"",D29-C29)</f>
        <v>-0.933</v>
      </c>
      <c r="G29" s="14" t="n">
        <f aca="false">IF(G28="","",G28+1)</f>
        <v>28</v>
      </c>
      <c r="H29" s="13"/>
      <c r="I29" s="12"/>
    </row>
    <row r="30" customFormat="false" ht="15" hidden="false" customHeight="false" outlineLevel="0" collapsed="false">
      <c r="A30" s="11" t="n">
        <f aca="false">IF(D29="","",D29)</f>
        <v>8</v>
      </c>
      <c r="B30" s="11" t="n">
        <f aca="false">IF(A30="","",(A30-(A30*0.067))/8)</f>
        <v>0.933</v>
      </c>
      <c r="C30" s="11" t="n">
        <f aca="false">IF(OR(A30="",B30=""),"",A30+B30)</f>
        <v>8.933</v>
      </c>
      <c r="D30" s="11" t="n">
        <f aca="false">IF(A30="","",A30+SUMIFS(Registros!$AP$2:$AP$401,Registros!$C$2:$C$401,H30))</f>
        <v>8</v>
      </c>
      <c r="E30" s="11" t="n">
        <f aca="false">IF(A30="","",ROUND(A30*0.067,2))</f>
        <v>0.54</v>
      </c>
      <c r="F30" s="11" t="n">
        <f aca="false">IF(OR(D30="",C30=""),"",D30-C30)</f>
        <v>-0.933</v>
      </c>
      <c r="G30" s="14" t="n">
        <f aca="false">IF(G29="","",G29+1)</f>
        <v>29</v>
      </c>
      <c r="H30" s="13"/>
      <c r="I30" s="12"/>
    </row>
    <row r="31" customFormat="false" ht="15" hidden="false" customHeight="false" outlineLevel="0" collapsed="false">
      <c r="A31" s="11" t="n">
        <f aca="false">IF(D30="","",D30)</f>
        <v>8</v>
      </c>
      <c r="B31" s="11" t="n">
        <f aca="false">IF(A31="","",(A31-(A31*0.067))/8)</f>
        <v>0.933</v>
      </c>
      <c r="C31" s="11" t="n">
        <f aca="false">IF(OR(A31="",B31=""),"",A31+B31)</f>
        <v>8.933</v>
      </c>
      <c r="D31" s="11" t="n">
        <f aca="false">IF(A31="","",A31+SUMIFS(Registros!$AP$2:$AP$401,Registros!$C$2:$C$401,H31))</f>
        <v>8</v>
      </c>
      <c r="E31" s="11" t="n">
        <f aca="false">IF(A31="","",ROUND(A31*0.067,2))</f>
        <v>0.54</v>
      </c>
      <c r="F31" s="11" t="n">
        <f aca="false">IF(OR(D31="",C31=""),"",D31-C31)</f>
        <v>-0.933</v>
      </c>
      <c r="G31" s="14" t="n">
        <f aca="false">IF(G30="","",G30+1)</f>
        <v>30</v>
      </c>
      <c r="H31" s="13"/>
      <c r="I31" s="12"/>
    </row>
    <row r="32" customFormat="false" ht="15" hidden="false" customHeight="false" outlineLevel="0" collapsed="false">
      <c r="A32" s="11" t="n">
        <f aca="false">IF(D31="","",D31)</f>
        <v>8</v>
      </c>
      <c r="B32" s="11" t="n">
        <f aca="false">IF(A32="","",(A32-(A32*0.067))/8)</f>
        <v>0.933</v>
      </c>
      <c r="C32" s="11" t="n">
        <f aca="false">IF(OR(A32="",B32=""),"",A32+B32)</f>
        <v>8.933</v>
      </c>
      <c r="D32" s="11" t="n">
        <f aca="false">IF(A32="","",A32+SUMIFS(Registros!$AP$2:$AP$401,Registros!$C$2:$C$401,H32))</f>
        <v>8</v>
      </c>
      <c r="E32" s="11" t="n">
        <f aca="false">IF(A32="","",ROUND(A32*0.067,2))</f>
        <v>0.54</v>
      </c>
      <c r="F32" s="11" t="n">
        <f aca="false">IF(OR(D32="",C32=""),"",D32-C32)</f>
        <v>-0.933</v>
      </c>
      <c r="G32" s="14" t="n">
        <f aca="false">IF(G31="","",G31+1)</f>
        <v>31</v>
      </c>
      <c r="H32" s="13"/>
      <c r="I32" s="12"/>
    </row>
    <row r="33" customFormat="false" ht="15" hidden="false" customHeight="false" outlineLevel="0" collapsed="false">
      <c r="A33" s="11" t="n">
        <f aca="false">IF(D32="","",D32)</f>
        <v>8</v>
      </c>
      <c r="B33" s="11" t="n">
        <f aca="false">IF(A33="","",(A33-(A33*0.067))/8)</f>
        <v>0.933</v>
      </c>
      <c r="C33" s="11" t="n">
        <f aca="false">IF(OR(A33="",B33=""),"",A33+B33)</f>
        <v>8.933</v>
      </c>
      <c r="D33" s="11" t="n">
        <f aca="false">IF(A33="","",A33+SUMIFS(Registros!$AP$2:$AP$401,Registros!$C$2:$C$401,H33))</f>
        <v>8</v>
      </c>
      <c r="E33" s="11" t="n">
        <f aca="false">IF(A33="","",ROUND(A33*0.067,2))</f>
        <v>0.54</v>
      </c>
      <c r="F33" s="11" t="n">
        <f aca="false">IF(OR(D33="",C33=""),"",D33-C33)</f>
        <v>-0.933</v>
      </c>
      <c r="G33" s="14" t="n">
        <f aca="false">IF(G32="","",G32+1)</f>
        <v>32</v>
      </c>
      <c r="H33" s="13"/>
      <c r="I33" s="12"/>
    </row>
    <row r="34" customFormat="false" ht="15" hidden="false" customHeight="false" outlineLevel="0" collapsed="false">
      <c r="A34" s="11" t="n">
        <f aca="false">IF(D33="","",D33)</f>
        <v>8</v>
      </c>
      <c r="B34" s="11" t="n">
        <f aca="false">IF(A34="","",(A34-(A34*0.067))/8)</f>
        <v>0.933</v>
      </c>
      <c r="C34" s="11" t="n">
        <f aca="false">IF(OR(A34="",B34=""),"",A34+B34)</f>
        <v>8.933</v>
      </c>
      <c r="D34" s="11" t="n">
        <f aca="false">IF(A34="","",A34+SUMIFS(Registros!$AP$2:$AP$401,Registros!$C$2:$C$401,H34))</f>
        <v>8</v>
      </c>
      <c r="E34" s="11" t="n">
        <f aca="false">IF(A34="","",ROUND(A34*0.067,2))</f>
        <v>0.54</v>
      </c>
      <c r="F34" s="11" t="n">
        <f aca="false">IF(OR(D34="",C34=""),"",D34-C34)</f>
        <v>-0.933</v>
      </c>
      <c r="G34" s="14" t="n">
        <f aca="false">IF(G33="","",G33+1)</f>
        <v>33</v>
      </c>
      <c r="H34" s="13"/>
      <c r="I34" s="12"/>
    </row>
    <row r="35" customFormat="false" ht="15" hidden="false" customHeight="false" outlineLevel="0" collapsed="false">
      <c r="A35" s="11" t="n">
        <f aca="false">IF(D34="","",D34)</f>
        <v>8</v>
      </c>
      <c r="B35" s="11" t="n">
        <f aca="false">IF(A35="","",(A35-(A35*0.067))/8)</f>
        <v>0.933</v>
      </c>
      <c r="C35" s="11" t="n">
        <f aca="false">IF(OR(A35="",B35=""),"",A35+B35)</f>
        <v>8.933</v>
      </c>
      <c r="D35" s="11" t="n">
        <f aca="false">IF(A35="","",A35+SUMIFS(Registros!$AP$2:$AP$401,Registros!$C$2:$C$401,H35))</f>
        <v>8</v>
      </c>
      <c r="E35" s="11" t="n">
        <f aca="false">IF(A35="","",ROUND(A35*0.067,2))</f>
        <v>0.54</v>
      </c>
      <c r="F35" s="11" t="n">
        <f aca="false">IF(OR(D35="",C35=""),"",D35-C35)</f>
        <v>-0.933</v>
      </c>
      <c r="G35" s="14" t="n">
        <f aca="false">IF(G34="","",G34+1)</f>
        <v>34</v>
      </c>
      <c r="H35" s="13"/>
      <c r="I35" s="12"/>
    </row>
    <row r="36" customFormat="false" ht="15" hidden="false" customHeight="false" outlineLevel="0" collapsed="false">
      <c r="A36" s="11" t="n">
        <f aca="false">IF(D35="","",D35)</f>
        <v>8</v>
      </c>
      <c r="B36" s="11" t="n">
        <f aca="false">IF(A36="","",(A36-(A36*0.067))/8)</f>
        <v>0.933</v>
      </c>
      <c r="C36" s="11" t="n">
        <f aca="false">IF(OR(A36="",B36=""),"",A36+B36)</f>
        <v>8.933</v>
      </c>
      <c r="D36" s="11" t="n">
        <f aca="false">IF(A36="","",A36+SUMIFS(Registros!$AP$2:$AP$401,Registros!$C$2:$C$401,H36))</f>
        <v>8</v>
      </c>
      <c r="E36" s="11" t="n">
        <f aca="false">IF(A36="","",ROUND(A36*0.067,2))</f>
        <v>0.54</v>
      </c>
      <c r="F36" s="11" t="n">
        <f aca="false">IF(OR(D36="",C36=""),"",D36-C36)</f>
        <v>-0.933</v>
      </c>
      <c r="G36" s="14" t="n">
        <f aca="false">IF(G35="","",G35+1)</f>
        <v>35</v>
      </c>
      <c r="H36" s="13"/>
      <c r="I36" s="12"/>
    </row>
    <row r="37" customFormat="false" ht="15" hidden="false" customHeight="false" outlineLevel="0" collapsed="false">
      <c r="A37" s="11" t="n">
        <f aca="false">IF(D36="","",D36)</f>
        <v>8</v>
      </c>
      <c r="B37" s="11" t="n">
        <f aca="false">IF(A37="","",(A37-(A37*0.067))/8)</f>
        <v>0.933</v>
      </c>
      <c r="C37" s="11" t="n">
        <f aca="false">IF(OR(A37="",B37=""),"",A37+B37)</f>
        <v>8.933</v>
      </c>
      <c r="D37" s="11" t="n">
        <f aca="false">IF(A37="","",A37+SUMIFS(Registros!$AP$2:$AP$401,Registros!$C$2:$C$401,H37))</f>
        <v>8</v>
      </c>
      <c r="E37" s="11" t="n">
        <f aca="false">IF(A37="","",ROUND(A37*0.067,2))</f>
        <v>0.54</v>
      </c>
      <c r="F37" s="11" t="n">
        <f aca="false">IF(OR(D37="",C37=""),"",D37-C37)</f>
        <v>-0.933</v>
      </c>
      <c r="G37" s="14" t="n">
        <f aca="false">IF(G36="","",G36+1)</f>
        <v>36</v>
      </c>
      <c r="H37" s="13"/>
      <c r="I37" s="12"/>
    </row>
    <row r="38" customFormat="false" ht="15" hidden="false" customHeight="false" outlineLevel="0" collapsed="false">
      <c r="A38" s="11" t="n">
        <f aca="false">IF(D37="","",D37)</f>
        <v>8</v>
      </c>
      <c r="B38" s="11" t="n">
        <f aca="false">IF(A38="","",(A38-(A38*0.067))/8)</f>
        <v>0.933</v>
      </c>
      <c r="C38" s="11" t="n">
        <f aca="false">IF(OR(A38="",B38=""),"",A38+B38)</f>
        <v>8.933</v>
      </c>
      <c r="D38" s="11" t="n">
        <f aca="false">IF(A38="","",A38+SUMIFS(Registros!$AP$2:$AP$401,Registros!$C$2:$C$401,H38))</f>
        <v>8</v>
      </c>
      <c r="E38" s="11" t="n">
        <f aca="false">IF(A38="","",ROUND(A38*0.067,2))</f>
        <v>0.54</v>
      </c>
      <c r="F38" s="11" t="n">
        <f aca="false">IF(OR(D38="",C38=""),"",D38-C38)</f>
        <v>-0.933</v>
      </c>
      <c r="G38" s="14" t="n">
        <f aca="false">IF(G37="","",G37+1)</f>
        <v>37</v>
      </c>
      <c r="H38" s="13"/>
      <c r="I38" s="12"/>
    </row>
    <row r="39" customFormat="false" ht="15" hidden="false" customHeight="false" outlineLevel="0" collapsed="false">
      <c r="A39" s="11" t="n">
        <f aca="false">IF(D38="","",D38)</f>
        <v>8</v>
      </c>
      <c r="B39" s="11" t="n">
        <f aca="false">IF(A39="","",(A39-(A39*0.067))/8)</f>
        <v>0.933</v>
      </c>
      <c r="C39" s="11" t="n">
        <f aca="false">IF(OR(A39="",B39=""),"",A39+B39)</f>
        <v>8.933</v>
      </c>
      <c r="D39" s="11" t="n">
        <f aca="false">IF(A39="","",A39+SUMIFS(Registros!$AP$2:$AP$401,Registros!$C$2:$C$401,H39))</f>
        <v>8</v>
      </c>
      <c r="E39" s="11" t="n">
        <f aca="false">IF(A39="","",ROUND(A39*0.067,2))</f>
        <v>0.54</v>
      </c>
      <c r="F39" s="11" t="n">
        <f aca="false">IF(OR(D39="",C39=""),"",D39-C39)</f>
        <v>-0.933</v>
      </c>
      <c r="G39" s="14" t="n">
        <f aca="false">IF(G38="","",G38+1)</f>
        <v>38</v>
      </c>
      <c r="H39" s="13"/>
      <c r="I39" s="12"/>
    </row>
    <row r="40" customFormat="false" ht="15" hidden="false" customHeight="false" outlineLevel="0" collapsed="false">
      <c r="A40" s="11" t="n">
        <f aca="false">IF(D39="","",D39)</f>
        <v>8</v>
      </c>
      <c r="B40" s="11" t="n">
        <f aca="false">IF(A40="","",(A40-(A40*0.067))/8)</f>
        <v>0.933</v>
      </c>
      <c r="C40" s="11" t="n">
        <f aca="false">IF(OR(A40="",B40=""),"",A40+B40)</f>
        <v>8.933</v>
      </c>
      <c r="D40" s="11" t="n">
        <f aca="false">IF(A40="","",A40+SUMIFS(Registros!$AP$2:$AP$401,Registros!$C$2:$C$401,H40))</f>
        <v>8</v>
      </c>
      <c r="E40" s="11" t="n">
        <f aca="false">IF(A40="","",ROUND(A40*0.067,2))</f>
        <v>0.54</v>
      </c>
      <c r="F40" s="11" t="n">
        <f aca="false">IF(OR(D40="",C40=""),"",D40-C40)</f>
        <v>-0.933</v>
      </c>
      <c r="G40" s="14" t="n">
        <f aca="false">IF(G39="","",G39+1)</f>
        <v>39</v>
      </c>
      <c r="H40" s="13"/>
      <c r="I40" s="12"/>
    </row>
    <row r="41" customFormat="false" ht="15" hidden="false" customHeight="false" outlineLevel="0" collapsed="false">
      <c r="A41" s="11" t="n">
        <f aca="false">IF(D40="","",D40)</f>
        <v>8</v>
      </c>
      <c r="B41" s="11" t="n">
        <f aca="false">IF(A41="","",(A41-(A41*0.067))/8)</f>
        <v>0.933</v>
      </c>
      <c r="C41" s="11" t="n">
        <f aca="false">IF(OR(A41="",B41=""),"",A41+B41)</f>
        <v>8.933</v>
      </c>
      <c r="D41" s="11" t="n">
        <f aca="false">IF(A41="","",A41+SUMIFS(Registros!$AP$2:$AP$401,Registros!$C$2:$C$401,H41))</f>
        <v>8</v>
      </c>
      <c r="E41" s="11" t="n">
        <f aca="false">IF(A41="","",ROUND(A41*0.067,2))</f>
        <v>0.54</v>
      </c>
      <c r="F41" s="11" t="n">
        <f aca="false">IF(OR(D41="",C41=""),"",D41-C41)</f>
        <v>-0.933</v>
      </c>
      <c r="G41" s="14" t="n">
        <f aca="false">IF(G40="","",G40+1)</f>
        <v>40</v>
      </c>
      <c r="H41" s="13"/>
      <c r="I41" s="12"/>
    </row>
    <row r="42" customFormat="false" ht="15" hidden="false" customHeight="false" outlineLevel="0" collapsed="false">
      <c r="A42" s="11" t="n">
        <f aca="false">IF(D41="","",D41)</f>
        <v>8</v>
      </c>
      <c r="B42" s="11" t="n">
        <f aca="false">IF(A42="","",(A42-(A42*0.067))/8)</f>
        <v>0.933</v>
      </c>
      <c r="C42" s="11" t="n">
        <f aca="false">IF(OR(A42="",B42=""),"",A42+B42)</f>
        <v>8.933</v>
      </c>
      <c r="D42" s="11" t="n">
        <f aca="false">IF(A42="","",A42+SUMIFS(Registros!$AP$2:$AP$401,Registros!$C$2:$C$401,H42))</f>
        <v>8</v>
      </c>
      <c r="E42" s="11" t="n">
        <f aca="false">IF(A42="","",ROUND(A42*0.067,2))</f>
        <v>0.54</v>
      </c>
      <c r="F42" s="11" t="n">
        <f aca="false">IF(OR(D42="",C42=""),"",D42-C42)</f>
        <v>-0.933</v>
      </c>
      <c r="G42" s="14" t="n">
        <f aca="false">IF(G41="","",G41+1)</f>
        <v>41</v>
      </c>
      <c r="H42" s="13"/>
      <c r="I42" s="12"/>
    </row>
    <row r="43" customFormat="false" ht="15" hidden="false" customHeight="false" outlineLevel="0" collapsed="false">
      <c r="A43" s="11" t="n">
        <f aca="false">IF(D42="","",D42)</f>
        <v>8</v>
      </c>
      <c r="B43" s="11" t="n">
        <f aca="false">IF(A43="","",(A43-(A43*0.067))/8)</f>
        <v>0.933</v>
      </c>
      <c r="C43" s="11" t="n">
        <f aca="false">IF(OR(A43="",B43=""),"",A43+B43)</f>
        <v>8.933</v>
      </c>
      <c r="D43" s="11" t="n">
        <f aca="false">IF(A43="","",A43+SUMIFS(Registros!$AP$2:$AP$401,Registros!$C$2:$C$401,H43))</f>
        <v>8</v>
      </c>
      <c r="E43" s="11" t="n">
        <f aca="false">IF(A43="","",ROUND(A43*0.067,2))</f>
        <v>0.54</v>
      </c>
      <c r="F43" s="11" t="n">
        <f aca="false">IF(OR(D43="",C43=""),"",D43-C43)</f>
        <v>-0.933</v>
      </c>
      <c r="G43" s="14" t="n">
        <f aca="false">IF(G42="","",G42+1)</f>
        <v>42</v>
      </c>
      <c r="H43" s="13"/>
      <c r="I43" s="12"/>
    </row>
    <row r="44" customFormat="false" ht="15" hidden="false" customHeight="false" outlineLevel="0" collapsed="false">
      <c r="A44" s="11" t="n">
        <f aca="false">IF(D43="","",D43)</f>
        <v>8</v>
      </c>
      <c r="B44" s="11" t="n">
        <f aca="false">IF(A44="","",(A44-(A44*0.067))/8)</f>
        <v>0.933</v>
      </c>
      <c r="C44" s="11" t="n">
        <f aca="false">IF(OR(A44="",B44=""),"",A44+B44)</f>
        <v>8.933</v>
      </c>
      <c r="D44" s="11" t="n">
        <f aca="false">IF(A44="","",A44+SUMIFS(Registros!$AP$2:$AP$401,Registros!$C$2:$C$401,H44))</f>
        <v>8</v>
      </c>
      <c r="E44" s="11" t="n">
        <f aca="false">IF(A44="","",ROUND(A44*0.067,2))</f>
        <v>0.54</v>
      </c>
      <c r="F44" s="11" t="n">
        <f aca="false">IF(OR(D44="",C44=""),"",D44-C44)</f>
        <v>-0.933</v>
      </c>
      <c r="G44" s="14" t="n">
        <f aca="false">IF(G43="","",G43+1)</f>
        <v>43</v>
      </c>
      <c r="H44" s="13"/>
      <c r="I44" s="12"/>
    </row>
    <row r="45" customFormat="false" ht="15" hidden="false" customHeight="false" outlineLevel="0" collapsed="false">
      <c r="A45" s="11" t="n">
        <f aca="false">IF(D44="","",D44)</f>
        <v>8</v>
      </c>
      <c r="B45" s="11" t="n">
        <f aca="false">IF(A45="","",(A45-(A45*0.067))/8)</f>
        <v>0.933</v>
      </c>
      <c r="C45" s="11" t="n">
        <f aca="false">IF(OR(A45="",B45=""),"",A45+B45)</f>
        <v>8.933</v>
      </c>
      <c r="D45" s="11" t="n">
        <f aca="false">IF(A45="","",A45+SUMIFS(Registros!$AP$2:$AP$401,Registros!$C$2:$C$401,H45))</f>
        <v>8</v>
      </c>
      <c r="E45" s="11" t="n">
        <f aca="false">IF(A45="","",ROUND(A45*0.067,2))</f>
        <v>0.54</v>
      </c>
      <c r="F45" s="11" t="n">
        <f aca="false">IF(OR(D45="",C45=""),"",D45-C45)</f>
        <v>-0.933</v>
      </c>
      <c r="G45" s="14" t="n">
        <f aca="false">IF(G44="","",G44+1)</f>
        <v>44</v>
      </c>
      <c r="H45" s="13"/>
      <c r="I45" s="12"/>
    </row>
    <row r="46" customFormat="false" ht="15" hidden="false" customHeight="false" outlineLevel="0" collapsed="false">
      <c r="A46" s="11" t="n">
        <f aca="false">IF(D45="","",D45)</f>
        <v>8</v>
      </c>
      <c r="B46" s="11" t="n">
        <f aca="false">IF(A46="","",(A46-(A46*0.067))/8)</f>
        <v>0.933</v>
      </c>
      <c r="C46" s="11" t="n">
        <f aca="false">IF(OR(A46="",B46=""),"",A46+B46)</f>
        <v>8.933</v>
      </c>
      <c r="D46" s="11" t="n">
        <f aca="false">IF(A46="","",A46+SUMIFS(Registros!$AP$2:$AP$401,Registros!$C$2:$C$401,H46))</f>
        <v>8</v>
      </c>
      <c r="E46" s="11" t="n">
        <f aca="false">IF(A46="","",ROUND(A46*0.067,2))</f>
        <v>0.54</v>
      </c>
      <c r="F46" s="11" t="n">
        <f aca="false">IF(OR(D46="",C46=""),"",D46-C46)</f>
        <v>-0.933</v>
      </c>
      <c r="G46" s="14" t="n">
        <f aca="false">IF(G45="","",G45+1)</f>
        <v>45</v>
      </c>
      <c r="H46" s="13"/>
      <c r="I46" s="12"/>
    </row>
    <row r="47" customFormat="false" ht="15" hidden="false" customHeight="false" outlineLevel="0" collapsed="false">
      <c r="A47" s="11" t="n">
        <f aca="false">IF(D46="","",D46)</f>
        <v>8</v>
      </c>
      <c r="B47" s="11" t="n">
        <f aca="false">IF(A47="","",(A47-(A47*0.067))/8)</f>
        <v>0.933</v>
      </c>
      <c r="C47" s="11" t="n">
        <f aca="false">IF(OR(A47="",B47=""),"",A47+B47)</f>
        <v>8.933</v>
      </c>
      <c r="D47" s="11" t="n">
        <f aca="false">IF(A47="","",A47+SUMIFS(Registros!$AP$2:$AP$401,Registros!$C$2:$C$401,H47))</f>
        <v>8</v>
      </c>
      <c r="E47" s="11" t="n">
        <f aca="false">IF(A47="","",ROUND(A47*0.067,2))</f>
        <v>0.54</v>
      </c>
      <c r="F47" s="11" t="n">
        <f aca="false">IF(OR(D47="",C47=""),"",D47-C47)</f>
        <v>-0.933</v>
      </c>
      <c r="G47" s="14" t="n">
        <f aca="false">IF(G46="","",G46+1)</f>
        <v>46</v>
      </c>
      <c r="H47" s="13"/>
      <c r="I47" s="12"/>
    </row>
    <row r="48" customFormat="false" ht="15" hidden="false" customHeight="false" outlineLevel="0" collapsed="false">
      <c r="A48" s="11" t="n">
        <f aca="false">IF(D47="","",D47)</f>
        <v>8</v>
      </c>
      <c r="B48" s="11" t="n">
        <f aca="false">IF(A48="","",(A48-(A48*0.067))/8)</f>
        <v>0.933</v>
      </c>
      <c r="C48" s="11" t="n">
        <f aca="false">IF(OR(A48="",B48=""),"",A48+B48)</f>
        <v>8.933</v>
      </c>
      <c r="D48" s="11" t="n">
        <f aca="false">IF(A48="","",A48+SUMIFS(Registros!$AP$2:$AP$401,Registros!$C$2:$C$401,H48))</f>
        <v>8</v>
      </c>
      <c r="E48" s="11" t="n">
        <f aca="false">IF(A48="","",ROUND(A48*0.067,2))</f>
        <v>0.54</v>
      </c>
      <c r="F48" s="11" t="n">
        <f aca="false">IF(OR(D48="",C48=""),"",D48-C48)</f>
        <v>-0.933</v>
      </c>
      <c r="G48" s="14" t="n">
        <f aca="false">IF(G47="","",G47+1)</f>
        <v>47</v>
      </c>
      <c r="H48" s="13"/>
      <c r="I48" s="12"/>
    </row>
    <row r="49" customFormat="false" ht="15" hidden="false" customHeight="false" outlineLevel="0" collapsed="false">
      <c r="A49" s="11" t="n">
        <f aca="false">IF(D48="","",D48)</f>
        <v>8</v>
      </c>
      <c r="B49" s="11" t="n">
        <f aca="false">IF(A49="","",(A49-(A49*0.067))/8)</f>
        <v>0.933</v>
      </c>
      <c r="C49" s="11" t="n">
        <f aca="false">IF(OR(A49="",B49=""),"",A49+B49)</f>
        <v>8.933</v>
      </c>
      <c r="D49" s="11" t="n">
        <f aca="false">IF(A49="","",A49+SUMIFS(Registros!$AP$2:$AP$401,Registros!$C$2:$C$401,H49))</f>
        <v>8</v>
      </c>
      <c r="E49" s="11" t="n">
        <f aca="false">IF(A49="","",ROUND(A49*0.067,2))</f>
        <v>0.54</v>
      </c>
      <c r="F49" s="11" t="n">
        <f aca="false">IF(OR(D49="",C49=""),"",D49-C49)</f>
        <v>-0.933</v>
      </c>
      <c r="G49" s="14" t="n">
        <f aca="false">IF(G48="","",G48+1)</f>
        <v>48</v>
      </c>
      <c r="H49" s="13"/>
      <c r="I49" s="12"/>
    </row>
    <row r="50" customFormat="false" ht="15" hidden="false" customHeight="false" outlineLevel="0" collapsed="false">
      <c r="A50" s="11" t="n">
        <f aca="false">IF(D49="","",D49)</f>
        <v>8</v>
      </c>
      <c r="B50" s="11" t="n">
        <f aca="false">IF(A50="","",(A50-(A50*0.067))/8)</f>
        <v>0.933</v>
      </c>
      <c r="C50" s="11" t="n">
        <f aca="false">IF(OR(A50="",B50=""),"",A50+B50)</f>
        <v>8.933</v>
      </c>
      <c r="D50" s="11" t="n">
        <f aca="false">IF(A50="","",A50+SUMIFS(Registros!$AP$2:$AP$401,Registros!$C$2:$C$401,H50))</f>
        <v>8</v>
      </c>
      <c r="E50" s="11" t="n">
        <f aca="false">IF(A50="","",ROUND(A50*0.067,2))</f>
        <v>0.54</v>
      </c>
      <c r="F50" s="11" t="n">
        <f aca="false">IF(OR(D50="",C50=""),"",D50-C50)</f>
        <v>-0.933</v>
      </c>
      <c r="G50" s="14" t="n">
        <f aca="false">IF(G49="","",G49+1)</f>
        <v>49</v>
      </c>
      <c r="H50" s="13"/>
      <c r="I50" s="12"/>
    </row>
    <row r="51" customFormat="false" ht="15" hidden="false" customHeight="false" outlineLevel="0" collapsed="false">
      <c r="A51" s="11" t="n">
        <f aca="false">IF(D50="","",D50)</f>
        <v>8</v>
      </c>
      <c r="B51" s="11" t="n">
        <f aca="false">IF(A51="","",(A51-(A51*0.067))/8)</f>
        <v>0.933</v>
      </c>
      <c r="C51" s="11" t="n">
        <f aca="false">IF(OR(A51="",B51=""),"",A51+B51)</f>
        <v>8.933</v>
      </c>
      <c r="D51" s="11" t="n">
        <f aca="false">IF(A51="","",A51+SUMIFS(Registros!$AP$2:$AP$401,Registros!$C$2:$C$401,H51))</f>
        <v>8</v>
      </c>
      <c r="E51" s="11" t="n">
        <f aca="false">IF(A51="","",ROUND(A51*0.067,2))</f>
        <v>0.54</v>
      </c>
      <c r="F51" s="11" t="n">
        <f aca="false">IF(OR(D51="",C51=""),"",D51-C51)</f>
        <v>-0.933</v>
      </c>
      <c r="G51" s="14" t="n">
        <f aca="false">IF(G50="","",G50+1)</f>
        <v>50</v>
      </c>
      <c r="H51" s="13"/>
      <c r="I51" s="12"/>
    </row>
    <row r="52" customFormat="false" ht="15" hidden="false" customHeight="false" outlineLevel="0" collapsed="false">
      <c r="A52" s="11" t="n">
        <f aca="false">IF(D51="","",D51)</f>
        <v>8</v>
      </c>
      <c r="B52" s="11" t="n">
        <f aca="false">IF(A52="","",(A52-(A52*0.067))/8)</f>
        <v>0.933</v>
      </c>
      <c r="C52" s="11" t="n">
        <f aca="false">IF(OR(A52="",B52=""),"",A52+B52)</f>
        <v>8.933</v>
      </c>
      <c r="D52" s="11" t="n">
        <f aca="false">IF(A52="","",A52+SUMIFS(Registros!$AP$2:$AP$401,Registros!$C$2:$C$401,H52))</f>
        <v>8</v>
      </c>
      <c r="E52" s="11" t="n">
        <f aca="false">IF(A52="","",ROUND(A52*0.067,2))</f>
        <v>0.54</v>
      </c>
      <c r="F52" s="11" t="n">
        <f aca="false">IF(OR(D52="",C52=""),"",D52-C52)</f>
        <v>-0.933</v>
      </c>
      <c r="G52" s="14" t="n">
        <f aca="false">IF(G51="","",G51+1)</f>
        <v>51</v>
      </c>
      <c r="H52" s="13"/>
      <c r="I52" s="12"/>
    </row>
    <row r="53" customFormat="false" ht="15" hidden="false" customHeight="false" outlineLevel="0" collapsed="false">
      <c r="A53" s="11" t="n">
        <f aca="false">IF(D52="","",D52)</f>
        <v>8</v>
      </c>
      <c r="B53" s="11" t="n">
        <f aca="false">IF(A53="","",(A53-(A53*0.067))/8)</f>
        <v>0.933</v>
      </c>
      <c r="C53" s="11" t="n">
        <f aca="false">IF(OR(A53="",B53=""),"",A53+B53)</f>
        <v>8.933</v>
      </c>
      <c r="D53" s="11" t="n">
        <f aca="false">IF(A53="","",A53+SUMIFS(Registros!$AP$2:$AP$401,Registros!$C$2:$C$401,H53))</f>
        <v>8</v>
      </c>
      <c r="E53" s="11" t="n">
        <f aca="false">IF(A53="","",ROUND(A53*0.067,2))</f>
        <v>0.54</v>
      </c>
      <c r="F53" s="11" t="n">
        <f aca="false">IF(OR(D53="",C53=""),"",D53-C53)</f>
        <v>-0.933</v>
      </c>
      <c r="G53" s="14" t="n">
        <f aca="false">IF(G52="","",G52+1)</f>
        <v>52</v>
      </c>
      <c r="H53" s="13"/>
      <c r="I53" s="12"/>
    </row>
    <row r="54" customFormat="false" ht="15" hidden="false" customHeight="false" outlineLevel="0" collapsed="false">
      <c r="A54" s="11" t="n">
        <f aca="false">IF(D53="","",D53)</f>
        <v>8</v>
      </c>
      <c r="B54" s="11" t="n">
        <f aca="false">IF(A54="","",(A54-(A54*0.067))/8)</f>
        <v>0.933</v>
      </c>
      <c r="C54" s="11" t="n">
        <f aca="false">IF(OR(A54="",B54=""),"",A54+B54)</f>
        <v>8.933</v>
      </c>
      <c r="D54" s="11" t="n">
        <f aca="false">IF(A54="","",A54+SUMIFS(Registros!$AP$2:$AP$401,Registros!$C$2:$C$401,H54))</f>
        <v>8</v>
      </c>
      <c r="E54" s="11" t="n">
        <f aca="false">IF(A54="","",ROUND(A54*0.067,2))</f>
        <v>0.54</v>
      </c>
      <c r="F54" s="11" t="n">
        <f aca="false">IF(OR(D54="",C54=""),"",D54-C54)</f>
        <v>-0.933</v>
      </c>
      <c r="G54" s="14" t="n">
        <f aca="false">IF(G53="","",G53+1)</f>
        <v>53</v>
      </c>
      <c r="H54" s="13"/>
      <c r="I54" s="12"/>
    </row>
    <row r="55" customFormat="false" ht="15" hidden="false" customHeight="false" outlineLevel="0" collapsed="false">
      <c r="A55" s="11" t="n">
        <f aca="false">IF(D54="","",D54)</f>
        <v>8</v>
      </c>
      <c r="B55" s="11" t="n">
        <f aca="false">IF(A55="","",(A55-(A55*0.067))/8)</f>
        <v>0.933</v>
      </c>
      <c r="C55" s="11" t="n">
        <f aca="false">IF(OR(A55="",B55=""),"",A55+B55)</f>
        <v>8.933</v>
      </c>
      <c r="D55" s="11" t="n">
        <f aca="false">IF(A55="","",A55+SUMIFS(Registros!$AP$2:$AP$401,Registros!$C$2:$C$401,H55))</f>
        <v>8</v>
      </c>
      <c r="E55" s="11" t="n">
        <f aca="false">IF(A55="","",ROUND(A55*0.067,2))</f>
        <v>0.54</v>
      </c>
      <c r="F55" s="11" t="n">
        <f aca="false">IF(OR(D55="",C55=""),"",D55-C55)</f>
        <v>-0.933</v>
      </c>
      <c r="G55" s="14" t="n">
        <f aca="false">IF(G54="","",G54+1)</f>
        <v>54</v>
      </c>
      <c r="H55" s="13"/>
      <c r="I55" s="12"/>
    </row>
    <row r="56" customFormat="false" ht="15" hidden="false" customHeight="false" outlineLevel="0" collapsed="false">
      <c r="A56" s="11" t="n">
        <f aca="false">IF(D55="","",D55)</f>
        <v>8</v>
      </c>
      <c r="B56" s="11" t="n">
        <f aca="false">IF(A56="","",(A56-(A56*0.067))/8)</f>
        <v>0.933</v>
      </c>
      <c r="C56" s="11" t="n">
        <f aca="false">IF(OR(A56="",B56=""),"",A56+B56)</f>
        <v>8.933</v>
      </c>
      <c r="D56" s="11" t="n">
        <f aca="false">IF(A56="","",A56+SUMIFS(Registros!$AP$2:$AP$401,Registros!$C$2:$C$401,H56))</f>
        <v>8</v>
      </c>
      <c r="E56" s="11" t="n">
        <f aca="false">IF(A56="","",ROUND(A56*0.067,2))</f>
        <v>0.54</v>
      </c>
      <c r="F56" s="11" t="n">
        <f aca="false">IF(OR(D56="",C56=""),"",D56-C56)</f>
        <v>-0.933</v>
      </c>
      <c r="G56" s="14" t="n">
        <f aca="false">IF(G55="","",G55+1)</f>
        <v>55</v>
      </c>
      <c r="H56" s="13"/>
      <c r="I56" s="12"/>
    </row>
    <row r="57" customFormat="false" ht="15" hidden="false" customHeight="false" outlineLevel="0" collapsed="false">
      <c r="A57" s="11" t="n">
        <f aca="false">IF(D56="","",D56)</f>
        <v>8</v>
      </c>
      <c r="B57" s="11" t="n">
        <f aca="false">IF(A57="","",(A57-(A57*0.067))/8)</f>
        <v>0.933</v>
      </c>
      <c r="C57" s="11" t="n">
        <f aca="false">IF(OR(A57="",B57=""),"",A57+B57)</f>
        <v>8.933</v>
      </c>
      <c r="D57" s="11" t="n">
        <f aca="false">IF(A57="","",A57+SUMIFS(Registros!$AP$2:$AP$401,Registros!$C$2:$C$401,H57))</f>
        <v>8</v>
      </c>
      <c r="E57" s="11" t="n">
        <f aca="false">IF(A57="","",ROUND(A57*0.067,2))</f>
        <v>0.54</v>
      </c>
      <c r="F57" s="11" t="n">
        <f aca="false">IF(OR(D57="",C57=""),"",D57-C57)</f>
        <v>-0.933</v>
      </c>
      <c r="G57" s="14" t="n">
        <f aca="false">IF(G56="","",G56+1)</f>
        <v>56</v>
      </c>
      <c r="H57" s="13"/>
      <c r="I57" s="12"/>
    </row>
    <row r="58" customFormat="false" ht="15" hidden="false" customHeight="false" outlineLevel="0" collapsed="false">
      <c r="A58" s="11" t="n">
        <f aca="false">IF(D57="","",D57)</f>
        <v>8</v>
      </c>
      <c r="B58" s="11" t="n">
        <f aca="false">IF(A58="","",(A58-(A58*0.067))/8)</f>
        <v>0.933</v>
      </c>
      <c r="C58" s="11" t="n">
        <f aca="false">IF(OR(A58="",B58=""),"",A58+B58)</f>
        <v>8.933</v>
      </c>
      <c r="D58" s="11" t="n">
        <f aca="false">IF(A58="","",A58+SUMIFS(Registros!$AP$2:$AP$401,Registros!$C$2:$C$401,H58))</f>
        <v>8</v>
      </c>
      <c r="E58" s="11" t="n">
        <f aca="false">IF(A58="","",ROUND(A58*0.067,2))</f>
        <v>0.54</v>
      </c>
      <c r="F58" s="11" t="n">
        <f aca="false">IF(OR(D58="",C58=""),"",D58-C58)</f>
        <v>-0.933</v>
      </c>
      <c r="G58" s="14" t="n">
        <f aca="false">IF(G57="","",G57+1)</f>
        <v>57</v>
      </c>
      <c r="H58" s="13"/>
      <c r="I58" s="12"/>
    </row>
    <row r="59" customFormat="false" ht="15" hidden="false" customHeight="false" outlineLevel="0" collapsed="false">
      <c r="A59" s="11" t="n">
        <f aca="false">IF(D58="","",D58)</f>
        <v>8</v>
      </c>
      <c r="B59" s="11" t="n">
        <f aca="false">IF(A59="","",(A59-(A59*0.067))/8)</f>
        <v>0.933</v>
      </c>
      <c r="C59" s="11" t="n">
        <f aca="false">IF(OR(A59="",B59=""),"",A59+B59)</f>
        <v>8.933</v>
      </c>
      <c r="D59" s="11" t="n">
        <f aca="false">IF(A59="","",A59+SUMIFS(Registros!$AP$2:$AP$401,Registros!$C$2:$C$401,H59))</f>
        <v>8</v>
      </c>
      <c r="E59" s="11" t="n">
        <f aca="false">IF(A59="","",ROUND(A59*0.067,2))</f>
        <v>0.54</v>
      </c>
      <c r="F59" s="11" t="n">
        <f aca="false">IF(OR(D59="",C59=""),"",D59-C59)</f>
        <v>-0.933</v>
      </c>
      <c r="G59" s="14" t="n">
        <f aca="false">IF(G58="","",G58+1)</f>
        <v>58</v>
      </c>
      <c r="H59" s="13"/>
      <c r="I59" s="12"/>
    </row>
    <row r="60" customFormat="false" ht="15" hidden="false" customHeight="false" outlineLevel="0" collapsed="false">
      <c r="A60" s="11" t="n">
        <f aca="false">IF(D59="","",D59)</f>
        <v>8</v>
      </c>
      <c r="B60" s="11" t="n">
        <f aca="false">IF(A60="","",(A60-(A60*0.067))/8)</f>
        <v>0.933</v>
      </c>
      <c r="C60" s="11" t="n">
        <f aca="false">IF(OR(A60="",B60=""),"",A60+B60)</f>
        <v>8.933</v>
      </c>
      <c r="D60" s="11" t="n">
        <f aca="false">IF(A60="","",A60+SUMIFS(Registros!$AP$2:$AP$401,Registros!$C$2:$C$401,H60))</f>
        <v>8</v>
      </c>
      <c r="E60" s="11" t="n">
        <f aca="false">IF(A60="","",ROUND(A60*0.067,2))</f>
        <v>0.54</v>
      </c>
      <c r="F60" s="11" t="n">
        <f aca="false">IF(OR(D60="",C60=""),"",D60-C60)</f>
        <v>-0.933</v>
      </c>
      <c r="G60" s="14" t="n">
        <f aca="false">IF(G59="","",G59+1)</f>
        <v>59</v>
      </c>
      <c r="H60" s="13"/>
      <c r="I60" s="12"/>
    </row>
    <row r="61" customFormat="false" ht="15" hidden="false" customHeight="false" outlineLevel="0" collapsed="false">
      <c r="A61" s="11" t="n">
        <f aca="false">IF(D60="","",D60)</f>
        <v>8</v>
      </c>
      <c r="B61" s="11" t="n">
        <f aca="false">IF(A61="","",(A61-(A61*0.067))/8)</f>
        <v>0.933</v>
      </c>
      <c r="C61" s="11" t="n">
        <f aca="false">IF(OR(A61="",B61=""),"",A61+B61)</f>
        <v>8.933</v>
      </c>
      <c r="D61" s="11" t="n">
        <f aca="false">IF(A61="","",A61+SUMIFS(Registros!$AP$2:$AP$401,Registros!$C$2:$C$401,H61))</f>
        <v>8</v>
      </c>
      <c r="E61" s="11" t="n">
        <f aca="false">IF(A61="","",ROUND(A61*0.067,2))</f>
        <v>0.54</v>
      </c>
      <c r="F61" s="11" t="n">
        <f aca="false">IF(OR(D61="",C61=""),"",D61-C61)</f>
        <v>-0.933</v>
      </c>
      <c r="G61" s="14" t="n">
        <f aca="false">IF(G60="","",G60+1)</f>
        <v>60</v>
      </c>
      <c r="H61" s="13"/>
      <c r="I61" s="12"/>
    </row>
    <row r="62" customFormat="false" ht="15" hidden="false" customHeight="false" outlineLevel="0" collapsed="false">
      <c r="A62" s="11" t="n">
        <f aca="false">IF(D61="","",D61)</f>
        <v>8</v>
      </c>
      <c r="B62" s="11" t="n">
        <f aca="false">IF(A62="","",(A62-(A62*0.067))/8)</f>
        <v>0.933</v>
      </c>
      <c r="C62" s="11" t="n">
        <f aca="false">IF(OR(A62="",B62=""),"",A62+B62)</f>
        <v>8.933</v>
      </c>
      <c r="D62" s="11" t="n">
        <f aca="false">IF(A62="","",A62+SUMIFS(Registros!$AP$2:$AP$401,Registros!$C$2:$C$401,H62))</f>
        <v>8</v>
      </c>
      <c r="E62" s="11" t="n">
        <f aca="false">IF(A62="","",ROUND(A62*0.067,2))</f>
        <v>0.54</v>
      </c>
      <c r="F62" s="11" t="n">
        <f aca="false">IF(OR(D62="",C62=""),"",D62-C62)</f>
        <v>-0.933</v>
      </c>
      <c r="G62" s="14" t="n">
        <f aca="false">IF(G61="","",G61+1)</f>
        <v>61</v>
      </c>
      <c r="H62" s="13"/>
      <c r="I62" s="12"/>
    </row>
    <row r="63" customFormat="false" ht="15" hidden="false" customHeight="false" outlineLevel="0" collapsed="false">
      <c r="A63" s="11" t="n">
        <f aca="false">IF(D62="","",D62)</f>
        <v>8</v>
      </c>
      <c r="B63" s="11" t="n">
        <f aca="false">IF(A63="","",(A63-(A63*0.067))/8)</f>
        <v>0.933</v>
      </c>
      <c r="C63" s="11" t="n">
        <f aca="false">IF(OR(A63="",B63=""),"",A63+B63)</f>
        <v>8.933</v>
      </c>
      <c r="D63" s="11" t="n">
        <f aca="false">IF(A63="","",A63+SUMIFS(Registros!$AP$2:$AP$401,Registros!$C$2:$C$401,H63))</f>
        <v>8</v>
      </c>
      <c r="E63" s="11" t="n">
        <f aca="false">IF(A63="","",ROUND(A63*0.067,2))</f>
        <v>0.54</v>
      </c>
      <c r="F63" s="11" t="n">
        <f aca="false">IF(OR(D63="",C63=""),"",D63-C63)</f>
        <v>-0.933</v>
      </c>
      <c r="G63" s="14" t="n">
        <f aca="false">IF(G62="","",G62+1)</f>
        <v>62</v>
      </c>
      <c r="H63" s="13"/>
      <c r="I63" s="12"/>
    </row>
    <row r="64" customFormat="false" ht="15" hidden="false" customHeight="false" outlineLevel="0" collapsed="false">
      <c r="A64" s="11" t="n">
        <f aca="false">IF(D63="","",D63)</f>
        <v>8</v>
      </c>
      <c r="B64" s="11" t="n">
        <f aca="false">IF(A64="","",(A64-(A64*0.067))/8)</f>
        <v>0.933</v>
      </c>
      <c r="C64" s="11" t="n">
        <f aca="false">IF(OR(A64="",B64=""),"",A64+B64)</f>
        <v>8.933</v>
      </c>
      <c r="D64" s="11" t="n">
        <f aca="false">IF(A64="","",A64+SUMIFS(Registros!$AP$2:$AP$401,Registros!$C$2:$C$401,H64))</f>
        <v>8</v>
      </c>
      <c r="E64" s="11" t="n">
        <f aca="false">IF(A64="","",ROUND(A64*0.067,2))</f>
        <v>0.54</v>
      </c>
      <c r="F64" s="11" t="n">
        <f aca="false">IF(OR(D64="",C64=""),"",D64-C64)</f>
        <v>-0.933</v>
      </c>
      <c r="G64" s="14" t="n">
        <f aca="false">IF(G63="","",G63+1)</f>
        <v>63</v>
      </c>
      <c r="H64" s="13"/>
      <c r="I64" s="12"/>
    </row>
    <row r="65" customFormat="false" ht="15" hidden="false" customHeight="false" outlineLevel="0" collapsed="false">
      <c r="A65" s="11" t="n">
        <f aca="false">IF(D64="","",D64)</f>
        <v>8</v>
      </c>
      <c r="B65" s="11" t="n">
        <f aca="false">IF(A65="","",(A65-(A65*0.067))/8)</f>
        <v>0.933</v>
      </c>
      <c r="C65" s="11" t="n">
        <f aca="false">IF(OR(A65="",B65=""),"",A65+B65)</f>
        <v>8.933</v>
      </c>
      <c r="D65" s="11" t="n">
        <f aca="false">IF(A65="","",A65+SUMIFS(Registros!$AP$2:$AP$401,Registros!$C$2:$C$401,H65))</f>
        <v>8</v>
      </c>
      <c r="E65" s="11" t="n">
        <f aca="false">IF(A65="","",ROUND(A65*0.067,2))</f>
        <v>0.54</v>
      </c>
      <c r="F65" s="11" t="n">
        <f aca="false">IF(OR(D65="",C65=""),"",D65-C65)</f>
        <v>-0.933</v>
      </c>
      <c r="G65" s="14" t="n">
        <f aca="false">IF(G64="","",G64+1)</f>
        <v>64</v>
      </c>
      <c r="H65" s="13"/>
      <c r="I65" s="12"/>
    </row>
    <row r="66" customFormat="false" ht="15" hidden="false" customHeight="false" outlineLevel="0" collapsed="false">
      <c r="A66" s="11" t="n">
        <f aca="false">IF(D65="","",D65)</f>
        <v>8</v>
      </c>
      <c r="B66" s="11" t="n">
        <f aca="false">IF(A66="","",(A66-(A66*0.067))/8)</f>
        <v>0.933</v>
      </c>
      <c r="C66" s="11" t="n">
        <f aca="false">IF(OR(A66="",B66=""),"",A66+B66)</f>
        <v>8.933</v>
      </c>
      <c r="D66" s="11" t="n">
        <f aca="false">IF(A66="","",A66+SUMIFS(Registros!$AP$2:$AP$401,Registros!$C$2:$C$401,H66))</f>
        <v>8</v>
      </c>
      <c r="E66" s="11" t="n">
        <f aca="false">IF(A66="","",ROUND(A66*0.067,2))</f>
        <v>0.54</v>
      </c>
      <c r="F66" s="11" t="n">
        <f aca="false">IF(OR(D66="",C66=""),"",D66-C66)</f>
        <v>-0.933</v>
      </c>
      <c r="G66" s="14" t="n">
        <f aca="false">IF(G65="","",G65+1)</f>
        <v>65</v>
      </c>
      <c r="H66" s="13"/>
      <c r="I66" s="12"/>
    </row>
    <row r="67" customFormat="false" ht="15" hidden="false" customHeight="false" outlineLevel="0" collapsed="false">
      <c r="A67" s="11" t="n">
        <f aca="false">IF(D66="","",D66)</f>
        <v>8</v>
      </c>
      <c r="B67" s="11" t="n">
        <f aca="false">IF(A67="","",(A67-(A67*0.067))/8)</f>
        <v>0.933</v>
      </c>
      <c r="C67" s="11" t="n">
        <f aca="false">IF(OR(A67="",B67=""),"",A67+B67)</f>
        <v>8.933</v>
      </c>
      <c r="D67" s="11" t="n">
        <f aca="false">IF(A67="","",A67+SUMIFS(Registros!$AP$2:$AP$401,Registros!$C$2:$C$401,H67))</f>
        <v>8</v>
      </c>
      <c r="E67" s="11" t="n">
        <f aca="false">IF(A67="","",ROUND(A67*0.067,2))</f>
        <v>0.54</v>
      </c>
      <c r="F67" s="11" t="n">
        <f aca="false">IF(OR(D67="",C67=""),"",D67-C67)</f>
        <v>-0.933</v>
      </c>
      <c r="G67" s="14" t="n">
        <f aca="false">IF(G66="","",G66+1)</f>
        <v>66</v>
      </c>
      <c r="H67" s="13"/>
      <c r="I67" s="12"/>
    </row>
    <row r="68" customFormat="false" ht="15" hidden="false" customHeight="false" outlineLevel="0" collapsed="false">
      <c r="A68" s="11" t="n">
        <f aca="false">IF(D67="","",D67)</f>
        <v>8</v>
      </c>
      <c r="B68" s="11" t="n">
        <f aca="false">IF(A68="","",(A68-(A68*0.067))/8)</f>
        <v>0.933</v>
      </c>
      <c r="C68" s="11" t="n">
        <f aca="false">IF(OR(A68="",B68=""),"",A68+B68)</f>
        <v>8.933</v>
      </c>
      <c r="D68" s="11" t="n">
        <f aca="false">IF(A68="","",A68+SUMIFS(Registros!$AP$2:$AP$401,Registros!$C$2:$C$401,H68))</f>
        <v>8</v>
      </c>
      <c r="E68" s="11" t="n">
        <f aca="false">IF(A68="","",ROUND(A68*0.067,2))</f>
        <v>0.54</v>
      </c>
      <c r="F68" s="11" t="n">
        <f aca="false">IF(OR(D68="",C68=""),"",D68-C68)</f>
        <v>-0.933</v>
      </c>
      <c r="G68" s="14" t="n">
        <f aca="false">IF(G67="","",G67+1)</f>
        <v>67</v>
      </c>
      <c r="H68" s="13"/>
      <c r="I68" s="12"/>
    </row>
    <row r="69" customFormat="false" ht="15" hidden="false" customHeight="false" outlineLevel="0" collapsed="false">
      <c r="A69" s="11" t="n">
        <f aca="false">IF(D68="","",D68)</f>
        <v>8</v>
      </c>
      <c r="B69" s="11" t="n">
        <f aca="false">IF(A69="","",(A69-(A69*0.067))/8)</f>
        <v>0.933</v>
      </c>
      <c r="C69" s="11" t="n">
        <f aca="false">IF(OR(A69="",B69=""),"",A69+B69)</f>
        <v>8.933</v>
      </c>
      <c r="D69" s="11" t="n">
        <f aca="false">IF(A69="","",A69+SUMIFS(Registros!$AP$2:$AP$401,Registros!$C$2:$C$401,H69))</f>
        <v>8</v>
      </c>
      <c r="E69" s="11" t="n">
        <f aca="false">IF(A69="","",ROUND(A69*0.067,2))</f>
        <v>0.54</v>
      </c>
      <c r="F69" s="11" t="n">
        <f aca="false">IF(OR(D69="",C69=""),"",D69-C69)</f>
        <v>-0.933</v>
      </c>
      <c r="G69" s="14" t="n">
        <f aca="false">IF(G68="","",G68+1)</f>
        <v>68</v>
      </c>
      <c r="H69" s="13"/>
      <c r="I69" s="12"/>
    </row>
    <row r="70" customFormat="false" ht="15" hidden="false" customHeight="false" outlineLevel="0" collapsed="false">
      <c r="A70" s="11" t="n">
        <f aca="false">IF(D69="","",D69)</f>
        <v>8</v>
      </c>
      <c r="B70" s="11" t="n">
        <f aca="false">IF(A70="","",(A70-(A70*0.067))/8)</f>
        <v>0.933</v>
      </c>
      <c r="C70" s="11" t="n">
        <f aca="false">IF(OR(A70="",B70=""),"",A70+B70)</f>
        <v>8.933</v>
      </c>
      <c r="D70" s="11" t="n">
        <f aca="false">IF(A70="","",A70+SUMIFS(Registros!$AP$2:$AP$401,Registros!$C$2:$C$401,H70))</f>
        <v>8</v>
      </c>
      <c r="E70" s="11" t="n">
        <f aca="false">IF(A70="","",ROUND(A70*0.067,2))</f>
        <v>0.54</v>
      </c>
      <c r="F70" s="11" t="n">
        <f aca="false">IF(OR(D70="",C70=""),"",D70-C70)</f>
        <v>-0.933</v>
      </c>
      <c r="G70" s="14" t="n">
        <f aca="false">IF(G69="","",G69+1)</f>
        <v>69</v>
      </c>
      <c r="H70" s="13"/>
      <c r="I70" s="12"/>
    </row>
    <row r="71" customFormat="false" ht="15" hidden="false" customHeight="false" outlineLevel="0" collapsed="false">
      <c r="A71" s="11" t="n">
        <f aca="false">IF(D70="","",D70)</f>
        <v>8</v>
      </c>
      <c r="B71" s="11" t="n">
        <f aca="false">IF(A71="","",(A71-(A71*0.067))/8)</f>
        <v>0.933</v>
      </c>
      <c r="C71" s="11" t="n">
        <f aca="false">IF(OR(A71="",B71=""),"",A71+B71)</f>
        <v>8.933</v>
      </c>
      <c r="D71" s="11" t="n">
        <f aca="false">IF(A71="","",A71+SUMIFS(Registros!$AP$2:$AP$401,Registros!$C$2:$C$401,H71))</f>
        <v>8</v>
      </c>
      <c r="E71" s="11" t="n">
        <f aca="false">IF(A71="","",ROUND(A71*0.067,2))</f>
        <v>0.54</v>
      </c>
      <c r="F71" s="11" t="n">
        <f aca="false">IF(OR(D71="",C71=""),"",D71-C71)</f>
        <v>-0.933</v>
      </c>
      <c r="G71" s="14" t="n">
        <f aca="false">IF(G70="","",G70+1)</f>
        <v>70</v>
      </c>
      <c r="H71" s="13"/>
      <c r="I71" s="12"/>
    </row>
    <row r="72" customFormat="false" ht="15" hidden="false" customHeight="false" outlineLevel="0" collapsed="false">
      <c r="A72" s="11" t="n">
        <f aca="false">IF(D71="","",D71)</f>
        <v>8</v>
      </c>
      <c r="B72" s="11" t="n">
        <f aca="false">IF(A72="","",(A72-(A72*0.067))/8)</f>
        <v>0.933</v>
      </c>
      <c r="C72" s="11" t="n">
        <f aca="false">IF(OR(A72="",B72=""),"",A72+B72)</f>
        <v>8.933</v>
      </c>
      <c r="D72" s="11" t="n">
        <f aca="false">IF(A72="","",A72+SUMIFS(Registros!$AP$2:$AP$401,Registros!$C$2:$C$401,H72))</f>
        <v>8</v>
      </c>
      <c r="E72" s="11" t="n">
        <f aca="false">IF(A72="","",ROUND(A72*0.067,2))</f>
        <v>0.54</v>
      </c>
      <c r="F72" s="11" t="n">
        <f aca="false">IF(OR(D72="",C72=""),"",D72-C72)</f>
        <v>-0.933</v>
      </c>
      <c r="G72" s="14" t="n">
        <f aca="false">IF(G71="","",G71+1)</f>
        <v>71</v>
      </c>
      <c r="H72" s="13"/>
      <c r="I72" s="12"/>
    </row>
    <row r="73" customFormat="false" ht="15" hidden="false" customHeight="false" outlineLevel="0" collapsed="false">
      <c r="A73" s="11" t="n">
        <f aca="false">IF(D72="","",D72)</f>
        <v>8</v>
      </c>
      <c r="B73" s="11" t="n">
        <f aca="false">IF(A73="","",(A73-(A73*0.067))/8)</f>
        <v>0.933</v>
      </c>
      <c r="C73" s="11" t="n">
        <f aca="false">IF(OR(A73="",B73=""),"",A73+B73)</f>
        <v>8.933</v>
      </c>
      <c r="D73" s="11" t="n">
        <f aca="false">IF(A73="","",A73+SUMIFS(Registros!$AP$2:$AP$401,Registros!$C$2:$C$401,H73))</f>
        <v>8</v>
      </c>
      <c r="E73" s="11" t="n">
        <f aca="false">IF(A73="","",ROUND(A73*0.067,2))</f>
        <v>0.54</v>
      </c>
      <c r="F73" s="11" t="n">
        <f aca="false">IF(OR(D73="",C73=""),"",D73-C73)</f>
        <v>-0.933</v>
      </c>
      <c r="G73" s="14" t="n">
        <f aca="false">IF(G72="","",G72+1)</f>
        <v>72</v>
      </c>
      <c r="H73" s="13"/>
      <c r="I73" s="12"/>
    </row>
    <row r="74" customFormat="false" ht="15" hidden="false" customHeight="false" outlineLevel="0" collapsed="false">
      <c r="A74" s="11" t="n">
        <f aca="false">IF(D73="","",D73)</f>
        <v>8</v>
      </c>
      <c r="B74" s="11" t="n">
        <f aca="false">IF(A74="","",(A74-(A74*0.067))/8)</f>
        <v>0.933</v>
      </c>
      <c r="C74" s="11" t="n">
        <f aca="false">IF(OR(A74="",B74=""),"",A74+B74)</f>
        <v>8.933</v>
      </c>
      <c r="D74" s="11" t="n">
        <f aca="false">IF(A74="","",A74+SUMIFS(Registros!$AP$2:$AP$401,Registros!$C$2:$C$401,H74))</f>
        <v>8</v>
      </c>
      <c r="E74" s="11" t="n">
        <f aca="false">IF(A74="","",ROUND(A74*0.067,2))</f>
        <v>0.54</v>
      </c>
      <c r="F74" s="11" t="n">
        <f aca="false">IF(OR(D74="",C74=""),"",D74-C74)</f>
        <v>-0.933</v>
      </c>
      <c r="G74" s="14" t="n">
        <f aca="false">IF(G73="","",G73+1)</f>
        <v>73</v>
      </c>
      <c r="H74" s="13"/>
      <c r="I74" s="12"/>
    </row>
    <row r="75" customFormat="false" ht="15" hidden="false" customHeight="false" outlineLevel="0" collapsed="false">
      <c r="A75" s="11" t="n">
        <f aca="false">IF(D74="","",D74)</f>
        <v>8</v>
      </c>
      <c r="B75" s="11" t="n">
        <f aca="false">IF(A75="","",(A75-(A75*0.067))/8)</f>
        <v>0.933</v>
      </c>
      <c r="C75" s="11" t="n">
        <f aca="false">IF(OR(A75="",B75=""),"",A75+B75)</f>
        <v>8.933</v>
      </c>
      <c r="D75" s="11" t="n">
        <f aca="false">IF(A75="","",A75+SUMIFS(Registros!$AP$2:$AP$401,Registros!$C$2:$C$401,H75))</f>
        <v>8</v>
      </c>
      <c r="E75" s="11" t="n">
        <f aca="false">IF(A75="","",ROUND(A75*0.067,2))</f>
        <v>0.54</v>
      </c>
      <c r="F75" s="11" t="n">
        <f aca="false">IF(OR(D75="",C75=""),"",D75-C75)</f>
        <v>-0.933</v>
      </c>
      <c r="G75" s="14" t="n">
        <f aca="false">IF(G74="","",G74+1)</f>
        <v>74</v>
      </c>
      <c r="H75" s="13"/>
      <c r="I75" s="12"/>
    </row>
    <row r="76" customFormat="false" ht="15" hidden="false" customHeight="false" outlineLevel="0" collapsed="false">
      <c r="A76" s="11" t="n">
        <f aca="false">IF(D75="","",D75)</f>
        <v>8</v>
      </c>
      <c r="B76" s="11" t="n">
        <f aca="false">IF(A76="","",(A76-(A76*0.067))/8)</f>
        <v>0.933</v>
      </c>
      <c r="C76" s="11" t="n">
        <f aca="false">IF(OR(A76="",B76=""),"",A76+B76)</f>
        <v>8.933</v>
      </c>
      <c r="D76" s="11" t="n">
        <f aca="false">IF(A76="","",A76+SUMIFS(Registros!$AP$2:$AP$401,Registros!$C$2:$C$401,H76))</f>
        <v>8</v>
      </c>
      <c r="E76" s="11" t="n">
        <f aca="false">IF(A76="","",ROUND(A76*0.067,2))</f>
        <v>0.54</v>
      </c>
      <c r="F76" s="11" t="n">
        <f aca="false">IF(OR(D76="",C76=""),"",D76-C76)</f>
        <v>-0.933</v>
      </c>
      <c r="G76" s="14" t="n">
        <f aca="false">IF(G75="","",G75+1)</f>
        <v>75</v>
      </c>
      <c r="H76" s="13"/>
      <c r="I76" s="12"/>
    </row>
    <row r="77" customFormat="false" ht="15" hidden="false" customHeight="false" outlineLevel="0" collapsed="false">
      <c r="A77" s="11" t="n">
        <f aca="false">IF(D76="","",D76)</f>
        <v>8</v>
      </c>
      <c r="B77" s="11" t="n">
        <f aca="false">IF(A77="","",(A77-(A77*0.067))/8)</f>
        <v>0.933</v>
      </c>
      <c r="C77" s="11" t="n">
        <f aca="false">IF(OR(A77="",B77=""),"",A77+B77)</f>
        <v>8.933</v>
      </c>
      <c r="D77" s="11" t="n">
        <f aca="false">IF(A77="","",A77+SUMIFS(Registros!$AP$2:$AP$401,Registros!$C$2:$C$401,H77))</f>
        <v>8</v>
      </c>
      <c r="E77" s="11" t="n">
        <f aca="false">IF(A77="","",ROUND(A77*0.067,2))</f>
        <v>0.54</v>
      </c>
      <c r="F77" s="11" t="n">
        <f aca="false">IF(OR(D77="",C77=""),"",D77-C77)</f>
        <v>-0.933</v>
      </c>
      <c r="G77" s="14" t="n">
        <f aca="false">IF(G76="","",G76+1)</f>
        <v>76</v>
      </c>
      <c r="H77" s="13"/>
      <c r="I77" s="12"/>
    </row>
    <row r="78" customFormat="false" ht="15" hidden="false" customHeight="false" outlineLevel="0" collapsed="false">
      <c r="A78" s="11" t="n">
        <f aca="false">IF(D77="","",D77)</f>
        <v>8</v>
      </c>
      <c r="B78" s="11" t="n">
        <f aca="false">IF(A78="","",(A78-(A78*0.067))/8)</f>
        <v>0.933</v>
      </c>
      <c r="C78" s="11" t="n">
        <f aca="false">IF(OR(A78="",B78=""),"",A78+B78)</f>
        <v>8.933</v>
      </c>
      <c r="D78" s="11" t="n">
        <f aca="false">IF(A78="","",A78+SUMIFS(Registros!$AP$2:$AP$401,Registros!$C$2:$C$401,H78))</f>
        <v>8</v>
      </c>
      <c r="E78" s="11" t="n">
        <f aca="false">IF(A78="","",ROUND(A78*0.067,2))</f>
        <v>0.54</v>
      </c>
      <c r="F78" s="11" t="n">
        <f aca="false">IF(OR(D78="",C78=""),"",D78-C78)</f>
        <v>-0.933</v>
      </c>
      <c r="G78" s="14" t="n">
        <f aca="false">IF(G77="","",G77+1)</f>
        <v>77</v>
      </c>
      <c r="H78" s="13"/>
      <c r="I78" s="12"/>
    </row>
    <row r="79" customFormat="false" ht="15" hidden="false" customHeight="false" outlineLevel="0" collapsed="false">
      <c r="A79" s="11" t="n">
        <f aca="false">IF(D78="","",D78)</f>
        <v>8</v>
      </c>
      <c r="B79" s="11" t="n">
        <f aca="false">IF(A79="","",(A79-(A79*0.067))/8)</f>
        <v>0.933</v>
      </c>
      <c r="C79" s="11" t="n">
        <f aca="false">IF(OR(A79="",B79=""),"",A79+B79)</f>
        <v>8.933</v>
      </c>
      <c r="D79" s="11" t="n">
        <f aca="false">IF(A79="","",A79+SUMIFS(Registros!$AP$2:$AP$401,Registros!$C$2:$C$401,H79))</f>
        <v>8</v>
      </c>
      <c r="E79" s="11" t="n">
        <f aca="false">IF(A79="","",ROUND(A79*0.067,2))</f>
        <v>0.54</v>
      </c>
      <c r="F79" s="11" t="n">
        <f aca="false">IF(OR(D79="",C79=""),"",D79-C79)</f>
        <v>-0.933</v>
      </c>
      <c r="G79" s="14" t="n">
        <f aca="false">IF(G78="","",G78+1)</f>
        <v>78</v>
      </c>
      <c r="H79" s="13"/>
      <c r="I79" s="12"/>
    </row>
    <row r="80" customFormat="false" ht="15" hidden="false" customHeight="false" outlineLevel="0" collapsed="false">
      <c r="A80" s="11" t="n">
        <f aca="false">IF(D79="","",D79)</f>
        <v>8</v>
      </c>
      <c r="B80" s="11" t="n">
        <f aca="false">IF(A80="","",(A80-(A80*0.067))/8)</f>
        <v>0.933</v>
      </c>
      <c r="C80" s="11" t="n">
        <f aca="false">IF(OR(A80="",B80=""),"",A80+B80)</f>
        <v>8.933</v>
      </c>
      <c r="D80" s="11" t="n">
        <f aca="false">IF(A80="","",A80+SUMIFS(Registros!$AP$2:$AP$401,Registros!$C$2:$C$401,H80))</f>
        <v>8</v>
      </c>
      <c r="E80" s="11" t="n">
        <f aca="false">IF(A80="","",ROUND(A80*0.067,2))</f>
        <v>0.54</v>
      </c>
      <c r="F80" s="11" t="n">
        <f aca="false">IF(OR(D80="",C80=""),"",D80-C80)</f>
        <v>-0.933</v>
      </c>
      <c r="G80" s="14" t="n">
        <f aca="false">IF(G79="","",G79+1)</f>
        <v>79</v>
      </c>
      <c r="H80" s="13"/>
      <c r="I80" s="12"/>
    </row>
    <row r="81" customFormat="false" ht="15" hidden="false" customHeight="false" outlineLevel="0" collapsed="false">
      <c r="A81" s="11" t="n">
        <f aca="false">IF(D80="","",D80)</f>
        <v>8</v>
      </c>
      <c r="B81" s="11" t="n">
        <f aca="false">IF(A81="","",(A81-(A81*0.067))/8)</f>
        <v>0.933</v>
      </c>
      <c r="C81" s="11" t="n">
        <f aca="false">IF(OR(A81="",B81=""),"",A81+B81)</f>
        <v>8.933</v>
      </c>
      <c r="D81" s="11" t="n">
        <f aca="false">IF(A81="","",A81+SUMIFS(Registros!$AP$2:$AP$401,Registros!$C$2:$C$401,H81))</f>
        <v>8</v>
      </c>
      <c r="E81" s="11" t="n">
        <f aca="false">IF(A81="","",ROUND(A81*0.067,2))</f>
        <v>0.54</v>
      </c>
      <c r="F81" s="11" t="n">
        <f aca="false">IF(OR(D81="",C81=""),"",D81-C81)</f>
        <v>-0.933</v>
      </c>
      <c r="G81" s="14" t="n">
        <f aca="false">IF(G80="","",G80+1)</f>
        <v>80</v>
      </c>
      <c r="H81" s="13"/>
      <c r="I81" s="12"/>
    </row>
    <row r="82" customFormat="false" ht="15" hidden="false" customHeight="false" outlineLevel="0" collapsed="false">
      <c r="A82" s="11" t="n">
        <f aca="false">IF(D81="","",D81)</f>
        <v>8</v>
      </c>
      <c r="B82" s="11" t="n">
        <f aca="false">IF(A82="","",(A82-(A82*0.067))/8)</f>
        <v>0.933</v>
      </c>
      <c r="C82" s="11" t="n">
        <f aca="false">IF(OR(A82="",B82=""),"",A82+B82)</f>
        <v>8.933</v>
      </c>
      <c r="D82" s="11" t="n">
        <f aca="false">IF(A82="","",A82+SUMIFS(Registros!$AP$2:$AP$401,Registros!$C$2:$C$401,H82))</f>
        <v>8</v>
      </c>
      <c r="E82" s="11" t="n">
        <f aca="false">IF(A82="","",ROUND(A82*0.067,2))</f>
        <v>0.54</v>
      </c>
      <c r="F82" s="11" t="n">
        <f aca="false">IF(OR(D82="",C82=""),"",D82-C82)</f>
        <v>-0.933</v>
      </c>
      <c r="G82" s="14" t="n">
        <f aca="false">IF(G81="","",G81+1)</f>
        <v>81</v>
      </c>
      <c r="H82" s="13"/>
      <c r="I82" s="12"/>
    </row>
    <row r="83" customFormat="false" ht="15" hidden="false" customHeight="false" outlineLevel="0" collapsed="false">
      <c r="A83" s="11" t="n">
        <f aca="false">IF(D82="","",D82)</f>
        <v>8</v>
      </c>
      <c r="B83" s="11" t="n">
        <f aca="false">IF(A83="","",(A83-(A83*0.067))/8)</f>
        <v>0.933</v>
      </c>
      <c r="C83" s="11" t="n">
        <f aca="false">IF(OR(A83="",B83=""),"",A83+B83)</f>
        <v>8.933</v>
      </c>
      <c r="D83" s="11" t="n">
        <f aca="false">IF(A83="","",A83+SUMIFS(Registros!$AP$2:$AP$401,Registros!$C$2:$C$401,H83))</f>
        <v>8</v>
      </c>
      <c r="E83" s="11" t="n">
        <f aca="false">IF(A83="","",ROUND(A83*0.067,2))</f>
        <v>0.54</v>
      </c>
      <c r="F83" s="11" t="n">
        <f aca="false">IF(OR(D83="",C83=""),"",D83-C83)</f>
        <v>-0.933</v>
      </c>
      <c r="G83" s="14" t="n">
        <f aca="false">IF(G82="","",G82+1)</f>
        <v>82</v>
      </c>
      <c r="H83" s="13"/>
      <c r="I83" s="12"/>
    </row>
    <row r="84" customFormat="false" ht="15" hidden="false" customHeight="false" outlineLevel="0" collapsed="false">
      <c r="A84" s="11" t="n">
        <f aca="false">IF(D83="","",D83)</f>
        <v>8</v>
      </c>
      <c r="B84" s="11" t="n">
        <f aca="false">IF(A84="","",(A84-(A84*0.067))/8)</f>
        <v>0.933</v>
      </c>
      <c r="C84" s="11" t="n">
        <f aca="false">IF(OR(A84="",B84=""),"",A84+B84)</f>
        <v>8.933</v>
      </c>
      <c r="D84" s="11" t="n">
        <f aca="false">IF(A84="","",A84+SUMIFS(Registros!$AP$2:$AP$401,Registros!$C$2:$C$401,H84))</f>
        <v>8</v>
      </c>
      <c r="E84" s="11" t="n">
        <f aca="false">IF(A84="","",ROUND(A84*0.067,2))</f>
        <v>0.54</v>
      </c>
      <c r="F84" s="11" t="n">
        <f aca="false">IF(OR(D84="",C84=""),"",D84-C84)</f>
        <v>-0.933</v>
      </c>
      <c r="G84" s="14" t="n">
        <f aca="false">IF(G83="","",G83+1)</f>
        <v>83</v>
      </c>
      <c r="H84" s="13"/>
      <c r="I84" s="12"/>
    </row>
    <row r="85" customFormat="false" ht="15" hidden="false" customHeight="false" outlineLevel="0" collapsed="false">
      <c r="A85" s="11" t="n">
        <f aca="false">IF(D84="","",D84)</f>
        <v>8</v>
      </c>
      <c r="B85" s="11" t="n">
        <f aca="false">IF(A85="","",(A85-(A85*0.067))/8)</f>
        <v>0.933</v>
      </c>
      <c r="C85" s="11" t="n">
        <f aca="false">IF(OR(A85="",B85=""),"",A85+B85)</f>
        <v>8.933</v>
      </c>
      <c r="D85" s="11" t="n">
        <f aca="false">IF(A85="","",A85+SUMIFS(Registros!$AP$2:$AP$401,Registros!$C$2:$C$401,H85))</f>
        <v>8</v>
      </c>
      <c r="E85" s="11" t="n">
        <f aca="false">IF(A85="","",ROUND(A85*0.067,2))</f>
        <v>0.54</v>
      </c>
      <c r="F85" s="11" t="n">
        <f aca="false">IF(OR(D85="",C85=""),"",D85-C85)</f>
        <v>-0.933</v>
      </c>
      <c r="G85" s="14" t="n">
        <f aca="false">IF(G84="","",G84+1)</f>
        <v>84</v>
      </c>
      <c r="H85" s="13"/>
      <c r="I85" s="12"/>
    </row>
    <row r="86" customFormat="false" ht="15" hidden="false" customHeight="false" outlineLevel="0" collapsed="false">
      <c r="A86" s="11" t="n">
        <f aca="false">IF(D85="","",D85)</f>
        <v>8</v>
      </c>
      <c r="B86" s="11" t="n">
        <f aca="false">IF(A86="","",(A86-(A86*0.067))/8)</f>
        <v>0.933</v>
      </c>
      <c r="C86" s="11" t="n">
        <f aca="false">IF(OR(A86="",B86=""),"",A86+B86)</f>
        <v>8.933</v>
      </c>
      <c r="D86" s="11" t="n">
        <f aca="false">IF(A86="","",A86+SUMIFS(Registros!$AP$2:$AP$401,Registros!$C$2:$C$401,H86))</f>
        <v>8</v>
      </c>
      <c r="E86" s="11" t="n">
        <f aca="false">IF(A86="","",ROUND(A86*0.067,2))</f>
        <v>0.54</v>
      </c>
      <c r="F86" s="11" t="n">
        <f aca="false">IF(OR(D86="",C86=""),"",D86-C86)</f>
        <v>-0.933</v>
      </c>
      <c r="G86" s="14" t="n">
        <f aca="false">IF(G85="","",G85+1)</f>
        <v>85</v>
      </c>
      <c r="H86" s="13"/>
      <c r="I86" s="12"/>
    </row>
    <row r="87" customFormat="false" ht="15" hidden="false" customHeight="false" outlineLevel="0" collapsed="false">
      <c r="A87" s="11" t="n">
        <f aca="false">IF(D86="","",D86)</f>
        <v>8</v>
      </c>
      <c r="B87" s="11" t="n">
        <f aca="false">IF(A87="","",(A87-(A87*0.067))/8)</f>
        <v>0.933</v>
      </c>
      <c r="C87" s="11" t="n">
        <f aca="false">IF(OR(A87="",B87=""),"",A87+B87)</f>
        <v>8.933</v>
      </c>
      <c r="D87" s="11" t="n">
        <f aca="false">IF(A87="","",A87+SUMIFS(Registros!$AP$2:$AP$401,Registros!$C$2:$C$401,H87))</f>
        <v>8</v>
      </c>
      <c r="E87" s="11" t="n">
        <f aca="false">IF(A87="","",ROUND(A87*0.067,2))</f>
        <v>0.54</v>
      </c>
      <c r="F87" s="11" t="n">
        <f aca="false">IF(OR(D87="",C87=""),"",D87-C87)</f>
        <v>-0.933</v>
      </c>
      <c r="G87" s="14" t="n">
        <f aca="false">IF(G86="","",G86+1)</f>
        <v>86</v>
      </c>
      <c r="H87" s="13"/>
      <c r="I87" s="12"/>
    </row>
    <row r="88" customFormat="false" ht="15" hidden="false" customHeight="false" outlineLevel="0" collapsed="false">
      <c r="A88" s="11" t="n">
        <f aca="false">IF(D87="","",D87)</f>
        <v>8</v>
      </c>
      <c r="B88" s="11" t="n">
        <f aca="false">IF(A88="","",(A88-(A88*0.067))/8)</f>
        <v>0.933</v>
      </c>
      <c r="C88" s="11" t="n">
        <f aca="false">IF(OR(A88="",B88=""),"",A88+B88)</f>
        <v>8.933</v>
      </c>
      <c r="D88" s="11" t="n">
        <f aca="false">IF(A88="","",A88+SUMIFS(Registros!$AP$2:$AP$401,Registros!$C$2:$C$401,H88))</f>
        <v>8</v>
      </c>
      <c r="E88" s="11" t="n">
        <f aca="false">IF(A88="","",ROUND(A88*0.067,2))</f>
        <v>0.54</v>
      </c>
      <c r="F88" s="11" t="n">
        <f aca="false">IF(OR(D88="",C88=""),"",D88-C88)</f>
        <v>-0.933</v>
      </c>
      <c r="G88" s="14" t="n">
        <f aca="false">IF(G87="","",G87+1)</f>
        <v>87</v>
      </c>
      <c r="H88" s="13"/>
      <c r="I88" s="12"/>
    </row>
    <row r="89" customFormat="false" ht="15" hidden="false" customHeight="false" outlineLevel="0" collapsed="false">
      <c r="A89" s="11" t="n">
        <f aca="false">IF(D88="","",D88)</f>
        <v>8</v>
      </c>
      <c r="B89" s="11" t="n">
        <f aca="false">IF(A89="","",(A89-(A89*0.067))/8)</f>
        <v>0.933</v>
      </c>
      <c r="C89" s="11" t="n">
        <f aca="false">IF(OR(A89="",B89=""),"",A89+B89)</f>
        <v>8.933</v>
      </c>
      <c r="D89" s="11" t="n">
        <f aca="false">IF(A89="","",A89+SUMIFS(Registros!$AP$2:$AP$401,Registros!$C$2:$C$401,H89))</f>
        <v>8</v>
      </c>
      <c r="E89" s="11" t="n">
        <f aca="false">IF(A89="","",ROUND(A89*0.067,2))</f>
        <v>0.54</v>
      </c>
      <c r="F89" s="11" t="n">
        <f aca="false">IF(OR(D89="",C89=""),"",D89-C89)</f>
        <v>-0.933</v>
      </c>
      <c r="G89" s="14" t="n">
        <f aca="false">IF(G88="","",G88+1)</f>
        <v>88</v>
      </c>
      <c r="H89" s="13"/>
      <c r="I89" s="12"/>
    </row>
    <row r="90" customFormat="false" ht="15" hidden="false" customHeight="false" outlineLevel="0" collapsed="false">
      <c r="A90" s="11" t="n">
        <f aca="false">IF(D89="","",D89)</f>
        <v>8</v>
      </c>
      <c r="B90" s="11" t="n">
        <f aca="false">IF(A90="","",(A90-(A90*0.067))/8)</f>
        <v>0.933</v>
      </c>
      <c r="C90" s="11" t="n">
        <f aca="false">IF(OR(A90="",B90=""),"",A90+B90)</f>
        <v>8.933</v>
      </c>
      <c r="D90" s="11" t="n">
        <f aca="false">IF(A90="","",A90+SUMIFS(Registros!$AP$2:$AP$401,Registros!$C$2:$C$401,H90))</f>
        <v>8</v>
      </c>
      <c r="E90" s="11" t="n">
        <f aca="false">IF(A90="","",ROUND(A90*0.067,2))</f>
        <v>0.54</v>
      </c>
      <c r="F90" s="11" t="n">
        <f aca="false">IF(OR(D90="",C90=""),"",D90-C90)</f>
        <v>-0.933</v>
      </c>
      <c r="G90" s="14" t="n">
        <f aca="false">IF(G89="","",G89+1)</f>
        <v>89</v>
      </c>
      <c r="H90" s="13"/>
      <c r="I90" s="12"/>
    </row>
    <row r="91" customFormat="false" ht="15" hidden="false" customHeight="false" outlineLevel="0" collapsed="false">
      <c r="A91" s="11" t="n">
        <f aca="false">IF(D90="","",D90)</f>
        <v>8</v>
      </c>
      <c r="B91" s="11" t="n">
        <f aca="false">IF(A91="","",(A91-(A91*0.067))/8)</f>
        <v>0.933</v>
      </c>
      <c r="C91" s="11" t="n">
        <f aca="false">IF(OR(A91="",B91=""),"",A91+B91)</f>
        <v>8.933</v>
      </c>
      <c r="D91" s="11" t="n">
        <f aca="false">IF(A91="","",A91+SUMIFS(Registros!$AP$2:$AP$401,Registros!$C$2:$C$401,H91))</f>
        <v>8</v>
      </c>
      <c r="E91" s="11" t="n">
        <f aca="false">IF(A91="","",ROUND(A91*0.067,2))</f>
        <v>0.54</v>
      </c>
      <c r="F91" s="11" t="n">
        <f aca="false">IF(OR(D91="",C91=""),"",D91-C91)</f>
        <v>-0.933</v>
      </c>
      <c r="G91" s="14" t="n">
        <f aca="false">IF(G90="","",G90+1)</f>
        <v>90</v>
      </c>
      <c r="H91" s="13"/>
      <c r="I91" s="12"/>
    </row>
    <row r="92" customFormat="false" ht="15" hidden="false" customHeight="false" outlineLevel="0" collapsed="false">
      <c r="A92" s="11" t="n">
        <f aca="false">IF(D91="","",D91)</f>
        <v>8</v>
      </c>
      <c r="B92" s="11" t="n">
        <f aca="false">IF(A92="","",(A92-(A92*0.067))/8)</f>
        <v>0.933</v>
      </c>
      <c r="C92" s="11" t="n">
        <f aca="false">IF(OR(A92="",B92=""),"",A92+B92)</f>
        <v>8.933</v>
      </c>
      <c r="D92" s="11" t="n">
        <f aca="false">IF(A92="","",A92+SUMIFS(Registros!$AP$2:$AP$401,Registros!$C$2:$C$401,H92))</f>
        <v>8</v>
      </c>
      <c r="E92" s="11" t="n">
        <f aca="false">IF(A92="","",ROUND(A92*0.067,2))</f>
        <v>0.54</v>
      </c>
      <c r="F92" s="11" t="n">
        <f aca="false">IF(OR(D92="",C92=""),"",D92-C92)</f>
        <v>-0.933</v>
      </c>
      <c r="G92" s="14" t="n">
        <f aca="false">IF(G91="","",G91+1)</f>
        <v>91</v>
      </c>
      <c r="H92" s="13"/>
      <c r="I92" s="12"/>
    </row>
    <row r="93" customFormat="false" ht="15" hidden="false" customHeight="false" outlineLevel="0" collapsed="false">
      <c r="A93" s="11" t="n">
        <f aca="false">IF(D92="","",D92)</f>
        <v>8</v>
      </c>
      <c r="B93" s="11" t="n">
        <f aca="false">IF(A93="","",(A93-(A93*0.067))/8)</f>
        <v>0.933</v>
      </c>
      <c r="C93" s="11" t="n">
        <f aca="false">IF(OR(A93="",B93=""),"",A93+B93)</f>
        <v>8.933</v>
      </c>
      <c r="D93" s="11" t="n">
        <f aca="false">IF(A93="","",A93+SUMIFS(Registros!$AP$2:$AP$401,Registros!$C$2:$C$401,H93))</f>
        <v>8</v>
      </c>
      <c r="E93" s="11" t="n">
        <f aca="false">IF(A93="","",ROUND(A93*0.067,2))</f>
        <v>0.54</v>
      </c>
      <c r="F93" s="11" t="n">
        <f aca="false">IF(OR(D93="",C93=""),"",D93-C93)</f>
        <v>-0.933</v>
      </c>
      <c r="G93" s="14" t="n">
        <f aca="false">IF(G92="","",G92+1)</f>
        <v>92</v>
      </c>
      <c r="H93" s="13"/>
      <c r="I93" s="12"/>
    </row>
    <row r="94" customFormat="false" ht="15" hidden="false" customHeight="false" outlineLevel="0" collapsed="false">
      <c r="A94" s="11" t="n">
        <f aca="false">IF(D93="","",D93)</f>
        <v>8</v>
      </c>
      <c r="B94" s="11" t="n">
        <f aca="false">IF(A94="","",(A94-(A94*0.067))/8)</f>
        <v>0.933</v>
      </c>
      <c r="C94" s="11" t="n">
        <f aca="false">IF(OR(A94="",B94=""),"",A94+B94)</f>
        <v>8.933</v>
      </c>
      <c r="D94" s="11" t="n">
        <f aca="false">IF(A94="","",A94+SUMIFS(Registros!$AP$2:$AP$401,Registros!$C$2:$C$401,H94))</f>
        <v>8</v>
      </c>
      <c r="E94" s="11" t="n">
        <f aca="false">IF(A94="","",ROUND(A94*0.067,2))</f>
        <v>0.54</v>
      </c>
      <c r="F94" s="11" t="n">
        <f aca="false">IF(OR(D94="",C94=""),"",D94-C94)</f>
        <v>-0.933</v>
      </c>
      <c r="G94" s="14" t="n">
        <f aca="false">IF(G93="","",G93+1)</f>
        <v>93</v>
      </c>
      <c r="H94" s="13"/>
      <c r="I94" s="12"/>
    </row>
    <row r="95" customFormat="false" ht="15" hidden="false" customHeight="false" outlineLevel="0" collapsed="false">
      <c r="A95" s="11" t="n">
        <f aca="false">IF(D94="","",D94)</f>
        <v>8</v>
      </c>
      <c r="B95" s="11" t="n">
        <f aca="false">IF(A95="","",(A95-(A95*0.067))/8)</f>
        <v>0.933</v>
      </c>
      <c r="C95" s="11" t="n">
        <f aca="false">IF(OR(A95="",B95=""),"",A95+B95)</f>
        <v>8.933</v>
      </c>
      <c r="D95" s="11" t="n">
        <f aca="false">IF(A95="","",A95+SUMIFS(Registros!$AP$2:$AP$401,Registros!$C$2:$C$401,H95))</f>
        <v>8</v>
      </c>
      <c r="E95" s="11" t="n">
        <f aca="false">IF(A95="","",ROUND(A95*0.067,2))</f>
        <v>0.54</v>
      </c>
      <c r="F95" s="11" t="n">
        <f aca="false">IF(OR(D95="",C95=""),"",D95-C95)</f>
        <v>-0.933</v>
      </c>
      <c r="G95" s="14" t="n">
        <f aca="false">IF(G94="","",G94+1)</f>
        <v>94</v>
      </c>
      <c r="H95" s="13"/>
      <c r="I95" s="12"/>
    </row>
    <row r="96" customFormat="false" ht="15" hidden="false" customHeight="false" outlineLevel="0" collapsed="false">
      <c r="A96" s="11" t="n">
        <f aca="false">IF(D95="","",D95)</f>
        <v>8</v>
      </c>
      <c r="B96" s="11" t="n">
        <f aca="false">IF(A96="","",(A96-(A96*0.067))/8)</f>
        <v>0.933</v>
      </c>
      <c r="C96" s="11" t="n">
        <f aca="false">IF(OR(A96="",B96=""),"",A96+B96)</f>
        <v>8.933</v>
      </c>
      <c r="D96" s="11" t="n">
        <f aca="false">IF(A96="","",A96+SUMIFS(Registros!$AP$2:$AP$401,Registros!$C$2:$C$401,H96))</f>
        <v>8</v>
      </c>
      <c r="E96" s="11" t="n">
        <f aca="false">IF(A96="","",ROUND(A96*0.067,2))</f>
        <v>0.54</v>
      </c>
      <c r="F96" s="11" t="n">
        <f aca="false">IF(OR(D96="",C96=""),"",D96-C96)</f>
        <v>-0.933</v>
      </c>
      <c r="G96" s="14" t="n">
        <f aca="false">IF(G95="","",G95+1)</f>
        <v>95</v>
      </c>
      <c r="H96" s="13"/>
      <c r="I96" s="12"/>
    </row>
    <row r="97" customFormat="false" ht="15" hidden="false" customHeight="false" outlineLevel="0" collapsed="false">
      <c r="A97" s="11" t="n">
        <f aca="false">IF(D96="","",D96)</f>
        <v>8</v>
      </c>
      <c r="B97" s="11" t="n">
        <f aca="false">IF(A97="","",(A97-(A97*0.067))/8)</f>
        <v>0.933</v>
      </c>
      <c r="C97" s="11" t="n">
        <f aca="false">IF(OR(A97="",B97=""),"",A97+B97)</f>
        <v>8.933</v>
      </c>
      <c r="D97" s="11" t="n">
        <f aca="false">IF(A97="","",A97+SUMIFS(Registros!$AP$2:$AP$401,Registros!$C$2:$C$401,H97))</f>
        <v>8</v>
      </c>
      <c r="E97" s="11" t="n">
        <f aca="false">IF(A97="","",ROUND(A97*0.067,2))</f>
        <v>0.54</v>
      </c>
      <c r="F97" s="11" t="n">
        <f aca="false">IF(OR(D97="",C97=""),"",D97-C97)</f>
        <v>-0.933</v>
      </c>
      <c r="G97" s="14" t="n">
        <f aca="false">IF(G96="","",G96+1)</f>
        <v>96</v>
      </c>
      <c r="H97" s="13"/>
      <c r="I97" s="12"/>
    </row>
    <row r="98" customFormat="false" ht="15" hidden="false" customHeight="false" outlineLevel="0" collapsed="false">
      <c r="A98" s="11" t="n">
        <f aca="false">IF(D97="","",D97)</f>
        <v>8</v>
      </c>
      <c r="B98" s="11" t="n">
        <f aca="false">IF(A98="","",(A98-(A98*0.067))/8)</f>
        <v>0.933</v>
      </c>
      <c r="C98" s="11" t="n">
        <f aca="false">IF(OR(A98="",B98=""),"",A98+B98)</f>
        <v>8.933</v>
      </c>
      <c r="D98" s="11" t="n">
        <f aca="false">IF(A98="","",A98+SUMIFS(Registros!$AP$2:$AP$401,Registros!$C$2:$C$401,H98))</f>
        <v>8</v>
      </c>
      <c r="E98" s="11" t="n">
        <f aca="false">IF(A98="","",ROUND(A98*0.067,2))</f>
        <v>0.54</v>
      </c>
      <c r="F98" s="11" t="n">
        <f aca="false">IF(OR(D98="",C98=""),"",D98-C98)</f>
        <v>-0.933</v>
      </c>
      <c r="G98" s="14" t="n">
        <f aca="false">IF(G97="","",G97+1)</f>
        <v>97</v>
      </c>
      <c r="H98" s="13"/>
      <c r="I98" s="12"/>
    </row>
    <row r="99" customFormat="false" ht="15" hidden="false" customHeight="false" outlineLevel="0" collapsed="false">
      <c r="A99" s="11" t="n">
        <f aca="false">IF(D98="","",D98)</f>
        <v>8</v>
      </c>
      <c r="B99" s="11" t="n">
        <f aca="false">IF(A99="","",(A99-(A99*0.067))/8)</f>
        <v>0.933</v>
      </c>
      <c r="C99" s="11" t="n">
        <f aca="false">IF(OR(A99="",B99=""),"",A99+B99)</f>
        <v>8.933</v>
      </c>
      <c r="D99" s="11" t="n">
        <f aca="false">IF(A99="","",A99+SUMIFS(Registros!$AP$2:$AP$401,Registros!$C$2:$C$401,H99))</f>
        <v>8</v>
      </c>
      <c r="E99" s="11" t="n">
        <f aca="false">IF(A99="","",ROUND(A99*0.067,2))</f>
        <v>0.54</v>
      </c>
      <c r="F99" s="11" t="n">
        <f aca="false">IF(OR(D99="",C99=""),"",D99-C99)</f>
        <v>-0.933</v>
      </c>
      <c r="G99" s="14" t="n">
        <f aca="false">IF(G98="","",G98+1)</f>
        <v>98</v>
      </c>
      <c r="H99" s="13"/>
      <c r="I99" s="12"/>
    </row>
    <row r="100" customFormat="false" ht="15" hidden="false" customHeight="false" outlineLevel="0" collapsed="false">
      <c r="A100" s="11" t="n">
        <f aca="false">IF(D99="","",D99)</f>
        <v>8</v>
      </c>
      <c r="B100" s="11" t="n">
        <f aca="false">IF(A100="","",(A100-(A100*0.067))/8)</f>
        <v>0.933</v>
      </c>
      <c r="C100" s="11" t="n">
        <f aca="false">IF(OR(A100="",B100=""),"",A100+B100)</f>
        <v>8.933</v>
      </c>
      <c r="D100" s="11" t="n">
        <f aca="false">IF(A100="","",A100+SUMIFS(Registros!$AP$2:$AP$401,Registros!$C$2:$C$401,H100))</f>
        <v>8</v>
      </c>
      <c r="E100" s="11" t="n">
        <f aca="false">IF(A100="","",ROUND(A100*0.067,2))</f>
        <v>0.54</v>
      </c>
      <c r="F100" s="11" t="n">
        <f aca="false">IF(OR(D100="",C100=""),"",D100-C100)</f>
        <v>-0.933</v>
      </c>
      <c r="G100" s="14" t="n">
        <f aca="false">IF(G99="","",G99+1)</f>
        <v>99</v>
      </c>
      <c r="H100" s="13"/>
      <c r="I100" s="12"/>
    </row>
    <row r="101" customFormat="false" ht="15" hidden="false" customHeight="false" outlineLevel="0" collapsed="false">
      <c r="A101" s="11" t="n">
        <f aca="false">IF(D100="","",D100)</f>
        <v>8</v>
      </c>
      <c r="B101" s="11" t="n">
        <f aca="false">IF(A101="","",(A101-(A101*0.067))/8)</f>
        <v>0.933</v>
      </c>
      <c r="C101" s="11" t="n">
        <f aca="false">IF(OR(A101="",B101=""),"",A101+B101)</f>
        <v>8.933</v>
      </c>
      <c r="D101" s="11" t="n">
        <f aca="false">IF(A101="","",A101+SUMIFS(Registros!$AP$2:$AP$401,Registros!$C$2:$C$401,H101))</f>
        <v>8</v>
      </c>
      <c r="E101" s="11" t="n">
        <f aca="false">IF(A101="","",ROUND(A101*0.067,2))</f>
        <v>0.54</v>
      </c>
      <c r="F101" s="11" t="n">
        <f aca="false">IF(OR(D101="",C101=""),"",D101-C101)</f>
        <v>-0.933</v>
      </c>
      <c r="G101" s="14" t="n">
        <f aca="false">IF(G100="","",G100+1)</f>
        <v>100</v>
      </c>
      <c r="H101" s="13"/>
      <c r="I101" s="12"/>
    </row>
    <row r="102" customFormat="false" ht="15" hidden="false" customHeight="false" outlineLevel="0" collapsed="false">
      <c r="A102" s="11" t="n">
        <f aca="false">IF(D101="","",D101)</f>
        <v>8</v>
      </c>
      <c r="B102" s="11" t="n">
        <f aca="false">IF(A102="","",(A102-(A102*0.067))/8)</f>
        <v>0.933</v>
      </c>
      <c r="C102" s="11" t="n">
        <f aca="false">IF(OR(A102="",B102=""),"",A102+B102)</f>
        <v>8.933</v>
      </c>
      <c r="D102" s="11" t="n">
        <f aca="false">IF(A102="","",A102+SUMIFS(Registros!$AP$2:$AP$401,Registros!$C$2:$C$401,H102))</f>
        <v>8</v>
      </c>
      <c r="E102" s="11" t="n">
        <f aca="false">IF(A102="","",ROUND(A102*0.067,2))</f>
        <v>0.54</v>
      </c>
      <c r="F102" s="11" t="n">
        <f aca="false">IF(OR(D102="",C102=""),"",D102-C102)</f>
        <v>-0.933</v>
      </c>
      <c r="G102" s="14" t="n">
        <f aca="false">IF(G101="","",G101+1)</f>
        <v>101</v>
      </c>
      <c r="H102" s="13"/>
      <c r="I102" s="12"/>
    </row>
    <row r="103" customFormat="false" ht="15" hidden="false" customHeight="false" outlineLevel="0" collapsed="false">
      <c r="A103" s="11" t="n">
        <f aca="false">IF(D102="","",D102)</f>
        <v>8</v>
      </c>
      <c r="B103" s="11" t="n">
        <f aca="false">IF(A103="","",(A103-(A103*0.067))/8)</f>
        <v>0.933</v>
      </c>
      <c r="C103" s="11" t="n">
        <f aca="false">IF(OR(A103="",B103=""),"",A103+B103)</f>
        <v>8.933</v>
      </c>
      <c r="D103" s="11" t="n">
        <f aca="false">IF(A103="","",A103+SUMIFS(Registros!$AP$2:$AP$401,Registros!$C$2:$C$401,H103))</f>
        <v>8</v>
      </c>
      <c r="E103" s="11" t="n">
        <f aca="false">IF(A103="","",ROUND(A103*0.067,2))</f>
        <v>0.54</v>
      </c>
      <c r="F103" s="11" t="n">
        <f aca="false">IF(OR(D103="",C103=""),"",D103-C103)</f>
        <v>-0.933</v>
      </c>
      <c r="G103" s="14" t="n">
        <f aca="false">IF(G102="","",G102+1)</f>
        <v>102</v>
      </c>
      <c r="H103" s="13"/>
      <c r="I103" s="12"/>
    </row>
    <row r="104" customFormat="false" ht="15" hidden="false" customHeight="false" outlineLevel="0" collapsed="false">
      <c r="A104" s="11" t="n">
        <f aca="false">IF(D103="","",D103)</f>
        <v>8</v>
      </c>
      <c r="B104" s="11" t="n">
        <f aca="false">IF(A104="","",(A104-(A104*0.067))/8)</f>
        <v>0.933</v>
      </c>
      <c r="C104" s="11" t="n">
        <f aca="false">IF(OR(A104="",B104=""),"",A104+B104)</f>
        <v>8.933</v>
      </c>
      <c r="D104" s="11" t="n">
        <f aca="false">IF(A104="","",A104+SUMIFS(Registros!$AP$2:$AP$401,Registros!$C$2:$C$401,H104))</f>
        <v>8</v>
      </c>
      <c r="E104" s="11" t="n">
        <f aca="false">IF(A104="","",ROUND(A104*0.067,2))</f>
        <v>0.54</v>
      </c>
      <c r="F104" s="11" t="n">
        <f aca="false">IF(OR(D104="",C104=""),"",D104-C104)</f>
        <v>-0.933</v>
      </c>
      <c r="G104" s="14" t="n">
        <f aca="false">IF(G103="","",G103+1)</f>
        <v>103</v>
      </c>
      <c r="H104" s="13"/>
      <c r="I104" s="12"/>
    </row>
    <row r="105" customFormat="false" ht="15" hidden="false" customHeight="false" outlineLevel="0" collapsed="false">
      <c r="A105" s="11" t="n">
        <f aca="false">IF(D104="","",D104)</f>
        <v>8</v>
      </c>
      <c r="B105" s="11" t="n">
        <f aca="false">IF(A105="","",(A105-(A105*0.067))/8)</f>
        <v>0.933</v>
      </c>
      <c r="C105" s="11" t="n">
        <f aca="false">IF(OR(A105="",B105=""),"",A105+B105)</f>
        <v>8.933</v>
      </c>
      <c r="D105" s="11" t="n">
        <f aca="false">IF(A105="","",A105+SUMIFS(Registros!$AP$2:$AP$401,Registros!$C$2:$C$401,H105))</f>
        <v>8</v>
      </c>
      <c r="E105" s="11" t="n">
        <f aca="false">IF(A105="","",ROUND(A105*0.067,2))</f>
        <v>0.54</v>
      </c>
      <c r="F105" s="11" t="n">
        <f aca="false">IF(OR(D105="",C105=""),"",D105-C105)</f>
        <v>-0.933</v>
      </c>
      <c r="G105" s="14" t="n">
        <f aca="false">IF(G104="","",G104+1)</f>
        <v>104</v>
      </c>
      <c r="H105" s="13"/>
      <c r="I105" s="12"/>
    </row>
    <row r="106" customFormat="false" ht="15" hidden="false" customHeight="false" outlineLevel="0" collapsed="false">
      <c r="A106" s="11" t="n">
        <f aca="false">IF(D105="","",D105)</f>
        <v>8</v>
      </c>
      <c r="B106" s="11" t="n">
        <f aca="false">IF(A106="","",(A106-(A106*0.067))/8)</f>
        <v>0.933</v>
      </c>
      <c r="C106" s="11" t="n">
        <f aca="false">IF(OR(A106="",B106=""),"",A106+B106)</f>
        <v>8.933</v>
      </c>
      <c r="D106" s="11" t="n">
        <f aca="false">IF(A106="","",A106+SUMIFS(Registros!$AP$2:$AP$401,Registros!$C$2:$C$401,H106))</f>
        <v>8</v>
      </c>
      <c r="E106" s="11" t="n">
        <f aca="false">IF(A106="","",ROUND(A106*0.067,2))</f>
        <v>0.54</v>
      </c>
      <c r="F106" s="11" t="n">
        <f aca="false">IF(OR(D106="",C106=""),"",D106-C106)</f>
        <v>-0.933</v>
      </c>
      <c r="G106" s="14" t="n">
        <f aca="false">IF(G105="","",G105+1)</f>
        <v>105</v>
      </c>
      <c r="H106" s="13"/>
      <c r="I106" s="12"/>
    </row>
    <row r="107" customFormat="false" ht="15" hidden="false" customHeight="false" outlineLevel="0" collapsed="false">
      <c r="A107" s="11" t="n">
        <f aca="false">IF(D106="","",D106)</f>
        <v>8</v>
      </c>
      <c r="B107" s="11" t="n">
        <f aca="false">IF(A107="","",(A107-(A107*0.067))/8)</f>
        <v>0.933</v>
      </c>
      <c r="C107" s="11" t="n">
        <f aca="false">IF(OR(A107="",B107=""),"",A107+B107)</f>
        <v>8.933</v>
      </c>
      <c r="D107" s="11" t="n">
        <f aca="false">IF(A107="","",A107+SUMIFS(Registros!$AP$2:$AP$401,Registros!$C$2:$C$401,H107))</f>
        <v>8</v>
      </c>
      <c r="E107" s="11" t="n">
        <f aca="false">IF(A107="","",ROUND(A107*0.067,2))</f>
        <v>0.54</v>
      </c>
      <c r="F107" s="11" t="n">
        <f aca="false">IF(OR(D107="",C107=""),"",D107-C107)</f>
        <v>-0.933</v>
      </c>
      <c r="G107" s="14" t="n">
        <f aca="false">IF(G106="","",G106+1)</f>
        <v>106</v>
      </c>
      <c r="H107" s="13"/>
      <c r="I107" s="12"/>
    </row>
    <row r="108" customFormat="false" ht="15" hidden="false" customHeight="false" outlineLevel="0" collapsed="false">
      <c r="A108" s="11" t="n">
        <f aca="false">IF(D107="","",D107)</f>
        <v>8</v>
      </c>
      <c r="B108" s="11" t="n">
        <f aca="false">IF(A108="","",(A108-(A108*0.067))/8)</f>
        <v>0.933</v>
      </c>
      <c r="C108" s="11" t="n">
        <f aca="false">IF(OR(A108="",B108=""),"",A108+B108)</f>
        <v>8.933</v>
      </c>
      <c r="D108" s="11" t="n">
        <f aca="false">IF(A108="","",A108+SUMIFS(Registros!$AP$2:$AP$401,Registros!$C$2:$C$401,H108))</f>
        <v>8</v>
      </c>
      <c r="E108" s="11" t="n">
        <f aca="false">IF(A108="","",ROUND(A108*0.067,2))</f>
        <v>0.54</v>
      </c>
      <c r="F108" s="11" t="n">
        <f aca="false">IF(OR(D108="",C108=""),"",D108-C108)</f>
        <v>-0.933</v>
      </c>
      <c r="G108" s="14" t="n">
        <f aca="false">IF(G107="","",G107+1)</f>
        <v>107</v>
      </c>
      <c r="H108" s="13"/>
      <c r="I108" s="12"/>
    </row>
    <row r="109" customFormat="false" ht="15" hidden="false" customHeight="false" outlineLevel="0" collapsed="false">
      <c r="A109" s="11" t="n">
        <f aca="false">IF(D108="","",D108)</f>
        <v>8</v>
      </c>
      <c r="B109" s="11" t="n">
        <f aca="false">IF(A109="","",(A109-(A109*0.067))/8)</f>
        <v>0.933</v>
      </c>
      <c r="C109" s="11" t="n">
        <f aca="false">IF(OR(A109="",B109=""),"",A109+B109)</f>
        <v>8.933</v>
      </c>
      <c r="D109" s="11" t="n">
        <f aca="false">IF(A109="","",A109+SUMIFS(Registros!$AP$2:$AP$401,Registros!$C$2:$C$401,H109))</f>
        <v>8</v>
      </c>
      <c r="E109" s="11" t="n">
        <f aca="false">IF(A109="","",ROUND(A109*0.067,2))</f>
        <v>0.54</v>
      </c>
      <c r="F109" s="11" t="n">
        <f aca="false">IF(OR(D109="",C109=""),"",D109-C109)</f>
        <v>-0.933</v>
      </c>
      <c r="G109" s="14" t="n">
        <f aca="false">IF(G108="","",G108+1)</f>
        <v>108</v>
      </c>
      <c r="H109" s="13"/>
      <c r="I109" s="12"/>
    </row>
    <row r="110" customFormat="false" ht="15" hidden="false" customHeight="false" outlineLevel="0" collapsed="false">
      <c r="A110" s="11" t="n">
        <f aca="false">IF(D109="","",D109)</f>
        <v>8</v>
      </c>
      <c r="B110" s="11" t="n">
        <f aca="false">IF(A110="","",(A110-(A110*0.067))/8)</f>
        <v>0.933</v>
      </c>
      <c r="C110" s="11" t="n">
        <f aca="false">IF(OR(A110="",B110=""),"",A110+B110)</f>
        <v>8.933</v>
      </c>
      <c r="D110" s="11" t="n">
        <f aca="false">IF(A110="","",A110+SUMIFS(Registros!$AP$2:$AP$401,Registros!$C$2:$C$401,H110))</f>
        <v>8</v>
      </c>
      <c r="E110" s="11" t="n">
        <f aca="false">IF(A110="","",ROUND(A110*0.067,2))</f>
        <v>0.54</v>
      </c>
      <c r="F110" s="11" t="n">
        <f aca="false">IF(OR(D110="",C110=""),"",D110-C110)</f>
        <v>-0.933</v>
      </c>
      <c r="G110" s="14" t="n">
        <f aca="false">IF(G109="","",G109+1)</f>
        <v>109</v>
      </c>
      <c r="H110" s="13"/>
      <c r="I110" s="12"/>
    </row>
    <row r="111" customFormat="false" ht="15" hidden="false" customHeight="false" outlineLevel="0" collapsed="false">
      <c r="A111" s="11" t="n">
        <f aca="false">IF(D110="","",D110)</f>
        <v>8</v>
      </c>
      <c r="B111" s="11" t="n">
        <f aca="false">IF(A111="","",(A111-(A111*0.067))/8)</f>
        <v>0.933</v>
      </c>
      <c r="C111" s="11" t="n">
        <f aca="false">IF(OR(A111="",B111=""),"",A111+B111)</f>
        <v>8.933</v>
      </c>
      <c r="D111" s="11" t="n">
        <f aca="false">IF(A111="","",A111+SUMIFS(Registros!$AP$2:$AP$401,Registros!$C$2:$C$401,H111))</f>
        <v>8</v>
      </c>
      <c r="E111" s="11" t="n">
        <f aca="false">IF(A111="","",ROUND(A111*0.067,2))</f>
        <v>0.54</v>
      </c>
      <c r="F111" s="11" t="n">
        <f aca="false">IF(OR(D111="",C111=""),"",D111-C111)</f>
        <v>-0.933</v>
      </c>
      <c r="G111" s="14" t="n">
        <f aca="false">IF(G110="","",G110+1)</f>
        <v>110</v>
      </c>
      <c r="H111" s="13"/>
      <c r="I111" s="12"/>
    </row>
    <row r="112" customFormat="false" ht="15" hidden="false" customHeight="false" outlineLevel="0" collapsed="false">
      <c r="A112" s="11" t="n">
        <f aca="false">IF(D111="","",D111)</f>
        <v>8</v>
      </c>
      <c r="B112" s="11" t="n">
        <f aca="false">IF(A112="","",(A112-(A112*0.067))/8)</f>
        <v>0.933</v>
      </c>
      <c r="C112" s="11" t="n">
        <f aca="false">IF(OR(A112="",B112=""),"",A112+B112)</f>
        <v>8.933</v>
      </c>
      <c r="D112" s="11" t="n">
        <f aca="false">IF(A112="","",A112+SUMIFS(Registros!$AP$2:$AP$401,Registros!$C$2:$C$401,H112))</f>
        <v>8</v>
      </c>
      <c r="E112" s="11" t="n">
        <f aca="false">IF(A112="","",ROUND(A112*0.067,2))</f>
        <v>0.54</v>
      </c>
      <c r="F112" s="11" t="n">
        <f aca="false">IF(OR(D112="",C112=""),"",D112-C112)</f>
        <v>-0.933</v>
      </c>
      <c r="G112" s="14" t="n">
        <f aca="false">IF(G111="","",G111+1)</f>
        <v>111</v>
      </c>
      <c r="H112" s="13"/>
      <c r="I112" s="12"/>
    </row>
    <row r="113" customFormat="false" ht="15" hidden="false" customHeight="false" outlineLevel="0" collapsed="false">
      <c r="A113" s="11" t="n">
        <f aca="false">IF(D112="","",D112)</f>
        <v>8</v>
      </c>
      <c r="B113" s="11" t="n">
        <f aca="false">IF(A113="","",(A113-(A113*0.067))/8)</f>
        <v>0.933</v>
      </c>
      <c r="C113" s="11" t="n">
        <f aca="false">IF(OR(A113="",B113=""),"",A113+B113)</f>
        <v>8.933</v>
      </c>
      <c r="D113" s="11" t="n">
        <f aca="false">IF(A113="","",A113+SUMIFS(Registros!$AP$2:$AP$401,Registros!$C$2:$C$401,H113))</f>
        <v>8</v>
      </c>
      <c r="E113" s="11" t="n">
        <f aca="false">IF(A113="","",ROUND(A113*0.067,2))</f>
        <v>0.54</v>
      </c>
      <c r="F113" s="11" t="n">
        <f aca="false">IF(OR(D113="",C113=""),"",D113-C113)</f>
        <v>-0.933</v>
      </c>
      <c r="G113" s="14" t="n">
        <f aca="false">IF(G112="","",G112+1)</f>
        <v>112</v>
      </c>
      <c r="H113" s="13"/>
      <c r="I113" s="12"/>
    </row>
    <row r="114" customFormat="false" ht="15" hidden="false" customHeight="false" outlineLevel="0" collapsed="false">
      <c r="A114" s="11" t="n">
        <f aca="false">IF(D113="","",D113)</f>
        <v>8</v>
      </c>
      <c r="B114" s="11" t="n">
        <f aca="false">IF(A114="","",(A114-(A114*0.067))/8)</f>
        <v>0.933</v>
      </c>
      <c r="C114" s="11" t="n">
        <f aca="false">IF(OR(A114="",B114=""),"",A114+B114)</f>
        <v>8.933</v>
      </c>
      <c r="D114" s="11" t="n">
        <f aca="false">IF(A114="","",A114+SUMIFS(Registros!$AP$2:$AP$401,Registros!$C$2:$C$401,H114))</f>
        <v>8</v>
      </c>
      <c r="E114" s="11" t="n">
        <f aca="false">IF(A114="","",ROUND(A114*0.067,2))</f>
        <v>0.54</v>
      </c>
      <c r="F114" s="11" t="n">
        <f aca="false">IF(OR(D114="",C114=""),"",D114-C114)</f>
        <v>-0.933</v>
      </c>
      <c r="G114" s="14" t="n">
        <f aca="false">IF(G113="","",G113+1)</f>
        <v>113</v>
      </c>
      <c r="H114" s="13"/>
      <c r="I114" s="12"/>
    </row>
    <row r="115" customFormat="false" ht="15" hidden="false" customHeight="false" outlineLevel="0" collapsed="false">
      <c r="A115" s="11" t="n">
        <f aca="false">IF(D114="","",D114)</f>
        <v>8</v>
      </c>
      <c r="B115" s="11" t="n">
        <f aca="false">IF(A115="","",(A115-(A115*0.067))/8)</f>
        <v>0.933</v>
      </c>
      <c r="C115" s="11" t="n">
        <f aca="false">IF(OR(A115="",B115=""),"",A115+B115)</f>
        <v>8.933</v>
      </c>
      <c r="D115" s="11" t="n">
        <f aca="false">IF(A115="","",A115+SUMIFS(Registros!$AP$2:$AP$401,Registros!$C$2:$C$401,H115))</f>
        <v>8</v>
      </c>
      <c r="E115" s="11" t="n">
        <f aca="false">IF(A115="","",ROUND(A115*0.067,2))</f>
        <v>0.54</v>
      </c>
      <c r="F115" s="11" t="n">
        <f aca="false">IF(OR(D115="",C115=""),"",D115-C115)</f>
        <v>-0.933</v>
      </c>
      <c r="G115" s="14" t="n">
        <f aca="false">IF(G114="","",G114+1)</f>
        <v>114</v>
      </c>
      <c r="H115" s="13"/>
      <c r="I115" s="12"/>
    </row>
    <row r="116" customFormat="false" ht="15" hidden="false" customHeight="false" outlineLevel="0" collapsed="false">
      <c r="A116" s="11" t="n">
        <f aca="false">IF(D115="","",D115)</f>
        <v>8</v>
      </c>
      <c r="B116" s="11" t="n">
        <f aca="false">IF(A116="","",(A116-(A116*0.067))/8)</f>
        <v>0.933</v>
      </c>
      <c r="C116" s="11" t="n">
        <f aca="false">IF(OR(A116="",B116=""),"",A116+B116)</f>
        <v>8.933</v>
      </c>
      <c r="D116" s="11" t="n">
        <f aca="false">IF(A116="","",A116+SUMIFS(Registros!$AP$2:$AP$401,Registros!$C$2:$C$401,H116))</f>
        <v>8</v>
      </c>
      <c r="E116" s="11" t="n">
        <f aca="false">IF(A116="","",ROUND(A116*0.067,2))</f>
        <v>0.54</v>
      </c>
      <c r="F116" s="11" t="n">
        <f aca="false">IF(OR(D116="",C116=""),"",D116-C116)</f>
        <v>-0.933</v>
      </c>
      <c r="G116" s="14" t="n">
        <f aca="false">IF(G115="","",G115+1)</f>
        <v>115</v>
      </c>
      <c r="H116" s="13"/>
      <c r="I116" s="12"/>
    </row>
    <row r="117" customFormat="false" ht="15" hidden="false" customHeight="false" outlineLevel="0" collapsed="false">
      <c r="A117" s="11" t="n">
        <f aca="false">IF(D116="","",D116)</f>
        <v>8</v>
      </c>
      <c r="B117" s="11" t="n">
        <f aca="false">IF(A117="","",(A117-(A117*0.067))/8)</f>
        <v>0.933</v>
      </c>
      <c r="C117" s="11" t="n">
        <f aca="false">IF(OR(A117="",B117=""),"",A117+B117)</f>
        <v>8.933</v>
      </c>
      <c r="D117" s="11" t="n">
        <f aca="false">IF(A117="","",A117+SUMIFS(Registros!$AP$2:$AP$401,Registros!$C$2:$C$401,H117))</f>
        <v>8</v>
      </c>
      <c r="E117" s="11" t="n">
        <f aca="false">IF(A117="","",ROUND(A117*0.067,2))</f>
        <v>0.54</v>
      </c>
      <c r="F117" s="11" t="n">
        <f aca="false">IF(OR(D117="",C117=""),"",D117-C117)</f>
        <v>-0.933</v>
      </c>
      <c r="G117" s="14" t="n">
        <f aca="false">IF(G116="","",G116+1)</f>
        <v>116</v>
      </c>
      <c r="H117" s="13"/>
      <c r="I117" s="12"/>
    </row>
    <row r="118" customFormat="false" ht="15" hidden="false" customHeight="false" outlineLevel="0" collapsed="false">
      <c r="A118" s="11" t="n">
        <f aca="false">IF(D117="","",D117)</f>
        <v>8</v>
      </c>
      <c r="B118" s="11" t="n">
        <f aca="false">IF(A118="","",(A118-(A118*0.067))/8)</f>
        <v>0.933</v>
      </c>
      <c r="C118" s="11" t="n">
        <f aca="false">IF(OR(A118="",B118=""),"",A118+B118)</f>
        <v>8.933</v>
      </c>
      <c r="D118" s="11" t="n">
        <f aca="false">IF(A118="","",A118+SUMIFS(Registros!$AP$2:$AP$401,Registros!$C$2:$C$401,H118))</f>
        <v>8</v>
      </c>
      <c r="E118" s="11" t="n">
        <f aca="false">IF(A118="","",ROUND(A118*0.067,2))</f>
        <v>0.54</v>
      </c>
      <c r="F118" s="11" t="n">
        <f aca="false">IF(OR(D118="",C118=""),"",D118-C118)</f>
        <v>-0.933</v>
      </c>
      <c r="G118" s="14" t="n">
        <f aca="false">IF(G117="","",G117+1)</f>
        <v>117</v>
      </c>
      <c r="H118" s="13"/>
      <c r="I118" s="12"/>
    </row>
    <row r="119" customFormat="false" ht="15" hidden="false" customHeight="false" outlineLevel="0" collapsed="false">
      <c r="A119" s="11" t="n">
        <f aca="false">IF(D118="","",D118)</f>
        <v>8</v>
      </c>
      <c r="B119" s="11" t="n">
        <f aca="false">IF(A119="","",(A119-(A119*0.067))/8)</f>
        <v>0.933</v>
      </c>
      <c r="C119" s="11" t="n">
        <f aca="false">IF(OR(A119="",B119=""),"",A119+B119)</f>
        <v>8.933</v>
      </c>
      <c r="D119" s="11" t="n">
        <f aca="false">IF(A119="","",A119+SUMIFS(Registros!$AP$2:$AP$401,Registros!$C$2:$C$401,H119))</f>
        <v>8</v>
      </c>
      <c r="E119" s="11" t="n">
        <f aca="false">IF(A119="","",ROUND(A119*0.067,2))</f>
        <v>0.54</v>
      </c>
      <c r="F119" s="11" t="n">
        <f aca="false">IF(OR(D119="",C119=""),"",D119-C119)</f>
        <v>-0.933</v>
      </c>
      <c r="G119" s="14" t="n">
        <f aca="false">IF(G118="","",G118+1)</f>
        <v>118</v>
      </c>
      <c r="H119" s="13"/>
      <c r="I119" s="12"/>
    </row>
    <row r="120" customFormat="false" ht="15" hidden="false" customHeight="false" outlineLevel="0" collapsed="false">
      <c r="A120" s="11" t="n">
        <f aca="false">IF(D119="","",D119)</f>
        <v>8</v>
      </c>
      <c r="B120" s="11" t="n">
        <f aca="false">IF(A120="","",(A120-(A120*0.067))/8)</f>
        <v>0.933</v>
      </c>
      <c r="C120" s="11" t="n">
        <f aca="false">IF(OR(A120="",B120=""),"",A120+B120)</f>
        <v>8.933</v>
      </c>
      <c r="D120" s="11" t="n">
        <f aca="false">IF(A120="","",A120+SUMIFS(Registros!$AP$2:$AP$401,Registros!$C$2:$C$401,H120))</f>
        <v>8</v>
      </c>
      <c r="E120" s="11" t="n">
        <f aca="false">IF(A120="","",ROUND(A120*0.067,2))</f>
        <v>0.54</v>
      </c>
      <c r="F120" s="11" t="n">
        <f aca="false">IF(OR(D120="",C120=""),"",D120-C120)</f>
        <v>-0.933</v>
      </c>
      <c r="G120" s="14" t="n">
        <f aca="false">IF(G119="","",G119+1)</f>
        <v>119</v>
      </c>
      <c r="H120" s="13"/>
      <c r="I120" s="12"/>
    </row>
    <row r="121" customFormat="false" ht="15" hidden="false" customHeight="false" outlineLevel="0" collapsed="false">
      <c r="A121" s="11" t="n">
        <f aca="false">IF(D120="","",D120)</f>
        <v>8</v>
      </c>
      <c r="B121" s="11" t="n">
        <f aca="false">IF(A121="","",(A121-(A121*0.067))/8)</f>
        <v>0.933</v>
      </c>
      <c r="C121" s="11" t="n">
        <f aca="false">IF(OR(A121="",B121=""),"",A121+B121)</f>
        <v>8.933</v>
      </c>
      <c r="D121" s="11" t="n">
        <f aca="false">IF(A121="","",A121+SUMIFS(Registros!$AP$2:$AP$401,Registros!$C$2:$C$401,H121))</f>
        <v>8</v>
      </c>
      <c r="E121" s="11" t="n">
        <f aca="false">IF(A121="","",ROUND(A121*0.067,2))</f>
        <v>0.54</v>
      </c>
      <c r="F121" s="11" t="n">
        <f aca="false">IF(OR(D121="",C121=""),"",D121-C121)</f>
        <v>-0.933</v>
      </c>
      <c r="G121" s="14" t="n">
        <f aca="false">IF(G120="","",G120+1)</f>
        <v>120</v>
      </c>
      <c r="H121" s="13"/>
      <c r="I121" s="12"/>
    </row>
    <row r="122" customFormat="false" ht="15" hidden="false" customHeight="false" outlineLevel="0" collapsed="false">
      <c r="A122" s="11" t="n">
        <f aca="false">IF(D121="","",D121)</f>
        <v>8</v>
      </c>
      <c r="B122" s="11" t="n">
        <f aca="false">IF(A122="","",(A122-(A122*0.067))/8)</f>
        <v>0.933</v>
      </c>
      <c r="C122" s="11" t="n">
        <f aca="false">IF(OR(A122="",B122=""),"",A122+B122)</f>
        <v>8.933</v>
      </c>
      <c r="D122" s="11" t="n">
        <f aca="false">IF(A122="","",A122+SUMIFS(Registros!$AP$2:$AP$401,Registros!$C$2:$C$401,H122))</f>
        <v>8</v>
      </c>
      <c r="E122" s="11" t="n">
        <f aca="false">IF(A122="","",ROUND(A122*0.067,2))</f>
        <v>0.54</v>
      </c>
      <c r="F122" s="11" t="n">
        <f aca="false">IF(OR(D122="",C122=""),"",D122-C122)</f>
        <v>-0.933</v>
      </c>
      <c r="G122" s="14" t="n">
        <f aca="false">IF(G121="","",G121+1)</f>
        <v>121</v>
      </c>
      <c r="H122" s="13"/>
      <c r="I122" s="12"/>
    </row>
    <row r="123" customFormat="false" ht="15" hidden="false" customHeight="false" outlineLevel="0" collapsed="false">
      <c r="A123" s="11" t="n">
        <f aca="false">IF(D122="","",D122)</f>
        <v>8</v>
      </c>
      <c r="B123" s="11" t="n">
        <f aca="false">IF(A123="","",(A123-(A123*0.067))/8)</f>
        <v>0.933</v>
      </c>
      <c r="C123" s="11" t="n">
        <f aca="false">IF(OR(A123="",B123=""),"",A123+B123)</f>
        <v>8.933</v>
      </c>
      <c r="D123" s="11" t="n">
        <f aca="false">IF(A123="","",A123+SUMIFS(Registros!$AP$2:$AP$401,Registros!$C$2:$C$401,H123))</f>
        <v>8</v>
      </c>
      <c r="E123" s="11" t="n">
        <f aca="false">IF(A123="","",ROUND(A123*0.067,2))</f>
        <v>0.54</v>
      </c>
      <c r="F123" s="11" t="n">
        <f aca="false">IF(OR(D123="",C123=""),"",D123-C123)</f>
        <v>-0.933</v>
      </c>
      <c r="G123" s="14" t="n">
        <f aca="false">IF(G122="","",G122+1)</f>
        <v>122</v>
      </c>
      <c r="H123" s="13"/>
      <c r="I123" s="12"/>
    </row>
    <row r="124" customFormat="false" ht="15" hidden="false" customHeight="false" outlineLevel="0" collapsed="false">
      <c r="A124" s="11" t="n">
        <f aca="false">IF(D123="","",D123)</f>
        <v>8</v>
      </c>
      <c r="B124" s="11" t="n">
        <f aca="false">IF(A124="","",(A124-(A124*0.067))/8)</f>
        <v>0.933</v>
      </c>
      <c r="C124" s="11" t="n">
        <f aca="false">IF(OR(A124="",B124=""),"",A124+B124)</f>
        <v>8.933</v>
      </c>
      <c r="D124" s="11" t="n">
        <f aca="false">IF(A124="","",A124+SUMIFS(Registros!$AP$2:$AP$401,Registros!$C$2:$C$401,H124))</f>
        <v>8</v>
      </c>
      <c r="E124" s="11" t="n">
        <f aca="false">IF(A124="","",ROUND(A124*0.067,2))</f>
        <v>0.54</v>
      </c>
      <c r="F124" s="11" t="n">
        <f aca="false">IF(OR(D124="",C124=""),"",D124-C124)</f>
        <v>-0.933</v>
      </c>
      <c r="G124" s="14" t="n">
        <f aca="false">IF(G123="","",G123+1)</f>
        <v>123</v>
      </c>
      <c r="H124" s="13"/>
      <c r="I124" s="12"/>
    </row>
    <row r="125" customFormat="false" ht="15" hidden="false" customHeight="false" outlineLevel="0" collapsed="false">
      <c r="A125" s="11" t="n">
        <f aca="false">IF(D124="","",D124)</f>
        <v>8</v>
      </c>
      <c r="B125" s="11" t="n">
        <f aca="false">IF(A125="","",(A125-(A125*0.067))/8)</f>
        <v>0.933</v>
      </c>
      <c r="C125" s="11" t="n">
        <f aca="false">IF(OR(A125="",B125=""),"",A125+B125)</f>
        <v>8.933</v>
      </c>
      <c r="D125" s="11" t="n">
        <f aca="false">IF(A125="","",A125+SUMIFS(Registros!$AP$2:$AP$401,Registros!$C$2:$C$401,H125))</f>
        <v>8</v>
      </c>
      <c r="E125" s="11" t="n">
        <f aca="false">IF(A125="","",ROUND(A125*0.067,2))</f>
        <v>0.54</v>
      </c>
      <c r="F125" s="11" t="n">
        <f aca="false">IF(OR(D125="",C125=""),"",D125-C125)</f>
        <v>-0.933</v>
      </c>
      <c r="G125" s="14" t="n">
        <f aca="false">IF(G124="","",G124+1)</f>
        <v>124</v>
      </c>
      <c r="H125" s="13"/>
      <c r="I125" s="12"/>
    </row>
    <row r="126" customFormat="false" ht="15" hidden="false" customHeight="false" outlineLevel="0" collapsed="false">
      <c r="A126" s="11" t="n">
        <f aca="false">IF(D125="","",D125)</f>
        <v>8</v>
      </c>
      <c r="B126" s="11" t="n">
        <f aca="false">IF(A126="","",(A126-(A126*0.067))/8)</f>
        <v>0.933</v>
      </c>
      <c r="C126" s="11" t="n">
        <f aca="false">IF(OR(A126="",B126=""),"",A126+B126)</f>
        <v>8.933</v>
      </c>
      <c r="D126" s="11" t="n">
        <f aca="false">IF(A126="","",A126+SUMIFS(Registros!$AP$2:$AP$401,Registros!$C$2:$C$401,H126))</f>
        <v>8</v>
      </c>
      <c r="E126" s="11" t="n">
        <f aca="false">IF(A126="","",ROUND(A126*0.067,2))</f>
        <v>0.54</v>
      </c>
      <c r="F126" s="11" t="n">
        <f aca="false">IF(OR(D126="",C126=""),"",D126-C126)</f>
        <v>-0.933</v>
      </c>
      <c r="G126" s="14" t="n">
        <f aca="false">IF(G125="","",G125+1)</f>
        <v>125</v>
      </c>
      <c r="H126" s="13"/>
      <c r="I126" s="12"/>
    </row>
    <row r="127" customFormat="false" ht="15" hidden="false" customHeight="false" outlineLevel="0" collapsed="false">
      <c r="A127" s="11" t="n">
        <f aca="false">IF(D126="","",D126)</f>
        <v>8</v>
      </c>
      <c r="B127" s="11" t="n">
        <f aca="false">IF(A127="","",(A127-(A127*0.067))/8)</f>
        <v>0.933</v>
      </c>
      <c r="C127" s="11" t="n">
        <f aca="false">IF(OR(A127="",B127=""),"",A127+B127)</f>
        <v>8.933</v>
      </c>
      <c r="D127" s="11" t="n">
        <f aca="false">IF(A127="","",A127+SUMIFS(Registros!$AP$2:$AP$401,Registros!$C$2:$C$401,H127))</f>
        <v>8</v>
      </c>
      <c r="E127" s="11" t="n">
        <f aca="false">IF(A127="","",ROUND(A127*0.067,2))</f>
        <v>0.54</v>
      </c>
      <c r="F127" s="11" t="n">
        <f aca="false">IF(OR(D127="",C127=""),"",D127-C127)</f>
        <v>-0.933</v>
      </c>
      <c r="G127" s="14" t="n">
        <f aca="false">IF(G126="","",G126+1)</f>
        <v>126</v>
      </c>
      <c r="H127" s="13"/>
      <c r="I127" s="12"/>
    </row>
    <row r="128" customFormat="false" ht="15" hidden="false" customHeight="false" outlineLevel="0" collapsed="false">
      <c r="A128" s="11" t="n">
        <f aca="false">IF(D127="","",D127)</f>
        <v>8</v>
      </c>
      <c r="B128" s="11" t="n">
        <f aca="false">IF(A128="","",(A128-(A128*0.067))/8)</f>
        <v>0.933</v>
      </c>
      <c r="C128" s="11" t="n">
        <f aca="false">IF(OR(A128="",B128=""),"",A128+B128)</f>
        <v>8.933</v>
      </c>
      <c r="D128" s="11" t="n">
        <f aca="false">IF(A128="","",A128+SUMIFS(Registros!$AP$2:$AP$401,Registros!$C$2:$C$401,H128))</f>
        <v>8</v>
      </c>
      <c r="E128" s="11" t="n">
        <f aca="false">IF(A128="","",ROUND(A128*0.067,2))</f>
        <v>0.54</v>
      </c>
      <c r="F128" s="11" t="n">
        <f aca="false">IF(OR(D128="",C128=""),"",D128-C128)</f>
        <v>-0.933</v>
      </c>
      <c r="G128" s="14" t="n">
        <f aca="false">IF(G127="","",G127+1)</f>
        <v>127</v>
      </c>
      <c r="H128" s="13"/>
      <c r="I128" s="12"/>
    </row>
    <row r="129" customFormat="false" ht="15" hidden="false" customHeight="false" outlineLevel="0" collapsed="false">
      <c r="A129" s="11" t="n">
        <f aca="false">IF(D128="","",D128)</f>
        <v>8</v>
      </c>
      <c r="B129" s="11" t="n">
        <f aca="false">IF(A129="","",(A129-(A129*0.067))/8)</f>
        <v>0.933</v>
      </c>
      <c r="C129" s="11" t="n">
        <f aca="false">IF(OR(A129="",B129=""),"",A129+B129)</f>
        <v>8.933</v>
      </c>
      <c r="D129" s="11" t="n">
        <f aca="false">IF(A129="","",A129+SUMIFS(Registros!$AP$2:$AP$401,Registros!$C$2:$C$401,H129))</f>
        <v>8</v>
      </c>
      <c r="E129" s="11" t="n">
        <f aca="false">IF(A129="","",ROUND(A129*0.067,2))</f>
        <v>0.54</v>
      </c>
      <c r="F129" s="11" t="n">
        <f aca="false">IF(OR(D129="",C129=""),"",D129-C129)</f>
        <v>-0.933</v>
      </c>
      <c r="G129" s="14" t="n">
        <f aca="false">IF(G128="","",G128+1)</f>
        <v>128</v>
      </c>
      <c r="H129" s="13"/>
      <c r="I129" s="12"/>
    </row>
    <row r="130" customFormat="false" ht="15" hidden="false" customHeight="false" outlineLevel="0" collapsed="false">
      <c r="A130" s="11" t="n">
        <f aca="false">IF(D129="","",D129)</f>
        <v>8</v>
      </c>
      <c r="B130" s="11" t="n">
        <f aca="false">IF(A130="","",(A130-(A130*0.067))/8)</f>
        <v>0.933</v>
      </c>
      <c r="C130" s="11" t="n">
        <f aca="false">IF(OR(A130="",B130=""),"",A130+B130)</f>
        <v>8.933</v>
      </c>
      <c r="D130" s="11" t="n">
        <f aca="false">IF(A130="","",A130+SUMIFS(Registros!$AP$2:$AP$401,Registros!$C$2:$C$401,H130))</f>
        <v>8</v>
      </c>
      <c r="E130" s="11" t="n">
        <f aca="false">IF(A130="","",ROUND(A130*0.067,2))</f>
        <v>0.54</v>
      </c>
      <c r="F130" s="11" t="n">
        <f aca="false">IF(OR(D130="",C130=""),"",D130-C130)</f>
        <v>-0.933</v>
      </c>
      <c r="G130" s="14" t="n">
        <f aca="false">IF(G129="","",G129+1)</f>
        <v>129</v>
      </c>
      <c r="H130" s="13"/>
      <c r="I130" s="12"/>
    </row>
    <row r="131" customFormat="false" ht="15" hidden="false" customHeight="false" outlineLevel="0" collapsed="false">
      <c r="A131" s="11" t="n">
        <f aca="false">IF(D130="","",D130)</f>
        <v>8</v>
      </c>
      <c r="B131" s="11" t="n">
        <f aca="false">IF(A131="","",(A131-(A131*0.067))/8)</f>
        <v>0.933</v>
      </c>
      <c r="C131" s="11" t="n">
        <f aca="false">IF(OR(A131="",B131=""),"",A131+B131)</f>
        <v>8.933</v>
      </c>
      <c r="D131" s="11" t="n">
        <f aca="false">IF(A131="","",A131+SUMIFS(Registros!$AP$2:$AP$401,Registros!$C$2:$C$401,H131))</f>
        <v>8</v>
      </c>
      <c r="E131" s="11" t="n">
        <f aca="false">IF(A131="","",ROUND(A131*0.067,2))</f>
        <v>0.54</v>
      </c>
      <c r="F131" s="11" t="n">
        <f aca="false">IF(OR(D131="",C131=""),"",D131-C131)</f>
        <v>-0.933</v>
      </c>
      <c r="G131" s="14" t="n">
        <f aca="false">IF(G130="","",G130+1)</f>
        <v>130</v>
      </c>
      <c r="H131" s="13"/>
      <c r="I131" s="12"/>
    </row>
    <row r="132" customFormat="false" ht="15" hidden="false" customHeight="false" outlineLevel="0" collapsed="false">
      <c r="A132" s="11" t="n">
        <f aca="false">IF(D131="","",D131)</f>
        <v>8</v>
      </c>
      <c r="B132" s="11" t="n">
        <f aca="false">IF(A132="","",(A132-(A132*0.067))/8)</f>
        <v>0.933</v>
      </c>
      <c r="C132" s="11" t="n">
        <f aca="false">IF(OR(A132="",B132=""),"",A132+B132)</f>
        <v>8.933</v>
      </c>
      <c r="D132" s="11" t="n">
        <f aca="false">IF(A132="","",A132+SUMIFS(Registros!$AP$2:$AP$401,Registros!$C$2:$C$401,H132))</f>
        <v>8</v>
      </c>
      <c r="E132" s="11" t="n">
        <f aca="false">IF(A132="","",ROUND(A132*0.067,2))</f>
        <v>0.54</v>
      </c>
      <c r="F132" s="11" t="n">
        <f aca="false">IF(OR(D132="",C132=""),"",D132-C132)</f>
        <v>-0.933</v>
      </c>
      <c r="G132" s="14" t="n">
        <f aca="false">IF(G131="","",G131+1)</f>
        <v>131</v>
      </c>
      <c r="H132" s="13"/>
      <c r="I132" s="12"/>
    </row>
    <row r="133" customFormat="false" ht="15" hidden="false" customHeight="false" outlineLevel="0" collapsed="false">
      <c r="A133" s="11" t="n">
        <f aca="false">IF(D132="","",D132)</f>
        <v>8</v>
      </c>
      <c r="B133" s="11" t="n">
        <f aca="false">IF(A133="","",(A133-(A133*0.067))/8)</f>
        <v>0.933</v>
      </c>
      <c r="C133" s="11" t="n">
        <f aca="false">IF(OR(A133="",B133=""),"",A133+B133)</f>
        <v>8.933</v>
      </c>
      <c r="D133" s="11" t="n">
        <f aca="false">IF(A133="","",A133+SUMIFS(Registros!$AP$2:$AP$401,Registros!$C$2:$C$401,H133))</f>
        <v>8</v>
      </c>
      <c r="E133" s="11" t="n">
        <f aca="false">IF(A133="","",ROUND(A133*0.067,2))</f>
        <v>0.54</v>
      </c>
      <c r="F133" s="11" t="n">
        <f aca="false">IF(OR(D133="",C133=""),"",D133-C133)</f>
        <v>-0.933</v>
      </c>
      <c r="G133" s="14" t="n">
        <f aca="false">IF(G132="","",G132+1)</f>
        <v>132</v>
      </c>
      <c r="H133" s="13"/>
      <c r="I133" s="12"/>
    </row>
    <row r="134" customFormat="false" ht="15" hidden="false" customHeight="false" outlineLevel="0" collapsed="false">
      <c r="A134" s="11" t="n">
        <f aca="false">IF(D133="","",D133)</f>
        <v>8</v>
      </c>
      <c r="B134" s="11" t="n">
        <f aca="false">IF(A134="","",(A134-(A134*0.067))/8)</f>
        <v>0.933</v>
      </c>
      <c r="C134" s="11" t="n">
        <f aca="false">IF(OR(A134="",B134=""),"",A134+B134)</f>
        <v>8.933</v>
      </c>
      <c r="D134" s="11" t="n">
        <f aca="false">IF(A134="","",A134+SUMIFS(Registros!$AP$2:$AP$401,Registros!$C$2:$C$401,H134))</f>
        <v>8</v>
      </c>
      <c r="E134" s="11" t="n">
        <f aca="false">IF(A134="","",ROUND(A134*0.067,2))</f>
        <v>0.54</v>
      </c>
      <c r="F134" s="11" t="n">
        <f aca="false">IF(OR(D134="",C134=""),"",D134-C134)</f>
        <v>-0.933</v>
      </c>
      <c r="G134" s="14" t="n">
        <f aca="false">IF(G133="","",G133+1)</f>
        <v>133</v>
      </c>
      <c r="H134" s="13"/>
      <c r="I134" s="12"/>
    </row>
    <row r="135" customFormat="false" ht="15" hidden="false" customHeight="false" outlineLevel="0" collapsed="false">
      <c r="A135" s="11" t="n">
        <f aca="false">IF(D134="","",D134)</f>
        <v>8</v>
      </c>
      <c r="B135" s="11" t="n">
        <f aca="false">IF(A135="","",(A135-(A135*0.067))/8)</f>
        <v>0.933</v>
      </c>
      <c r="C135" s="11" t="n">
        <f aca="false">IF(OR(A135="",B135=""),"",A135+B135)</f>
        <v>8.933</v>
      </c>
      <c r="D135" s="11" t="n">
        <f aca="false">IF(A135="","",A135+SUMIFS(Registros!$AP$2:$AP$401,Registros!$C$2:$C$401,H135))</f>
        <v>8</v>
      </c>
      <c r="E135" s="11" t="n">
        <f aca="false">IF(A135="","",ROUND(A135*0.067,2))</f>
        <v>0.54</v>
      </c>
      <c r="F135" s="11" t="n">
        <f aca="false">IF(OR(D135="",C135=""),"",D135-C135)</f>
        <v>-0.933</v>
      </c>
      <c r="G135" s="14" t="n">
        <f aca="false">IF(G134="","",G134+1)</f>
        <v>134</v>
      </c>
      <c r="H135" s="13"/>
      <c r="I135" s="12"/>
    </row>
    <row r="136" customFormat="false" ht="15" hidden="false" customHeight="false" outlineLevel="0" collapsed="false">
      <c r="A136" s="11" t="n">
        <f aca="false">IF(D135="","",D135)</f>
        <v>8</v>
      </c>
      <c r="B136" s="11" t="n">
        <f aca="false">IF(A136="","",(A136-(A136*0.067))/8)</f>
        <v>0.933</v>
      </c>
      <c r="C136" s="11" t="n">
        <f aca="false">IF(OR(A136="",B136=""),"",A136+B136)</f>
        <v>8.933</v>
      </c>
      <c r="D136" s="11" t="n">
        <f aca="false">IF(A136="","",A136+SUMIFS(Registros!$AP$2:$AP$401,Registros!$C$2:$C$401,H136))</f>
        <v>8</v>
      </c>
      <c r="E136" s="11" t="n">
        <f aca="false">IF(A136="","",ROUND(A136*0.067,2))</f>
        <v>0.54</v>
      </c>
      <c r="F136" s="11" t="n">
        <f aca="false">IF(OR(D136="",C136=""),"",D136-C136)</f>
        <v>-0.933</v>
      </c>
      <c r="G136" s="14" t="n">
        <f aca="false">IF(G135="","",G135+1)</f>
        <v>135</v>
      </c>
      <c r="H136" s="13"/>
      <c r="I136" s="12"/>
    </row>
    <row r="137" customFormat="false" ht="15" hidden="false" customHeight="false" outlineLevel="0" collapsed="false">
      <c r="A137" s="11" t="n">
        <f aca="false">IF(D136="","",D136)</f>
        <v>8</v>
      </c>
      <c r="B137" s="11" t="n">
        <f aca="false">IF(A137="","",(A137-(A137*0.067))/8)</f>
        <v>0.933</v>
      </c>
      <c r="C137" s="11" t="n">
        <f aca="false">IF(OR(A137="",B137=""),"",A137+B137)</f>
        <v>8.933</v>
      </c>
      <c r="D137" s="11" t="n">
        <f aca="false">IF(A137="","",A137+SUMIFS(Registros!$AP$2:$AP$401,Registros!$C$2:$C$401,H137))</f>
        <v>8</v>
      </c>
      <c r="E137" s="11" t="n">
        <f aca="false">IF(A137="","",ROUND(A137*0.067,2))</f>
        <v>0.54</v>
      </c>
      <c r="F137" s="11" t="n">
        <f aca="false">IF(OR(D137="",C137=""),"",D137-C137)</f>
        <v>-0.933</v>
      </c>
      <c r="G137" s="14" t="n">
        <f aca="false">IF(G136="","",G136+1)</f>
        <v>136</v>
      </c>
      <c r="H137" s="13"/>
      <c r="I137" s="12"/>
    </row>
    <row r="138" customFormat="false" ht="15" hidden="false" customHeight="false" outlineLevel="0" collapsed="false">
      <c r="A138" s="11" t="n">
        <f aca="false">IF(D137="","",D137)</f>
        <v>8</v>
      </c>
      <c r="B138" s="11" t="n">
        <f aca="false">IF(A138="","",(A138-(A138*0.067))/8)</f>
        <v>0.933</v>
      </c>
      <c r="C138" s="11" t="n">
        <f aca="false">IF(OR(A138="",B138=""),"",A138+B138)</f>
        <v>8.933</v>
      </c>
      <c r="D138" s="11" t="n">
        <f aca="false">IF(A138="","",A138+SUMIFS(Registros!$AP$2:$AP$401,Registros!$C$2:$C$401,H138))</f>
        <v>8</v>
      </c>
      <c r="E138" s="11" t="n">
        <f aca="false">IF(A138="","",ROUND(A138*0.067,2))</f>
        <v>0.54</v>
      </c>
      <c r="F138" s="11" t="n">
        <f aca="false">IF(OR(D138="",C138=""),"",D138-C138)</f>
        <v>-0.933</v>
      </c>
      <c r="G138" s="14" t="n">
        <f aca="false">IF(G137="","",G137+1)</f>
        <v>137</v>
      </c>
      <c r="H138" s="13"/>
      <c r="I138" s="12"/>
    </row>
    <row r="139" customFormat="false" ht="15" hidden="false" customHeight="false" outlineLevel="0" collapsed="false">
      <c r="A139" s="11" t="n">
        <f aca="false">IF(D138="","",D138)</f>
        <v>8</v>
      </c>
      <c r="B139" s="11" t="n">
        <f aca="false">IF(A139="","",(A139-(A139*0.067))/8)</f>
        <v>0.933</v>
      </c>
      <c r="C139" s="11" t="n">
        <f aca="false">IF(OR(A139="",B139=""),"",A139+B139)</f>
        <v>8.933</v>
      </c>
      <c r="D139" s="11" t="n">
        <f aca="false">IF(A139="","",A139+SUMIFS(Registros!$AP$2:$AP$401,Registros!$C$2:$C$401,H139))</f>
        <v>8</v>
      </c>
      <c r="E139" s="11" t="n">
        <f aca="false">IF(A139="","",ROUND(A139*0.067,2))</f>
        <v>0.54</v>
      </c>
      <c r="F139" s="11" t="n">
        <f aca="false">IF(OR(D139="",C139=""),"",D139-C139)</f>
        <v>-0.933</v>
      </c>
      <c r="G139" s="14" t="n">
        <f aca="false">IF(G138="","",G138+1)</f>
        <v>138</v>
      </c>
      <c r="H139" s="13"/>
      <c r="I139" s="12"/>
    </row>
    <row r="140" customFormat="false" ht="15" hidden="false" customHeight="false" outlineLevel="0" collapsed="false">
      <c r="A140" s="11" t="n">
        <f aca="false">IF(D139="","",D139)</f>
        <v>8</v>
      </c>
      <c r="B140" s="11" t="n">
        <f aca="false">IF(A140="","",(A140-(A140*0.067))/8)</f>
        <v>0.933</v>
      </c>
      <c r="C140" s="11" t="n">
        <f aca="false">IF(OR(A140="",B140=""),"",A140+B140)</f>
        <v>8.933</v>
      </c>
      <c r="D140" s="11" t="n">
        <f aca="false">IF(A140="","",A140+SUMIFS(Registros!$AP$2:$AP$401,Registros!$C$2:$C$401,H140))</f>
        <v>8</v>
      </c>
      <c r="E140" s="11" t="n">
        <f aca="false">IF(A140="","",ROUND(A140*0.067,2))</f>
        <v>0.54</v>
      </c>
      <c r="F140" s="11" t="n">
        <f aca="false">IF(OR(D140="",C140=""),"",D140-C140)</f>
        <v>-0.933</v>
      </c>
      <c r="G140" s="14" t="n">
        <f aca="false">IF(G139="","",G139+1)</f>
        <v>139</v>
      </c>
      <c r="H140" s="13"/>
      <c r="I140" s="12"/>
    </row>
    <row r="141" customFormat="false" ht="15" hidden="false" customHeight="false" outlineLevel="0" collapsed="false">
      <c r="A141" s="11" t="n">
        <f aca="false">IF(D140="","",D140)</f>
        <v>8</v>
      </c>
      <c r="B141" s="11" t="n">
        <f aca="false">IF(A141="","",(A141-(A141*0.067))/8)</f>
        <v>0.933</v>
      </c>
      <c r="C141" s="11" t="n">
        <f aca="false">IF(OR(A141="",B141=""),"",A141+B141)</f>
        <v>8.933</v>
      </c>
      <c r="D141" s="11" t="n">
        <f aca="false">IF(A141="","",A141+SUMIFS(Registros!$AP$2:$AP$401,Registros!$C$2:$C$401,H141))</f>
        <v>8</v>
      </c>
      <c r="E141" s="11" t="n">
        <f aca="false">IF(A141="","",ROUND(A141*0.067,2))</f>
        <v>0.54</v>
      </c>
      <c r="F141" s="11" t="n">
        <f aca="false">IF(OR(D141="",C141=""),"",D141-C141)</f>
        <v>-0.933</v>
      </c>
      <c r="G141" s="14" t="n">
        <f aca="false">IF(G140="","",G140+1)</f>
        <v>140</v>
      </c>
      <c r="H141" s="13"/>
      <c r="I141" s="12"/>
    </row>
    <row r="142" customFormat="false" ht="15" hidden="false" customHeight="false" outlineLevel="0" collapsed="false">
      <c r="A142" s="11" t="n">
        <f aca="false">IF(D141="","",D141)</f>
        <v>8</v>
      </c>
      <c r="B142" s="11" t="n">
        <f aca="false">IF(A142="","",(A142-(A142*0.067))/8)</f>
        <v>0.933</v>
      </c>
      <c r="C142" s="11" t="n">
        <f aca="false">IF(OR(A142="",B142=""),"",A142+B142)</f>
        <v>8.933</v>
      </c>
      <c r="D142" s="11" t="n">
        <f aca="false">IF(A142="","",A142+SUMIFS(Registros!$AP$2:$AP$401,Registros!$C$2:$C$401,H142))</f>
        <v>8</v>
      </c>
      <c r="E142" s="11" t="n">
        <f aca="false">IF(A142="","",ROUND(A142*0.067,2))</f>
        <v>0.54</v>
      </c>
      <c r="F142" s="11" t="n">
        <f aca="false">IF(OR(D142="",C142=""),"",D142-C142)</f>
        <v>-0.933</v>
      </c>
      <c r="G142" s="14" t="n">
        <f aca="false">IF(G141="","",G141+1)</f>
        <v>141</v>
      </c>
      <c r="H142" s="13"/>
      <c r="I142" s="12"/>
    </row>
    <row r="143" customFormat="false" ht="15" hidden="false" customHeight="false" outlineLevel="0" collapsed="false">
      <c r="A143" s="11" t="n">
        <f aca="false">IF(D142="","",D142)</f>
        <v>8</v>
      </c>
      <c r="B143" s="11" t="n">
        <f aca="false">IF(A143="","",(A143-(A143*0.067))/8)</f>
        <v>0.933</v>
      </c>
      <c r="C143" s="11" t="n">
        <f aca="false">IF(OR(A143="",B143=""),"",A143+B143)</f>
        <v>8.933</v>
      </c>
      <c r="D143" s="11" t="n">
        <f aca="false">IF(A143="","",A143+SUMIFS(Registros!$AP$2:$AP$401,Registros!$C$2:$C$401,H143))</f>
        <v>8</v>
      </c>
      <c r="E143" s="11" t="n">
        <f aca="false">IF(A143="","",ROUND(A143*0.067,2))</f>
        <v>0.54</v>
      </c>
      <c r="F143" s="11" t="n">
        <f aca="false">IF(OR(D143="",C143=""),"",D143-C143)</f>
        <v>-0.933</v>
      </c>
      <c r="G143" s="14" t="n">
        <f aca="false">IF(G142="","",G142+1)</f>
        <v>142</v>
      </c>
      <c r="H143" s="13"/>
      <c r="I143" s="12"/>
    </row>
    <row r="144" customFormat="false" ht="15" hidden="false" customHeight="false" outlineLevel="0" collapsed="false">
      <c r="A144" s="11" t="n">
        <f aca="false">IF(D143="","",D143)</f>
        <v>8</v>
      </c>
      <c r="B144" s="11" t="n">
        <f aca="false">IF(A144="","",(A144-(A144*0.067))/8)</f>
        <v>0.933</v>
      </c>
      <c r="C144" s="11" t="n">
        <f aca="false">IF(OR(A144="",B144=""),"",A144+B144)</f>
        <v>8.933</v>
      </c>
      <c r="D144" s="11" t="n">
        <f aca="false">IF(A144="","",A144+SUMIFS(Registros!$AP$2:$AP$401,Registros!$C$2:$C$401,H144))</f>
        <v>8</v>
      </c>
      <c r="E144" s="11" t="n">
        <f aca="false">IF(A144="","",ROUND(A144*0.067,2))</f>
        <v>0.54</v>
      </c>
      <c r="F144" s="11" t="n">
        <f aca="false">IF(OR(D144="",C144=""),"",D144-C144)</f>
        <v>-0.933</v>
      </c>
      <c r="G144" s="14" t="n">
        <f aca="false">IF(G143="","",G143+1)</f>
        <v>143</v>
      </c>
      <c r="H144" s="13"/>
      <c r="I144" s="12"/>
    </row>
    <row r="145" customFormat="false" ht="15" hidden="false" customHeight="false" outlineLevel="0" collapsed="false">
      <c r="A145" s="11" t="n">
        <f aca="false">IF(D144="","",D144)</f>
        <v>8</v>
      </c>
      <c r="B145" s="11" t="n">
        <f aca="false">IF(A145="","",(A145-(A145*0.067))/8)</f>
        <v>0.933</v>
      </c>
      <c r="C145" s="11" t="n">
        <f aca="false">IF(OR(A145="",B145=""),"",A145+B145)</f>
        <v>8.933</v>
      </c>
      <c r="D145" s="11" t="n">
        <f aca="false">IF(A145="","",A145+SUMIFS(Registros!$AP$2:$AP$401,Registros!$C$2:$C$401,H145))</f>
        <v>8</v>
      </c>
      <c r="E145" s="11" t="n">
        <f aca="false">IF(A145="","",ROUND(A145*0.067,2))</f>
        <v>0.54</v>
      </c>
      <c r="F145" s="11" t="n">
        <f aca="false">IF(OR(D145="",C145=""),"",D145-C145)</f>
        <v>-0.933</v>
      </c>
      <c r="G145" s="14" t="n">
        <f aca="false">IF(G144="","",G144+1)</f>
        <v>144</v>
      </c>
      <c r="H145" s="13"/>
      <c r="I145" s="12"/>
    </row>
    <row r="146" customFormat="false" ht="15" hidden="false" customHeight="false" outlineLevel="0" collapsed="false">
      <c r="A146" s="11" t="n">
        <f aca="false">IF(D145="","",D145)</f>
        <v>8</v>
      </c>
      <c r="B146" s="11" t="n">
        <f aca="false">IF(A146="","",(A146-(A146*0.067))/8)</f>
        <v>0.933</v>
      </c>
      <c r="C146" s="11" t="n">
        <f aca="false">IF(OR(A146="",B146=""),"",A146+B146)</f>
        <v>8.933</v>
      </c>
      <c r="D146" s="11" t="n">
        <f aca="false">IF(A146="","",A146+SUMIFS(Registros!$AP$2:$AP$401,Registros!$C$2:$C$401,H146))</f>
        <v>8</v>
      </c>
      <c r="E146" s="11" t="n">
        <f aca="false">IF(A146="","",ROUND(A146*0.067,2))</f>
        <v>0.54</v>
      </c>
      <c r="F146" s="11" t="n">
        <f aca="false">IF(OR(D146="",C146=""),"",D146-C146)</f>
        <v>-0.933</v>
      </c>
      <c r="G146" s="14" t="n">
        <f aca="false">IF(G145="","",G145+1)</f>
        <v>145</v>
      </c>
      <c r="H146" s="13"/>
      <c r="I146" s="12"/>
    </row>
    <row r="147" customFormat="false" ht="15" hidden="false" customHeight="false" outlineLevel="0" collapsed="false">
      <c r="A147" s="11" t="n">
        <f aca="false">IF(D146="","",D146)</f>
        <v>8</v>
      </c>
      <c r="B147" s="11" t="n">
        <f aca="false">IF(A147="","",(A147-(A147*0.067))/8)</f>
        <v>0.933</v>
      </c>
      <c r="C147" s="11" t="n">
        <f aca="false">IF(OR(A147="",B147=""),"",A147+B147)</f>
        <v>8.933</v>
      </c>
      <c r="D147" s="11" t="n">
        <f aca="false">IF(A147="","",A147+SUMIFS(Registros!$AP$2:$AP$401,Registros!$C$2:$C$401,H147))</f>
        <v>8</v>
      </c>
      <c r="E147" s="11" t="n">
        <f aca="false">IF(A147="","",ROUND(A147*0.067,2))</f>
        <v>0.54</v>
      </c>
      <c r="F147" s="11" t="n">
        <f aca="false">IF(OR(D147="",C147=""),"",D147-C147)</f>
        <v>-0.933</v>
      </c>
      <c r="G147" s="14" t="n">
        <f aca="false">IF(G146="","",G146+1)</f>
        <v>146</v>
      </c>
      <c r="H147" s="13"/>
      <c r="I147" s="12"/>
    </row>
    <row r="148" customFormat="false" ht="15" hidden="false" customHeight="false" outlineLevel="0" collapsed="false">
      <c r="A148" s="11" t="n">
        <f aca="false">IF(D147="","",D147)</f>
        <v>8</v>
      </c>
      <c r="B148" s="11" t="n">
        <f aca="false">IF(A148="","",(A148-(A148*0.067))/8)</f>
        <v>0.933</v>
      </c>
      <c r="C148" s="11" t="n">
        <f aca="false">IF(OR(A148="",B148=""),"",A148+B148)</f>
        <v>8.933</v>
      </c>
      <c r="D148" s="11" t="n">
        <f aca="false">IF(A148="","",A148+SUMIFS(Registros!$AP$2:$AP$401,Registros!$C$2:$C$401,H148))</f>
        <v>8</v>
      </c>
      <c r="E148" s="11" t="n">
        <f aca="false">IF(A148="","",ROUND(A148*0.067,2))</f>
        <v>0.54</v>
      </c>
      <c r="F148" s="11" t="n">
        <f aca="false">IF(OR(D148="",C148=""),"",D148-C148)</f>
        <v>-0.933</v>
      </c>
      <c r="G148" s="14" t="n">
        <f aca="false">IF(G147="","",G147+1)</f>
        <v>147</v>
      </c>
      <c r="H148" s="13"/>
      <c r="I148" s="12"/>
    </row>
    <row r="149" customFormat="false" ht="15" hidden="false" customHeight="false" outlineLevel="0" collapsed="false">
      <c r="A149" s="11" t="n">
        <f aca="false">IF(D148="","",D148)</f>
        <v>8</v>
      </c>
      <c r="B149" s="11" t="n">
        <f aca="false">IF(A149="","",(A149-(A149*0.067))/8)</f>
        <v>0.933</v>
      </c>
      <c r="C149" s="11" t="n">
        <f aca="false">IF(OR(A149="",B149=""),"",A149+B149)</f>
        <v>8.933</v>
      </c>
      <c r="D149" s="11" t="n">
        <f aca="false">IF(A149="","",A149+SUMIFS(Registros!$AP$2:$AP$401,Registros!$C$2:$C$401,H149))</f>
        <v>8</v>
      </c>
      <c r="E149" s="11" t="n">
        <f aca="false">IF(A149="","",ROUND(A149*0.067,2))</f>
        <v>0.54</v>
      </c>
      <c r="F149" s="11" t="n">
        <f aca="false">IF(OR(D149="",C149=""),"",D149-C149)</f>
        <v>-0.933</v>
      </c>
      <c r="G149" s="14" t="n">
        <f aca="false">IF(G148="","",G148+1)</f>
        <v>148</v>
      </c>
      <c r="H149" s="13"/>
      <c r="I149" s="12"/>
    </row>
    <row r="150" customFormat="false" ht="15" hidden="false" customHeight="false" outlineLevel="0" collapsed="false">
      <c r="A150" s="11" t="n">
        <f aca="false">IF(D149="","",D149)</f>
        <v>8</v>
      </c>
      <c r="B150" s="11" t="n">
        <f aca="false">IF(A150="","",(A150-(A150*0.067))/8)</f>
        <v>0.933</v>
      </c>
      <c r="C150" s="11" t="n">
        <f aca="false">IF(OR(A150="",B150=""),"",A150+B150)</f>
        <v>8.933</v>
      </c>
      <c r="D150" s="11" t="n">
        <f aca="false">IF(A150="","",A150+SUMIFS(Registros!$AP$2:$AP$401,Registros!$C$2:$C$401,H150))</f>
        <v>8</v>
      </c>
      <c r="E150" s="11" t="n">
        <f aca="false">IF(A150="","",ROUND(A150*0.067,2))</f>
        <v>0.54</v>
      </c>
      <c r="F150" s="11" t="n">
        <f aca="false">IF(OR(D150="",C150=""),"",D150-C150)</f>
        <v>-0.933</v>
      </c>
      <c r="G150" s="14" t="n">
        <f aca="false">IF(G149="","",G149+1)</f>
        <v>149</v>
      </c>
      <c r="H150" s="13"/>
      <c r="I150" s="12"/>
    </row>
    <row r="151" customFormat="false" ht="15" hidden="false" customHeight="false" outlineLevel="0" collapsed="false">
      <c r="A151" s="11" t="n">
        <f aca="false">IF(D150="","",D150)</f>
        <v>8</v>
      </c>
      <c r="B151" s="11" t="n">
        <f aca="false">IF(A151="","",(A151-(A151*0.067))/8)</f>
        <v>0.933</v>
      </c>
      <c r="C151" s="11" t="n">
        <f aca="false">IF(OR(A151="",B151=""),"",A151+B151)</f>
        <v>8.933</v>
      </c>
      <c r="D151" s="11" t="n">
        <f aca="false">IF(A151="","",A151+SUMIFS(Registros!$AP$2:$AP$401,Registros!$C$2:$C$401,H151))</f>
        <v>8</v>
      </c>
      <c r="E151" s="11" t="n">
        <f aca="false">IF(A151="","",ROUND(A151*0.067,2))</f>
        <v>0.54</v>
      </c>
      <c r="F151" s="11" t="n">
        <f aca="false">IF(OR(D151="",C151=""),"",D151-C151)</f>
        <v>-0.933</v>
      </c>
      <c r="G151" s="14" t="n">
        <f aca="false">IF(G150="","",G150+1)</f>
        <v>150</v>
      </c>
      <c r="H151" s="13"/>
      <c r="I151" s="12"/>
    </row>
    <row r="152" customFormat="false" ht="15" hidden="false" customHeight="false" outlineLevel="0" collapsed="false">
      <c r="A152" s="11" t="n">
        <f aca="false">IF(D151="","",D151)</f>
        <v>8</v>
      </c>
      <c r="B152" s="11" t="n">
        <f aca="false">IF(A152="","",(A152-(A152*0.067))/8)</f>
        <v>0.933</v>
      </c>
      <c r="C152" s="11" t="n">
        <f aca="false">IF(OR(A152="",B152=""),"",A152+B152)</f>
        <v>8.933</v>
      </c>
      <c r="D152" s="11" t="n">
        <f aca="false">IF(A152="","",A152+SUMIFS(Registros!$AP$2:$AP$401,Registros!$C$2:$C$401,H152))</f>
        <v>8</v>
      </c>
      <c r="E152" s="11" t="n">
        <f aca="false">IF(A152="","",ROUND(A152*0.067,2))</f>
        <v>0.54</v>
      </c>
      <c r="F152" s="11" t="n">
        <f aca="false">IF(OR(D152="",C152=""),"",D152-C152)</f>
        <v>-0.933</v>
      </c>
      <c r="G152" s="14" t="n">
        <f aca="false">IF(G151="","",G151+1)</f>
        <v>151</v>
      </c>
      <c r="H152" s="13"/>
      <c r="I152" s="12"/>
    </row>
    <row r="153" customFormat="false" ht="15" hidden="false" customHeight="false" outlineLevel="0" collapsed="false">
      <c r="A153" s="11" t="n">
        <f aca="false">IF(D152="","",D152)</f>
        <v>8</v>
      </c>
      <c r="B153" s="11" t="n">
        <f aca="false">IF(A153="","",(A153-(A153*0.067))/8)</f>
        <v>0.933</v>
      </c>
      <c r="C153" s="11" t="n">
        <f aca="false">IF(OR(A153="",B153=""),"",A153+B153)</f>
        <v>8.933</v>
      </c>
      <c r="D153" s="11" t="n">
        <f aca="false">IF(A153="","",A153+SUMIFS(Registros!$AP$2:$AP$401,Registros!$C$2:$C$401,H153))</f>
        <v>8</v>
      </c>
      <c r="E153" s="11" t="n">
        <f aca="false">IF(A153="","",ROUND(A153*0.067,2))</f>
        <v>0.54</v>
      </c>
      <c r="F153" s="11" t="n">
        <f aca="false">IF(OR(D153="",C153=""),"",D153-C153)</f>
        <v>-0.933</v>
      </c>
      <c r="G153" s="14" t="n">
        <f aca="false">IF(G152="","",G152+1)</f>
        <v>152</v>
      </c>
      <c r="H153" s="13"/>
      <c r="I153" s="12"/>
    </row>
    <row r="154" customFormat="false" ht="15" hidden="false" customHeight="false" outlineLevel="0" collapsed="false">
      <c r="A154" s="11" t="n">
        <f aca="false">IF(D153="","",D153)</f>
        <v>8</v>
      </c>
      <c r="B154" s="11" t="n">
        <f aca="false">IF(A154="","",(A154-(A154*0.067))/8)</f>
        <v>0.933</v>
      </c>
      <c r="C154" s="11" t="n">
        <f aca="false">IF(OR(A154="",B154=""),"",A154+B154)</f>
        <v>8.933</v>
      </c>
      <c r="D154" s="11" t="n">
        <f aca="false">IF(A154="","",A154+SUMIFS(Registros!$AP$2:$AP$401,Registros!$C$2:$C$401,H154))</f>
        <v>8</v>
      </c>
      <c r="E154" s="11" t="n">
        <f aca="false">IF(A154="","",ROUND(A154*0.067,2))</f>
        <v>0.54</v>
      </c>
      <c r="F154" s="11" t="n">
        <f aca="false">IF(OR(D154="",C154=""),"",D154-C154)</f>
        <v>-0.933</v>
      </c>
      <c r="G154" s="14" t="n">
        <f aca="false">IF(G153="","",G153+1)</f>
        <v>153</v>
      </c>
      <c r="H154" s="13"/>
      <c r="I154" s="12"/>
    </row>
    <row r="155" customFormat="false" ht="15" hidden="false" customHeight="false" outlineLevel="0" collapsed="false">
      <c r="A155" s="11" t="n">
        <f aca="false">IF(D154="","",D154)</f>
        <v>8</v>
      </c>
      <c r="B155" s="11" t="n">
        <f aca="false">IF(A155="","",(A155-(A155*0.067))/8)</f>
        <v>0.933</v>
      </c>
      <c r="C155" s="11" t="n">
        <f aca="false">IF(OR(A155="",B155=""),"",A155+B155)</f>
        <v>8.933</v>
      </c>
      <c r="D155" s="11" t="n">
        <f aca="false">IF(A155="","",A155+SUMIFS(Registros!$AP$2:$AP$401,Registros!$C$2:$C$401,H155))</f>
        <v>8</v>
      </c>
      <c r="E155" s="11" t="n">
        <f aca="false">IF(A155="","",ROUND(A155*0.067,2))</f>
        <v>0.54</v>
      </c>
      <c r="F155" s="11" t="n">
        <f aca="false">IF(OR(D155="",C155=""),"",D155-C155)</f>
        <v>-0.933</v>
      </c>
      <c r="G155" s="14" t="n">
        <f aca="false">IF(G154="","",G154+1)</f>
        <v>154</v>
      </c>
      <c r="H155" s="13"/>
      <c r="I155" s="12"/>
    </row>
    <row r="156" customFormat="false" ht="15" hidden="false" customHeight="false" outlineLevel="0" collapsed="false">
      <c r="A156" s="11" t="n">
        <f aca="false">IF(D155="","",D155)</f>
        <v>8</v>
      </c>
      <c r="B156" s="11" t="n">
        <f aca="false">IF(A156="","",(A156-(A156*0.067))/8)</f>
        <v>0.933</v>
      </c>
      <c r="C156" s="11" t="n">
        <f aca="false">IF(OR(A156="",B156=""),"",A156+B156)</f>
        <v>8.933</v>
      </c>
      <c r="D156" s="11" t="n">
        <f aca="false">IF(A156="","",A156+SUMIFS(Registros!$AP$2:$AP$401,Registros!$C$2:$C$401,H156))</f>
        <v>8</v>
      </c>
      <c r="E156" s="11" t="n">
        <f aca="false">IF(A156="","",ROUND(A156*0.067,2))</f>
        <v>0.54</v>
      </c>
      <c r="F156" s="11" t="n">
        <f aca="false">IF(OR(D156="",C156=""),"",D156-C156)</f>
        <v>-0.933</v>
      </c>
      <c r="G156" s="14" t="n">
        <f aca="false">IF(G155="","",G155+1)</f>
        <v>155</v>
      </c>
      <c r="H156" s="13"/>
      <c r="I156" s="12"/>
    </row>
    <row r="157" customFormat="false" ht="15" hidden="false" customHeight="false" outlineLevel="0" collapsed="false">
      <c r="A157" s="11" t="n">
        <f aca="false">IF(D156="","",D156)</f>
        <v>8</v>
      </c>
      <c r="B157" s="11" t="n">
        <f aca="false">IF(A157="","",(A157-(A157*0.067))/8)</f>
        <v>0.933</v>
      </c>
      <c r="C157" s="11" t="n">
        <f aca="false">IF(OR(A157="",B157=""),"",A157+B157)</f>
        <v>8.933</v>
      </c>
      <c r="D157" s="11" t="n">
        <f aca="false">IF(A157="","",A157+SUMIFS(Registros!$AP$2:$AP$401,Registros!$C$2:$C$401,H157))</f>
        <v>8</v>
      </c>
      <c r="E157" s="11" t="n">
        <f aca="false">IF(A157="","",ROUND(A157*0.067,2))</f>
        <v>0.54</v>
      </c>
      <c r="F157" s="11" t="n">
        <f aca="false">IF(OR(D157="",C157=""),"",D157-C157)</f>
        <v>-0.933</v>
      </c>
      <c r="G157" s="14" t="n">
        <f aca="false">IF(G156="","",G156+1)</f>
        <v>156</v>
      </c>
      <c r="H157" s="13"/>
      <c r="I157" s="12"/>
    </row>
    <row r="158" customFormat="false" ht="15" hidden="false" customHeight="false" outlineLevel="0" collapsed="false">
      <c r="A158" s="11" t="n">
        <f aca="false">IF(D157="","",D157)</f>
        <v>8</v>
      </c>
      <c r="B158" s="11" t="n">
        <f aca="false">IF(A158="","",(A158-(A158*0.067))/8)</f>
        <v>0.933</v>
      </c>
      <c r="C158" s="11" t="n">
        <f aca="false">IF(OR(A158="",B158=""),"",A158+B158)</f>
        <v>8.933</v>
      </c>
      <c r="D158" s="11" t="n">
        <f aca="false">IF(A158="","",A158+SUMIFS(Registros!$AP$2:$AP$401,Registros!$C$2:$C$401,H158))</f>
        <v>8</v>
      </c>
      <c r="E158" s="11" t="n">
        <f aca="false">IF(A158="","",ROUND(A158*0.067,2))</f>
        <v>0.54</v>
      </c>
      <c r="F158" s="11" t="n">
        <f aca="false">IF(OR(D158="",C158=""),"",D158-C158)</f>
        <v>-0.933</v>
      </c>
      <c r="G158" s="14" t="n">
        <f aca="false">IF(G157="","",G157+1)</f>
        <v>157</v>
      </c>
      <c r="H158" s="13"/>
      <c r="I158" s="12"/>
    </row>
    <row r="159" customFormat="false" ht="15" hidden="false" customHeight="false" outlineLevel="0" collapsed="false">
      <c r="A159" s="11" t="n">
        <f aca="false">IF(D158="","",D158)</f>
        <v>8</v>
      </c>
      <c r="B159" s="11" t="n">
        <f aca="false">IF(A159="","",(A159-(A159*0.067))/8)</f>
        <v>0.933</v>
      </c>
      <c r="C159" s="11" t="n">
        <f aca="false">IF(OR(A159="",B159=""),"",A159+B159)</f>
        <v>8.933</v>
      </c>
      <c r="D159" s="11" t="n">
        <f aca="false">IF(A159="","",A159+SUMIFS(Registros!$AP$2:$AP$401,Registros!$C$2:$C$401,H159))</f>
        <v>8</v>
      </c>
      <c r="E159" s="11" t="n">
        <f aca="false">IF(A159="","",ROUND(A159*0.067,2))</f>
        <v>0.54</v>
      </c>
      <c r="F159" s="11" t="n">
        <f aca="false">IF(OR(D159="",C159=""),"",D159-C159)</f>
        <v>-0.933</v>
      </c>
      <c r="G159" s="14" t="n">
        <f aca="false">IF(G158="","",G158+1)</f>
        <v>158</v>
      </c>
      <c r="H159" s="13"/>
      <c r="I159" s="12"/>
    </row>
    <row r="160" customFormat="false" ht="15" hidden="false" customHeight="false" outlineLevel="0" collapsed="false">
      <c r="A160" s="11" t="n">
        <f aca="false">IF(D159="","",D159)</f>
        <v>8</v>
      </c>
      <c r="B160" s="11" t="n">
        <f aca="false">IF(A160="","",(A160-(A160*0.067))/8)</f>
        <v>0.933</v>
      </c>
      <c r="C160" s="11" t="n">
        <f aca="false">IF(OR(A160="",B160=""),"",A160+B160)</f>
        <v>8.933</v>
      </c>
      <c r="D160" s="11" t="n">
        <f aca="false">IF(A160="","",A160+SUMIFS(Registros!$AP$2:$AP$401,Registros!$C$2:$C$401,H160))</f>
        <v>8</v>
      </c>
      <c r="E160" s="11" t="n">
        <f aca="false">IF(A160="","",ROUND(A160*0.067,2))</f>
        <v>0.54</v>
      </c>
      <c r="F160" s="11" t="n">
        <f aca="false">IF(OR(D160="",C160=""),"",D160-C160)</f>
        <v>-0.933</v>
      </c>
      <c r="G160" s="14" t="n">
        <f aca="false">IF(G159="","",G159+1)</f>
        <v>159</v>
      </c>
      <c r="H160" s="13"/>
      <c r="I160" s="12"/>
    </row>
    <row r="161" customFormat="false" ht="15" hidden="false" customHeight="false" outlineLevel="0" collapsed="false">
      <c r="A161" s="11" t="n">
        <f aca="false">IF(D160="","",D160)</f>
        <v>8</v>
      </c>
      <c r="B161" s="11" t="n">
        <f aca="false">IF(A161="","",(A161-(A161*0.067))/8)</f>
        <v>0.933</v>
      </c>
      <c r="C161" s="11" t="n">
        <f aca="false">IF(OR(A161="",B161=""),"",A161+B161)</f>
        <v>8.933</v>
      </c>
      <c r="D161" s="11" t="n">
        <f aca="false">IF(A161="","",A161+SUMIFS(Registros!$AP$2:$AP$401,Registros!$C$2:$C$401,H161))</f>
        <v>8</v>
      </c>
      <c r="E161" s="11" t="n">
        <f aca="false">IF(A161="","",ROUND(A161*0.067,2))</f>
        <v>0.54</v>
      </c>
      <c r="F161" s="11" t="n">
        <f aca="false">IF(OR(D161="",C161=""),"",D161-C161)</f>
        <v>-0.933</v>
      </c>
      <c r="G161" s="14" t="n">
        <f aca="false">IF(G160="","",G160+1)</f>
        <v>160</v>
      </c>
      <c r="H161" s="13"/>
      <c r="I161" s="12"/>
    </row>
    <row r="162" customFormat="false" ht="15" hidden="false" customHeight="false" outlineLevel="0" collapsed="false">
      <c r="A162" s="11" t="n">
        <f aca="false">IF(D161="","",D161)</f>
        <v>8</v>
      </c>
      <c r="B162" s="11" t="n">
        <f aca="false">IF(A162="","",(A162-(A162*0.067))/8)</f>
        <v>0.933</v>
      </c>
      <c r="C162" s="11" t="n">
        <f aca="false">IF(OR(A162="",B162=""),"",A162+B162)</f>
        <v>8.933</v>
      </c>
      <c r="D162" s="11" t="n">
        <f aca="false">IF(A162="","",A162+SUMIFS(Registros!$AP$2:$AP$401,Registros!$C$2:$C$401,H162))</f>
        <v>8</v>
      </c>
      <c r="E162" s="11" t="n">
        <f aca="false">IF(A162="","",ROUND(A162*0.067,2))</f>
        <v>0.54</v>
      </c>
      <c r="F162" s="11" t="n">
        <f aca="false">IF(OR(D162="",C162=""),"",D162-C162)</f>
        <v>-0.933</v>
      </c>
      <c r="G162" s="14" t="n">
        <f aca="false">IF(G161="","",G161+1)</f>
        <v>161</v>
      </c>
      <c r="H162" s="13"/>
      <c r="I162" s="12"/>
    </row>
    <row r="163" customFormat="false" ht="15" hidden="false" customHeight="false" outlineLevel="0" collapsed="false">
      <c r="A163" s="11" t="n">
        <f aca="false">IF(D162="","",D162)</f>
        <v>8</v>
      </c>
      <c r="B163" s="11" t="n">
        <f aca="false">IF(A163="","",(A163-(A163*0.067))/8)</f>
        <v>0.933</v>
      </c>
      <c r="C163" s="11" t="n">
        <f aca="false">IF(OR(A163="",B163=""),"",A163+B163)</f>
        <v>8.933</v>
      </c>
      <c r="D163" s="11" t="n">
        <f aca="false">IF(A163="","",A163+SUMIFS(Registros!$AP$2:$AP$401,Registros!$C$2:$C$401,H163))</f>
        <v>8</v>
      </c>
      <c r="E163" s="11" t="n">
        <f aca="false">IF(A163="","",ROUND(A163*0.067,2))</f>
        <v>0.54</v>
      </c>
      <c r="F163" s="11" t="n">
        <f aca="false">IF(OR(D163="",C163=""),"",D163-C163)</f>
        <v>-0.933</v>
      </c>
      <c r="G163" s="14" t="n">
        <f aca="false">IF(G162="","",G162+1)</f>
        <v>162</v>
      </c>
      <c r="H163" s="13"/>
      <c r="I163" s="12"/>
    </row>
    <row r="164" customFormat="false" ht="15" hidden="false" customHeight="false" outlineLevel="0" collapsed="false">
      <c r="A164" s="11" t="n">
        <f aca="false">IF(D163="","",D163)</f>
        <v>8</v>
      </c>
      <c r="B164" s="11" t="n">
        <f aca="false">IF(A164="","",(A164-(A164*0.067))/8)</f>
        <v>0.933</v>
      </c>
      <c r="C164" s="11" t="n">
        <f aca="false">IF(OR(A164="",B164=""),"",A164+B164)</f>
        <v>8.933</v>
      </c>
      <c r="D164" s="11" t="n">
        <f aca="false">IF(A164="","",A164+SUMIFS(Registros!$AP$2:$AP$401,Registros!$C$2:$C$401,H164))</f>
        <v>8</v>
      </c>
      <c r="E164" s="11" t="n">
        <f aca="false">IF(A164="","",ROUND(A164*0.067,2))</f>
        <v>0.54</v>
      </c>
      <c r="F164" s="11" t="n">
        <f aca="false">IF(OR(D164="",C164=""),"",D164-C164)</f>
        <v>-0.933</v>
      </c>
      <c r="G164" s="14" t="n">
        <f aca="false">IF(G163="","",G163+1)</f>
        <v>163</v>
      </c>
      <c r="H164" s="13"/>
      <c r="I164" s="12"/>
    </row>
    <row r="165" customFormat="false" ht="15" hidden="false" customHeight="false" outlineLevel="0" collapsed="false">
      <c r="A165" s="11" t="n">
        <f aca="false">IF(D164="","",D164)</f>
        <v>8</v>
      </c>
      <c r="B165" s="11" t="n">
        <f aca="false">IF(A165="","",(A165-(A165*0.067))/8)</f>
        <v>0.933</v>
      </c>
      <c r="C165" s="11" t="n">
        <f aca="false">IF(OR(A165="",B165=""),"",A165+B165)</f>
        <v>8.933</v>
      </c>
      <c r="D165" s="11" t="n">
        <f aca="false">IF(A165="","",A165+SUMIFS(Registros!$AP$2:$AP$401,Registros!$C$2:$C$401,H165))</f>
        <v>8</v>
      </c>
      <c r="E165" s="11" t="n">
        <f aca="false">IF(A165="","",ROUND(A165*0.067,2))</f>
        <v>0.54</v>
      </c>
      <c r="F165" s="11" t="n">
        <f aca="false">IF(OR(D165="",C165=""),"",D165-C165)</f>
        <v>-0.933</v>
      </c>
      <c r="G165" s="14" t="n">
        <f aca="false">IF(G164="","",G164+1)</f>
        <v>164</v>
      </c>
      <c r="H165" s="13"/>
      <c r="I165" s="12"/>
    </row>
    <row r="166" customFormat="false" ht="15" hidden="false" customHeight="false" outlineLevel="0" collapsed="false">
      <c r="A166" s="11" t="n">
        <f aca="false">IF(D165="","",D165)</f>
        <v>8</v>
      </c>
      <c r="B166" s="11" t="n">
        <f aca="false">IF(A166="","",(A166-(A166*0.067))/8)</f>
        <v>0.933</v>
      </c>
      <c r="C166" s="11" t="n">
        <f aca="false">IF(OR(A166="",B166=""),"",A166+B166)</f>
        <v>8.933</v>
      </c>
      <c r="D166" s="11" t="n">
        <f aca="false">IF(A166="","",A166+SUMIFS(Registros!$AP$2:$AP$401,Registros!$C$2:$C$401,H166))</f>
        <v>8</v>
      </c>
      <c r="E166" s="11" t="n">
        <f aca="false">IF(A166="","",ROUND(A166*0.067,2))</f>
        <v>0.54</v>
      </c>
      <c r="F166" s="11" t="n">
        <f aca="false">IF(OR(D166="",C166=""),"",D166-C166)</f>
        <v>-0.933</v>
      </c>
      <c r="G166" s="14" t="n">
        <f aca="false">IF(G165="","",G165+1)</f>
        <v>165</v>
      </c>
      <c r="H166" s="13"/>
      <c r="I166" s="12"/>
    </row>
    <row r="167" customFormat="false" ht="15" hidden="false" customHeight="false" outlineLevel="0" collapsed="false">
      <c r="A167" s="11" t="n">
        <f aca="false">IF(D166="","",D166)</f>
        <v>8</v>
      </c>
      <c r="B167" s="11" t="n">
        <f aca="false">IF(A167="","",(A167-(A167*0.067))/8)</f>
        <v>0.933</v>
      </c>
      <c r="C167" s="11" t="n">
        <f aca="false">IF(OR(A167="",B167=""),"",A167+B167)</f>
        <v>8.933</v>
      </c>
      <c r="D167" s="11" t="n">
        <f aca="false">IF(A167="","",A167+SUMIFS(Registros!$AP$2:$AP$401,Registros!$C$2:$C$401,H167))</f>
        <v>8</v>
      </c>
      <c r="E167" s="11" t="n">
        <f aca="false">IF(A167="","",ROUND(A167*0.067,2))</f>
        <v>0.54</v>
      </c>
      <c r="F167" s="11" t="n">
        <f aca="false">IF(OR(D167="",C167=""),"",D167-C167)</f>
        <v>-0.933</v>
      </c>
      <c r="G167" s="14" t="n">
        <f aca="false">IF(G166="","",G166+1)</f>
        <v>166</v>
      </c>
      <c r="H167" s="13"/>
      <c r="I167" s="12"/>
    </row>
    <row r="168" customFormat="false" ht="15" hidden="false" customHeight="false" outlineLevel="0" collapsed="false">
      <c r="A168" s="11" t="n">
        <f aca="false">IF(D167="","",D167)</f>
        <v>8</v>
      </c>
      <c r="B168" s="11" t="n">
        <f aca="false">IF(A168="","",(A168-(A168*0.067))/8)</f>
        <v>0.933</v>
      </c>
      <c r="C168" s="11" t="n">
        <f aca="false">IF(OR(A168="",B168=""),"",A168+B168)</f>
        <v>8.933</v>
      </c>
      <c r="D168" s="11" t="n">
        <f aca="false">IF(A168="","",A168+SUMIFS(Registros!$AP$2:$AP$401,Registros!$C$2:$C$401,H168))</f>
        <v>8</v>
      </c>
      <c r="E168" s="11" t="n">
        <f aca="false">IF(A168="","",ROUND(A168*0.067,2))</f>
        <v>0.54</v>
      </c>
      <c r="F168" s="11" t="n">
        <f aca="false">IF(OR(D168="",C168=""),"",D168-C168)</f>
        <v>-0.933</v>
      </c>
      <c r="G168" s="14" t="n">
        <f aca="false">IF(G167="","",G167+1)</f>
        <v>167</v>
      </c>
      <c r="H168" s="13"/>
      <c r="I168" s="12"/>
    </row>
    <row r="169" customFormat="false" ht="15" hidden="false" customHeight="false" outlineLevel="0" collapsed="false">
      <c r="A169" s="11" t="n">
        <f aca="false">IF(D168="","",D168)</f>
        <v>8</v>
      </c>
      <c r="B169" s="11" t="n">
        <f aca="false">IF(A169="","",(A169-(A169*0.067))/8)</f>
        <v>0.933</v>
      </c>
      <c r="C169" s="11" t="n">
        <f aca="false">IF(OR(A169="",B169=""),"",A169+B169)</f>
        <v>8.933</v>
      </c>
      <c r="D169" s="11" t="n">
        <f aca="false">IF(A169="","",A169+SUMIFS(Registros!$AP$2:$AP$401,Registros!$C$2:$C$401,H169))</f>
        <v>8</v>
      </c>
      <c r="E169" s="11" t="n">
        <f aca="false">IF(A169="","",ROUND(A169*0.067,2))</f>
        <v>0.54</v>
      </c>
      <c r="F169" s="11" t="n">
        <f aca="false">IF(OR(D169="",C169=""),"",D169-C169)</f>
        <v>-0.933</v>
      </c>
      <c r="G169" s="14" t="n">
        <f aca="false">IF(G168="","",G168+1)</f>
        <v>168</v>
      </c>
      <c r="H169" s="13"/>
      <c r="I169" s="12"/>
    </row>
    <row r="170" customFormat="false" ht="15" hidden="false" customHeight="false" outlineLevel="0" collapsed="false">
      <c r="A170" s="11" t="n">
        <f aca="false">IF(D169="","",D169)</f>
        <v>8</v>
      </c>
      <c r="B170" s="11" t="n">
        <f aca="false">IF(A170="","",(A170-(A170*0.067))/8)</f>
        <v>0.933</v>
      </c>
      <c r="C170" s="11" t="n">
        <f aca="false">IF(OR(A170="",B170=""),"",A170+B170)</f>
        <v>8.933</v>
      </c>
      <c r="D170" s="11" t="n">
        <f aca="false">IF(A170="","",A170+SUMIFS(Registros!$AP$2:$AP$401,Registros!$C$2:$C$401,H170))</f>
        <v>8</v>
      </c>
      <c r="E170" s="11" t="n">
        <f aca="false">IF(A170="","",ROUND(A170*0.067,2))</f>
        <v>0.54</v>
      </c>
      <c r="F170" s="11" t="n">
        <f aca="false">IF(OR(D170="",C170=""),"",D170-C170)</f>
        <v>-0.933</v>
      </c>
      <c r="G170" s="14" t="n">
        <f aca="false">IF(G169="","",G169+1)</f>
        <v>169</v>
      </c>
      <c r="H170" s="13"/>
      <c r="I170" s="12"/>
    </row>
    <row r="171" customFormat="false" ht="15" hidden="false" customHeight="false" outlineLevel="0" collapsed="false">
      <c r="A171" s="11" t="n">
        <f aca="false">IF(D170="","",D170)</f>
        <v>8</v>
      </c>
      <c r="B171" s="11" t="n">
        <f aca="false">IF(A171="","",(A171-(A171*0.067))/8)</f>
        <v>0.933</v>
      </c>
      <c r="C171" s="11" t="n">
        <f aca="false">IF(OR(A171="",B171=""),"",A171+B171)</f>
        <v>8.933</v>
      </c>
      <c r="D171" s="11" t="n">
        <f aca="false">IF(A171="","",A171+SUMIFS(Registros!$AP$2:$AP$401,Registros!$C$2:$C$401,H171))</f>
        <v>8</v>
      </c>
      <c r="E171" s="11" t="n">
        <f aca="false">IF(A171="","",ROUND(A171*0.067,2))</f>
        <v>0.54</v>
      </c>
      <c r="F171" s="11" t="n">
        <f aca="false">IF(OR(D171="",C171=""),"",D171-C171)</f>
        <v>-0.933</v>
      </c>
      <c r="G171" s="14" t="n">
        <f aca="false">IF(G170="","",G170+1)</f>
        <v>170</v>
      </c>
      <c r="H171" s="13"/>
      <c r="I171" s="12"/>
    </row>
    <row r="172" customFormat="false" ht="15" hidden="false" customHeight="false" outlineLevel="0" collapsed="false">
      <c r="A172" s="11" t="n">
        <f aca="false">IF(D171="","",D171)</f>
        <v>8</v>
      </c>
      <c r="B172" s="11" t="n">
        <f aca="false">IF(A172="","",(A172-(A172*0.067))/8)</f>
        <v>0.933</v>
      </c>
      <c r="C172" s="11" t="n">
        <f aca="false">IF(OR(A172="",B172=""),"",A172+B172)</f>
        <v>8.933</v>
      </c>
      <c r="D172" s="11" t="n">
        <f aca="false">IF(A172="","",A172+SUMIFS(Registros!$AP$2:$AP$401,Registros!$C$2:$C$401,H172))</f>
        <v>8</v>
      </c>
      <c r="E172" s="11" t="n">
        <f aca="false">IF(A172="","",ROUND(A172*0.067,2))</f>
        <v>0.54</v>
      </c>
      <c r="F172" s="11" t="n">
        <f aca="false">IF(OR(D172="",C172=""),"",D172-C172)</f>
        <v>-0.933</v>
      </c>
      <c r="G172" s="14" t="n">
        <f aca="false">IF(G171="","",G171+1)</f>
        <v>171</v>
      </c>
      <c r="H172" s="13"/>
      <c r="I172" s="12"/>
    </row>
    <row r="173" customFormat="false" ht="15" hidden="false" customHeight="false" outlineLevel="0" collapsed="false">
      <c r="A173" s="11" t="n">
        <f aca="false">IF(D172="","",D172)</f>
        <v>8</v>
      </c>
      <c r="B173" s="11" t="n">
        <f aca="false">IF(A173="","",(A173-(A173*0.067))/8)</f>
        <v>0.933</v>
      </c>
      <c r="C173" s="11" t="n">
        <f aca="false">IF(OR(A173="",B173=""),"",A173+B173)</f>
        <v>8.933</v>
      </c>
      <c r="D173" s="11" t="n">
        <f aca="false">IF(A173="","",A173+SUMIFS(Registros!$AP$2:$AP$401,Registros!$C$2:$C$401,H173))</f>
        <v>8</v>
      </c>
      <c r="E173" s="11" t="n">
        <f aca="false">IF(A173="","",ROUND(A173*0.067,2))</f>
        <v>0.54</v>
      </c>
      <c r="F173" s="11" t="n">
        <f aca="false">IF(OR(D173="",C173=""),"",D173-C173)</f>
        <v>-0.933</v>
      </c>
      <c r="G173" s="14" t="n">
        <f aca="false">IF(G172="","",G172+1)</f>
        <v>172</v>
      </c>
      <c r="H173" s="13"/>
      <c r="I173" s="12"/>
    </row>
    <row r="174" customFormat="false" ht="15" hidden="false" customHeight="false" outlineLevel="0" collapsed="false">
      <c r="A174" s="11" t="n">
        <f aca="false">IF(D173="","",D173)</f>
        <v>8</v>
      </c>
      <c r="B174" s="11" t="n">
        <f aca="false">IF(A174="","",(A174-(A174*0.067))/8)</f>
        <v>0.933</v>
      </c>
      <c r="C174" s="11" t="n">
        <f aca="false">IF(OR(A174="",B174=""),"",A174+B174)</f>
        <v>8.933</v>
      </c>
      <c r="D174" s="11" t="n">
        <f aca="false">IF(A174="","",A174+SUMIFS(Registros!$AP$2:$AP$401,Registros!$C$2:$C$401,H174))</f>
        <v>8</v>
      </c>
      <c r="E174" s="11" t="n">
        <f aca="false">IF(A174="","",ROUND(A174*0.067,2))</f>
        <v>0.54</v>
      </c>
      <c r="F174" s="11" t="n">
        <f aca="false">IF(OR(D174="",C174=""),"",D174-C174)</f>
        <v>-0.933</v>
      </c>
      <c r="G174" s="14" t="n">
        <f aca="false">IF(G173="","",G173+1)</f>
        <v>173</v>
      </c>
      <c r="H174" s="13"/>
      <c r="I174" s="12"/>
    </row>
    <row r="175" customFormat="false" ht="15" hidden="false" customHeight="false" outlineLevel="0" collapsed="false">
      <c r="A175" s="11" t="n">
        <f aca="false">IF(D174="","",D174)</f>
        <v>8</v>
      </c>
      <c r="B175" s="11" t="n">
        <f aca="false">IF(A175="","",(A175-(A175*0.067))/8)</f>
        <v>0.933</v>
      </c>
      <c r="C175" s="11" t="n">
        <f aca="false">IF(OR(A175="",B175=""),"",A175+B175)</f>
        <v>8.933</v>
      </c>
      <c r="D175" s="11" t="n">
        <f aca="false">IF(A175="","",A175+SUMIFS(Registros!$AP$2:$AP$401,Registros!$C$2:$C$401,H175))</f>
        <v>8</v>
      </c>
      <c r="E175" s="11" t="n">
        <f aca="false">IF(A175="","",ROUND(A175*0.067,2))</f>
        <v>0.54</v>
      </c>
      <c r="F175" s="11" t="n">
        <f aca="false">IF(OR(D175="",C175=""),"",D175-C175)</f>
        <v>-0.933</v>
      </c>
      <c r="G175" s="14" t="n">
        <f aca="false">IF(G174="","",G174+1)</f>
        <v>174</v>
      </c>
      <c r="H175" s="13"/>
      <c r="I175" s="12"/>
    </row>
    <row r="176" customFormat="false" ht="15" hidden="false" customHeight="false" outlineLevel="0" collapsed="false">
      <c r="A176" s="11" t="n">
        <f aca="false">IF(D175="","",D175)</f>
        <v>8</v>
      </c>
      <c r="B176" s="11" t="n">
        <f aca="false">IF(A176="","",(A176-(A176*0.067))/8)</f>
        <v>0.933</v>
      </c>
      <c r="C176" s="11" t="n">
        <f aca="false">IF(OR(A176="",B176=""),"",A176+B176)</f>
        <v>8.933</v>
      </c>
      <c r="D176" s="11" t="n">
        <f aca="false">IF(A176="","",A176+SUMIFS(Registros!$AP$2:$AP$401,Registros!$C$2:$C$401,H176))</f>
        <v>8</v>
      </c>
      <c r="E176" s="11" t="n">
        <f aca="false">IF(A176="","",ROUND(A176*0.067,2))</f>
        <v>0.54</v>
      </c>
      <c r="F176" s="11" t="n">
        <f aca="false">IF(OR(D176="",C176=""),"",D176-C176)</f>
        <v>-0.933</v>
      </c>
      <c r="G176" s="14" t="n">
        <f aca="false">IF(G175="","",G175+1)</f>
        <v>175</v>
      </c>
      <c r="H176" s="13"/>
      <c r="I176" s="12"/>
    </row>
    <row r="177" customFormat="false" ht="15" hidden="false" customHeight="false" outlineLevel="0" collapsed="false">
      <c r="A177" s="11" t="n">
        <f aca="false">IF(D176="","",D176)</f>
        <v>8</v>
      </c>
      <c r="B177" s="11" t="n">
        <f aca="false">IF(A177="","",(A177-(A177*0.067))/8)</f>
        <v>0.933</v>
      </c>
      <c r="C177" s="11" t="n">
        <f aca="false">IF(OR(A177="",B177=""),"",A177+B177)</f>
        <v>8.933</v>
      </c>
      <c r="D177" s="11" t="n">
        <f aca="false">IF(A177="","",A177+SUMIFS(Registros!$AP$2:$AP$401,Registros!$C$2:$C$401,H177))</f>
        <v>8</v>
      </c>
      <c r="E177" s="11" t="n">
        <f aca="false">IF(A177="","",ROUND(A177*0.067,2))</f>
        <v>0.54</v>
      </c>
      <c r="F177" s="11" t="n">
        <f aca="false">IF(OR(D177="",C177=""),"",D177-C177)</f>
        <v>-0.933</v>
      </c>
      <c r="G177" s="14" t="n">
        <f aca="false">IF(G176="","",G176+1)</f>
        <v>176</v>
      </c>
      <c r="H177" s="13"/>
      <c r="I177" s="12"/>
    </row>
    <row r="178" customFormat="false" ht="15" hidden="false" customHeight="false" outlineLevel="0" collapsed="false">
      <c r="A178" s="11" t="n">
        <f aca="false">IF(D177="","",D177)</f>
        <v>8</v>
      </c>
      <c r="B178" s="11" t="n">
        <f aca="false">IF(A178="","",(A178-(A178*0.067))/8)</f>
        <v>0.933</v>
      </c>
      <c r="C178" s="11" t="n">
        <f aca="false">IF(OR(A178="",B178=""),"",A178+B178)</f>
        <v>8.933</v>
      </c>
      <c r="D178" s="11" t="n">
        <f aca="false">IF(A178="","",A178+SUMIFS(Registros!$AP$2:$AP$401,Registros!$C$2:$C$401,H178))</f>
        <v>8</v>
      </c>
      <c r="E178" s="11" t="n">
        <f aca="false">IF(A178="","",ROUND(A178*0.067,2))</f>
        <v>0.54</v>
      </c>
      <c r="F178" s="11" t="n">
        <f aca="false">IF(OR(D178="",C178=""),"",D178-C178)</f>
        <v>-0.933</v>
      </c>
      <c r="G178" s="14" t="n">
        <f aca="false">IF(G177="","",G177+1)</f>
        <v>177</v>
      </c>
      <c r="H178" s="13"/>
      <c r="I178" s="12"/>
    </row>
    <row r="179" customFormat="false" ht="15" hidden="false" customHeight="false" outlineLevel="0" collapsed="false">
      <c r="A179" s="11" t="n">
        <f aca="false">IF(D178="","",D178)</f>
        <v>8</v>
      </c>
      <c r="B179" s="11" t="n">
        <f aca="false">IF(A179="","",(A179-(A179*0.067))/8)</f>
        <v>0.933</v>
      </c>
      <c r="C179" s="11" t="n">
        <f aca="false">IF(OR(A179="",B179=""),"",A179+B179)</f>
        <v>8.933</v>
      </c>
      <c r="D179" s="11" t="n">
        <f aca="false">IF(A179="","",A179+SUMIFS(Registros!$AP$2:$AP$401,Registros!$C$2:$C$401,H179))</f>
        <v>8</v>
      </c>
      <c r="E179" s="11" t="n">
        <f aca="false">IF(A179="","",ROUND(A179*0.067,2))</f>
        <v>0.54</v>
      </c>
      <c r="F179" s="11" t="n">
        <f aca="false">IF(OR(D179="",C179=""),"",D179-C179)</f>
        <v>-0.933</v>
      </c>
      <c r="G179" s="14" t="n">
        <f aca="false">IF(G178="","",G178+1)</f>
        <v>178</v>
      </c>
      <c r="H179" s="13"/>
      <c r="I179" s="12"/>
    </row>
    <row r="180" customFormat="false" ht="15" hidden="false" customHeight="false" outlineLevel="0" collapsed="false">
      <c r="A180" s="11" t="n">
        <f aca="false">IF(D179="","",D179)</f>
        <v>8</v>
      </c>
      <c r="B180" s="11" t="n">
        <f aca="false">IF(A180="","",(A180-(A180*0.067))/8)</f>
        <v>0.933</v>
      </c>
      <c r="C180" s="11" t="n">
        <f aca="false">IF(OR(A180="",B180=""),"",A180+B180)</f>
        <v>8.933</v>
      </c>
      <c r="D180" s="11" t="n">
        <f aca="false">IF(A180="","",A180+SUMIFS(Registros!$AP$2:$AP$401,Registros!$C$2:$C$401,H180))</f>
        <v>8</v>
      </c>
      <c r="E180" s="11" t="n">
        <f aca="false">IF(A180="","",ROUND(A180*0.067,2))</f>
        <v>0.54</v>
      </c>
      <c r="F180" s="11" t="n">
        <f aca="false">IF(OR(D180="",C180=""),"",D180-C180)</f>
        <v>-0.933</v>
      </c>
      <c r="G180" s="14" t="n">
        <f aca="false">IF(G179="","",G179+1)</f>
        <v>179</v>
      </c>
      <c r="H180" s="13"/>
      <c r="I180" s="12"/>
    </row>
    <row r="181" customFormat="false" ht="15" hidden="false" customHeight="false" outlineLevel="0" collapsed="false">
      <c r="A181" s="11" t="n">
        <f aca="false">IF(D180="","",D180)</f>
        <v>8</v>
      </c>
      <c r="B181" s="11" t="n">
        <f aca="false">IF(A181="","",(A181-(A181*0.067))/8)</f>
        <v>0.933</v>
      </c>
      <c r="C181" s="11" t="n">
        <f aca="false">IF(OR(A181="",B181=""),"",A181+B181)</f>
        <v>8.933</v>
      </c>
      <c r="D181" s="11" t="n">
        <f aca="false">IF(A181="","",A181+SUMIFS(Registros!$AP$2:$AP$401,Registros!$C$2:$C$401,H181))</f>
        <v>8</v>
      </c>
      <c r="E181" s="11" t="n">
        <f aca="false">IF(A181="","",ROUND(A181*0.067,2))</f>
        <v>0.54</v>
      </c>
      <c r="F181" s="11" t="n">
        <f aca="false">IF(OR(D181="",C181=""),"",D181-C181)</f>
        <v>-0.933</v>
      </c>
      <c r="G181" s="14" t="n">
        <f aca="false">IF(G180="","",G180+1)</f>
        <v>180</v>
      </c>
      <c r="H181" s="13"/>
      <c r="I181" s="12"/>
    </row>
    <row r="182" customFormat="false" ht="15" hidden="false" customHeight="false" outlineLevel="0" collapsed="false">
      <c r="A182" s="11" t="n">
        <f aca="false">IF(D181="","",D181)</f>
        <v>8</v>
      </c>
      <c r="B182" s="11" t="n">
        <f aca="false">IF(A182="","",(A182-(A182*0.067))/8)</f>
        <v>0.933</v>
      </c>
      <c r="C182" s="11" t="n">
        <f aca="false">IF(OR(A182="",B182=""),"",A182+B182)</f>
        <v>8.933</v>
      </c>
      <c r="D182" s="11" t="n">
        <f aca="false">IF(A182="","",A182+SUMIFS(Registros!$AP$2:$AP$401,Registros!$C$2:$C$401,H182))</f>
        <v>8</v>
      </c>
      <c r="E182" s="11" t="n">
        <f aca="false">IF(A182="","",ROUND(A182*0.067,2))</f>
        <v>0.54</v>
      </c>
      <c r="F182" s="11" t="n">
        <f aca="false">IF(OR(D182="",C182=""),"",D182-C182)</f>
        <v>-0.933</v>
      </c>
      <c r="G182" s="14" t="n">
        <f aca="false">IF(G181="","",G181+1)</f>
        <v>181</v>
      </c>
      <c r="H182" s="13"/>
      <c r="I182" s="12"/>
    </row>
    <row r="183" customFormat="false" ht="15" hidden="false" customHeight="false" outlineLevel="0" collapsed="false">
      <c r="A183" s="11" t="n">
        <f aca="false">IF(D182="","",D182)</f>
        <v>8</v>
      </c>
      <c r="B183" s="11" t="n">
        <f aca="false">IF(A183="","",(A183-(A183*0.067))/8)</f>
        <v>0.933</v>
      </c>
      <c r="C183" s="11" t="n">
        <f aca="false">IF(OR(A183="",B183=""),"",A183+B183)</f>
        <v>8.933</v>
      </c>
      <c r="D183" s="11" t="n">
        <f aca="false">IF(A183="","",A183+SUMIFS(Registros!$AP$2:$AP$401,Registros!$C$2:$C$401,H183))</f>
        <v>8</v>
      </c>
      <c r="E183" s="11" t="n">
        <f aca="false">IF(A183="","",ROUND(A183*0.067,2))</f>
        <v>0.54</v>
      </c>
      <c r="F183" s="11" t="n">
        <f aca="false">IF(OR(D183="",C183=""),"",D183-C183)</f>
        <v>-0.933</v>
      </c>
      <c r="G183" s="14" t="n">
        <f aca="false">IF(G182="","",G182+1)</f>
        <v>182</v>
      </c>
      <c r="H183" s="13"/>
      <c r="I183" s="12"/>
    </row>
    <row r="184" customFormat="false" ht="15" hidden="false" customHeight="false" outlineLevel="0" collapsed="false">
      <c r="A184" s="11" t="n">
        <f aca="false">IF(D183="","",D183)</f>
        <v>8</v>
      </c>
      <c r="B184" s="11" t="n">
        <f aca="false">IF(A184="","",(A184-(A184*0.067))/8)</f>
        <v>0.933</v>
      </c>
      <c r="C184" s="11" t="n">
        <f aca="false">IF(OR(A184="",B184=""),"",A184+B184)</f>
        <v>8.933</v>
      </c>
      <c r="D184" s="11" t="n">
        <f aca="false">IF(A184="","",A184+SUMIFS(Registros!$AP$2:$AP$401,Registros!$C$2:$C$401,H184))</f>
        <v>8</v>
      </c>
      <c r="E184" s="11" t="n">
        <f aca="false">IF(A184="","",ROUND(A184*0.067,2))</f>
        <v>0.54</v>
      </c>
      <c r="F184" s="11" t="n">
        <f aca="false">IF(OR(D184="",C184=""),"",D184-C184)</f>
        <v>-0.933</v>
      </c>
      <c r="G184" s="14" t="n">
        <f aca="false">IF(G183="","",G183+1)</f>
        <v>183</v>
      </c>
      <c r="H184" s="13"/>
      <c r="I184" s="12"/>
    </row>
    <row r="185" customFormat="false" ht="15" hidden="false" customHeight="false" outlineLevel="0" collapsed="false">
      <c r="A185" s="11" t="n">
        <f aca="false">IF(D184="","",D184)</f>
        <v>8</v>
      </c>
      <c r="B185" s="11" t="n">
        <f aca="false">IF(A185="","",(A185-(A185*0.067))/8)</f>
        <v>0.933</v>
      </c>
      <c r="C185" s="11" t="n">
        <f aca="false">IF(OR(A185="",B185=""),"",A185+B185)</f>
        <v>8.933</v>
      </c>
      <c r="D185" s="11" t="n">
        <f aca="false">IF(A185="","",A185+SUMIFS(Registros!$AP$2:$AP$401,Registros!$C$2:$C$401,H185))</f>
        <v>8</v>
      </c>
      <c r="E185" s="11" t="n">
        <f aca="false">IF(A185="","",ROUND(A185*0.067,2))</f>
        <v>0.54</v>
      </c>
      <c r="F185" s="11" t="n">
        <f aca="false">IF(OR(D185="",C185=""),"",D185-C185)</f>
        <v>-0.933</v>
      </c>
      <c r="G185" s="14" t="n">
        <f aca="false">IF(G184="","",G184+1)</f>
        <v>184</v>
      </c>
      <c r="H185" s="13"/>
      <c r="I185" s="12"/>
    </row>
    <row r="186" customFormat="false" ht="15" hidden="false" customHeight="false" outlineLevel="0" collapsed="false">
      <c r="A186" s="11" t="n">
        <f aca="false">IF(D185="","",D185)</f>
        <v>8</v>
      </c>
      <c r="B186" s="11" t="n">
        <f aca="false">IF(A186="","",(A186-(A186*0.067))/8)</f>
        <v>0.933</v>
      </c>
      <c r="C186" s="11" t="n">
        <f aca="false">IF(OR(A186="",B186=""),"",A186+B186)</f>
        <v>8.933</v>
      </c>
      <c r="D186" s="11" t="n">
        <f aca="false">IF(A186="","",A186+SUMIFS(Registros!$AP$2:$AP$401,Registros!$C$2:$C$401,H186))</f>
        <v>8</v>
      </c>
      <c r="E186" s="11" t="n">
        <f aca="false">IF(A186="","",ROUND(A186*0.067,2))</f>
        <v>0.54</v>
      </c>
      <c r="F186" s="11" t="n">
        <f aca="false">IF(OR(D186="",C186=""),"",D186-C186)</f>
        <v>-0.933</v>
      </c>
      <c r="G186" s="14" t="n">
        <f aca="false">IF(G185="","",G185+1)</f>
        <v>185</v>
      </c>
      <c r="H186" s="13"/>
      <c r="I186" s="12"/>
    </row>
    <row r="187" customFormat="false" ht="15" hidden="false" customHeight="false" outlineLevel="0" collapsed="false">
      <c r="A187" s="11" t="n">
        <f aca="false">IF(D186="","",D186)</f>
        <v>8</v>
      </c>
      <c r="B187" s="11" t="n">
        <f aca="false">IF(A187="","",(A187-(A187*0.067))/8)</f>
        <v>0.933</v>
      </c>
      <c r="C187" s="11" t="n">
        <f aca="false">IF(OR(A187="",B187=""),"",A187+B187)</f>
        <v>8.933</v>
      </c>
      <c r="D187" s="11" t="n">
        <f aca="false">IF(A187="","",A187+SUMIFS(Registros!$AP$2:$AP$401,Registros!$C$2:$C$401,H187))</f>
        <v>8</v>
      </c>
      <c r="E187" s="11" t="n">
        <f aca="false">IF(A187="","",ROUND(A187*0.067,2))</f>
        <v>0.54</v>
      </c>
      <c r="F187" s="11" t="n">
        <f aca="false">IF(OR(D187="",C187=""),"",D187-C187)</f>
        <v>-0.933</v>
      </c>
      <c r="G187" s="14" t="n">
        <f aca="false">IF(G186="","",G186+1)</f>
        <v>186</v>
      </c>
      <c r="H187" s="13"/>
      <c r="I187" s="12"/>
    </row>
    <row r="188" customFormat="false" ht="15" hidden="false" customHeight="false" outlineLevel="0" collapsed="false">
      <c r="A188" s="11" t="n">
        <f aca="false">IF(D187="","",D187)</f>
        <v>8</v>
      </c>
      <c r="B188" s="11" t="n">
        <f aca="false">IF(A188="","",(A188-(A188*0.067))/8)</f>
        <v>0.933</v>
      </c>
      <c r="C188" s="11" t="n">
        <f aca="false">IF(OR(A188="",B188=""),"",A188+B188)</f>
        <v>8.933</v>
      </c>
      <c r="D188" s="11" t="n">
        <f aca="false">IF(A188="","",A188+SUMIFS(Registros!$AP$2:$AP$401,Registros!$C$2:$C$401,H188))</f>
        <v>8</v>
      </c>
      <c r="E188" s="11" t="n">
        <f aca="false">IF(A188="","",ROUND(A188*0.067,2))</f>
        <v>0.54</v>
      </c>
      <c r="F188" s="11" t="n">
        <f aca="false">IF(OR(D188="",C188=""),"",D188-C188)</f>
        <v>-0.933</v>
      </c>
      <c r="G188" s="14" t="n">
        <f aca="false">IF(G187="","",G187+1)</f>
        <v>187</v>
      </c>
      <c r="H188" s="13"/>
      <c r="I188" s="12"/>
    </row>
    <row r="189" customFormat="false" ht="15" hidden="false" customHeight="false" outlineLevel="0" collapsed="false">
      <c r="A189" s="11" t="n">
        <f aca="false">IF(D188="","",D188)</f>
        <v>8</v>
      </c>
      <c r="B189" s="11" t="n">
        <f aca="false">IF(A189="","",(A189-(A189*0.067))/8)</f>
        <v>0.933</v>
      </c>
      <c r="C189" s="11" t="n">
        <f aca="false">IF(OR(A189="",B189=""),"",A189+B189)</f>
        <v>8.933</v>
      </c>
      <c r="D189" s="11" t="n">
        <f aca="false">IF(A189="","",A189+SUMIFS(Registros!$AP$2:$AP$401,Registros!$C$2:$C$401,H189))</f>
        <v>8</v>
      </c>
      <c r="E189" s="11" t="n">
        <f aca="false">IF(A189="","",ROUND(A189*0.067,2))</f>
        <v>0.54</v>
      </c>
      <c r="F189" s="11" t="n">
        <f aca="false">IF(OR(D189="",C189=""),"",D189-C189)</f>
        <v>-0.933</v>
      </c>
      <c r="G189" s="14" t="n">
        <f aca="false">IF(G188="","",G188+1)</f>
        <v>188</v>
      </c>
      <c r="H189" s="13"/>
      <c r="I189" s="12"/>
    </row>
    <row r="190" customFormat="false" ht="15" hidden="false" customHeight="false" outlineLevel="0" collapsed="false">
      <c r="A190" s="11" t="n">
        <f aca="false">IF(D189="","",D189)</f>
        <v>8</v>
      </c>
      <c r="B190" s="11" t="n">
        <f aca="false">IF(A190="","",(A190-(A190*0.067))/8)</f>
        <v>0.933</v>
      </c>
      <c r="C190" s="11" t="n">
        <f aca="false">IF(OR(A190="",B190=""),"",A190+B190)</f>
        <v>8.933</v>
      </c>
      <c r="D190" s="11" t="n">
        <f aca="false">IF(A190="","",A190+SUMIFS(Registros!$AP$2:$AP$401,Registros!$C$2:$C$401,H190))</f>
        <v>8</v>
      </c>
      <c r="E190" s="11" t="n">
        <f aca="false">IF(A190="","",ROUND(A190*0.067,2))</f>
        <v>0.54</v>
      </c>
      <c r="F190" s="11" t="n">
        <f aca="false">IF(OR(D190="",C190=""),"",D190-C190)</f>
        <v>-0.933</v>
      </c>
      <c r="G190" s="14" t="n">
        <f aca="false">IF(G189="","",G189+1)</f>
        <v>189</v>
      </c>
      <c r="H190" s="13"/>
      <c r="I190" s="12"/>
    </row>
    <row r="191" customFormat="false" ht="15" hidden="false" customHeight="false" outlineLevel="0" collapsed="false">
      <c r="A191" s="11" t="n">
        <f aca="false">IF(D190="","",D190)</f>
        <v>8</v>
      </c>
      <c r="B191" s="11" t="n">
        <f aca="false">IF(A191="","",(A191-(A191*0.067))/8)</f>
        <v>0.933</v>
      </c>
      <c r="C191" s="11" t="n">
        <f aca="false">IF(OR(A191="",B191=""),"",A191+B191)</f>
        <v>8.933</v>
      </c>
      <c r="D191" s="11" t="n">
        <f aca="false">IF(A191="","",A191+SUMIFS(Registros!$AP$2:$AP$401,Registros!$C$2:$C$401,H191))</f>
        <v>8</v>
      </c>
      <c r="E191" s="11" t="n">
        <f aca="false">IF(A191="","",ROUND(A191*0.067,2))</f>
        <v>0.54</v>
      </c>
      <c r="F191" s="11" t="n">
        <f aca="false">IF(OR(D191="",C191=""),"",D191-C191)</f>
        <v>-0.933</v>
      </c>
      <c r="G191" s="14" t="n">
        <f aca="false">IF(G190="","",G190+1)</f>
        <v>190</v>
      </c>
      <c r="H191" s="13"/>
      <c r="I191" s="12"/>
    </row>
    <row r="192" customFormat="false" ht="15" hidden="false" customHeight="false" outlineLevel="0" collapsed="false">
      <c r="A192" s="11" t="n">
        <f aca="false">IF(D191="","",D191)</f>
        <v>8</v>
      </c>
      <c r="B192" s="11" t="n">
        <f aca="false">IF(A192="","",(A192-(A192*0.067))/8)</f>
        <v>0.933</v>
      </c>
      <c r="C192" s="11" t="n">
        <f aca="false">IF(OR(A192="",B192=""),"",A192+B192)</f>
        <v>8.933</v>
      </c>
      <c r="D192" s="11" t="n">
        <f aca="false">IF(A192="","",A192+SUMIFS(Registros!$AP$2:$AP$401,Registros!$C$2:$C$401,H192))</f>
        <v>8</v>
      </c>
      <c r="E192" s="11" t="n">
        <f aca="false">IF(A192="","",ROUND(A192*0.067,2))</f>
        <v>0.54</v>
      </c>
      <c r="F192" s="11" t="n">
        <f aca="false">IF(OR(D192="",C192=""),"",D192-C192)</f>
        <v>-0.933</v>
      </c>
      <c r="G192" s="14" t="n">
        <f aca="false">IF(G191="","",G191+1)</f>
        <v>191</v>
      </c>
      <c r="H192" s="13"/>
      <c r="I192" s="12"/>
    </row>
    <row r="193" customFormat="false" ht="15" hidden="false" customHeight="false" outlineLevel="0" collapsed="false">
      <c r="A193" s="11" t="n">
        <f aca="false">IF(D192="","",D192)</f>
        <v>8</v>
      </c>
      <c r="B193" s="11" t="n">
        <f aca="false">IF(A193="","",(A193-(A193*0.067))/8)</f>
        <v>0.933</v>
      </c>
      <c r="C193" s="11" t="n">
        <f aca="false">IF(OR(A193="",B193=""),"",A193+B193)</f>
        <v>8.933</v>
      </c>
      <c r="D193" s="11" t="n">
        <f aca="false">IF(A193="","",A193+SUMIFS(Registros!$AP$2:$AP$401,Registros!$C$2:$C$401,H193))</f>
        <v>8</v>
      </c>
      <c r="E193" s="11" t="n">
        <f aca="false">IF(A193="","",ROUND(A193*0.067,2))</f>
        <v>0.54</v>
      </c>
      <c r="F193" s="11" t="n">
        <f aca="false">IF(OR(D193="",C193=""),"",D193-C193)</f>
        <v>-0.933</v>
      </c>
      <c r="G193" s="14" t="n">
        <f aca="false">IF(G192="","",G192+1)</f>
        <v>192</v>
      </c>
      <c r="H193" s="13"/>
      <c r="I193" s="12"/>
    </row>
    <row r="194" customFormat="false" ht="15" hidden="false" customHeight="false" outlineLevel="0" collapsed="false">
      <c r="A194" s="11" t="n">
        <f aca="false">IF(D193="","",D193)</f>
        <v>8</v>
      </c>
      <c r="B194" s="11" t="n">
        <f aca="false">IF(A194="","",(A194-(A194*0.067))/8)</f>
        <v>0.933</v>
      </c>
      <c r="C194" s="11" t="n">
        <f aca="false">IF(OR(A194="",B194=""),"",A194+B194)</f>
        <v>8.933</v>
      </c>
      <c r="D194" s="11" t="n">
        <f aca="false">IF(A194="","",A194+SUMIFS(Registros!$AP$2:$AP$401,Registros!$C$2:$C$401,H194))</f>
        <v>8</v>
      </c>
      <c r="E194" s="11" t="n">
        <f aca="false">IF(A194="","",ROUND(A194*0.067,2))</f>
        <v>0.54</v>
      </c>
      <c r="F194" s="11" t="n">
        <f aca="false">IF(OR(D194="",C194=""),"",D194-C194)</f>
        <v>-0.933</v>
      </c>
      <c r="G194" s="14" t="n">
        <f aca="false">IF(G193="","",G193+1)</f>
        <v>193</v>
      </c>
      <c r="H194" s="13"/>
      <c r="I194" s="12"/>
    </row>
    <row r="195" customFormat="false" ht="15" hidden="false" customHeight="false" outlineLevel="0" collapsed="false">
      <c r="A195" s="11" t="n">
        <f aca="false">IF(D194="","",D194)</f>
        <v>8</v>
      </c>
      <c r="B195" s="11" t="n">
        <f aca="false">IF(A195="","",(A195-(A195*0.067))/8)</f>
        <v>0.933</v>
      </c>
      <c r="C195" s="11" t="n">
        <f aca="false">IF(OR(A195="",B195=""),"",A195+B195)</f>
        <v>8.933</v>
      </c>
      <c r="D195" s="11" t="n">
        <f aca="false">IF(A195="","",A195+SUMIFS(Registros!$AP$2:$AP$401,Registros!$C$2:$C$401,H195))</f>
        <v>8</v>
      </c>
      <c r="E195" s="11" t="n">
        <f aca="false">IF(A195="","",ROUND(A195*0.067,2))</f>
        <v>0.54</v>
      </c>
      <c r="F195" s="11" t="n">
        <f aca="false">IF(OR(D195="",C195=""),"",D195-C195)</f>
        <v>-0.933</v>
      </c>
      <c r="G195" s="14" t="n">
        <f aca="false">IF(G194="","",G194+1)</f>
        <v>194</v>
      </c>
      <c r="H195" s="13"/>
      <c r="I195" s="12"/>
    </row>
    <row r="196" customFormat="false" ht="15" hidden="false" customHeight="false" outlineLevel="0" collapsed="false">
      <c r="A196" s="11" t="n">
        <f aca="false">IF(D195="","",D195)</f>
        <v>8</v>
      </c>
      <c r="B196" s="11" t="n">
        <f aca="false">IF(A196="","",(A196-(A196*0.067))/8)</f>
        <v>0.933</v>
      </c>
      <c r="C196" s="11" t="n">
        <f aca="false">IF(OR(A196="",B196=""),"",A196+B196)</f>
        <v>8.933</v>
      </c>
      <c r="D196" s="11" t="n">
        <f aca="false">IF(A196="","",A196+SUMIFS(Registros!$AP$2:$AP$401,Registros!$C$2:$C$401,H196))</f>
        <v>8</v>
      </c>
      <c r="E196" s="11" t="n">
        <f aca="false">IF(A196="","",ROUND(A196*0.067,2))</f>
        <v>0.54</v>
      </c>
      <c r="F196" s="11" t="n">
        <f aca="false">IF(OR(D196="",C196=""),"",D196-C196)</f>
        <v>-0.933</v>
      </c>
      <c r="G196" s="14" t="n">
        <f aca="false">IF(G195="","",G195+1)</f>
        <v>195</v>
      </c>
      <c r="H196" s="13"/>
      <c r="I196" s="12"/>
    </row>
    <row r="197" customFormat="false" ht="15" hidden="false" customHeight="false" outlineLevel="0" collapsed="false">
      <c r="A197" s="11" t="n">
        <f aca="false">IF(D196="","",D196)</f>
        <v>8</v>
      </c>
      <c r="B197" s="11" t="n">
        <f aca="false">IF(A197="","",(A197-(A197*0.067))/8)</f>
        <v>0.933</v>
      </c>
      <c r="C197" s="11" t="n">
        <f aca="false">IF(OR(A197="",B197=""),"",A197+B197)</f>
        <v>8.933</v>
      </c>
      <c r="D197" s="11" t="n">
        <f aca="false">IF(A197="","",A197+SUMIFS(Registros!$AP$2:$AP$401,Registros!$C$2:$C$401,H197))</f>
        <v>8</v>
      </c>
      <c r="E197" s="11" t="n">
        <f aca="false">IF(A197="","",ROUND(A197*0.067,2))</f>
        <v>0.54</v>
      </c>
      <c r="F197" s="11" t="n">
        <f aca="false">IF(OR(D197="",C197=""),"",D197-C197)</f>
        <v>-0.933</v>
      </c>
      <c r="G197" s="14" t="n">
        <f aca="false">IF(G196="","",G196+1)</f>
        <v>196</v>
      </c>
      <c r="H197" s="13"/>
      <c r="I197" s="12"/>
    </row>
    <row r="198" customFormat="false" ht="15" hidden="false" customHeight="false" outlineLevel="0" collapsed="false">
      <c r="A198" s="11" t="n">
        <f aca="false">IF(D197="","",D197)</f>
        <v>8</v>
      </c>
      <c r="B198" s="11" t="n">
        <f aca="false">IF(A198="","",(A198-(A198*0.067))/8)</f>
        <v>0.933</v>
      </c>
      <c r="C198" s="11" t="n">
        <f aca="false">IF(OR(A198="",B198=""),"",A198+B198)</f>
        <v>8.933</v>
      </c>
      <c r="D198" s="11" t="n">
        <f aca="false">IF(A198="","",A198+SUMIFS(Registros!$AP$2:$AP$401,Registros!$C$2:$C$401,H198))</f>
        <v>8</v>
      </c>
      <c r="E198" s="11" t="n">
        <f aca="false">IF(A198="","",ROUND(A198*0.067,2))</f>
        <v>0.54</v>
      </c>
      <c r="F198" s="11" t="n">
        <f aca="false">IF(OR(D198="",C198=""),"",D198-C198)</f>
        <v>-0.933</v>
      </c>
      <c r="G198" s="14" t="n">
        <f aca="false">IF(G197="","",G197+1)</f>
        <v>197</v>
      </c>
      <c r="H198" s="13"/>
      <c r="I198" s="12"/>
    </row>
    <row r="199" customFormat="false" ht="15" hidden="false" customHeight="false" outlineLevel="0" collapsed="false">
      <c r="A199" s="11" t="n">
        <f aca="false">IF(D198="","",D198)</f>
        <v>8</v>
      </c>
      <c r="B199" s="11" t="n">
        <f aca="false">IF(A199="","",(A199-(A199*0.067))/8)</f>
        <v>0.933</v>
      </c>
      <c r="C199" s="11" t="n">
        <f aca="false">IF(OR(A199="",B199=""),"",A199+B199)</f>
        <v>8.933</v>
      </c>
      <c r="D199" s="11" t="n">
        <f aca="false">IF(A199="","",A199+SUMIFS(Registros!$AP$2:$AP$401,Registros!$C$2:$C$401,H199))</f>
        <v>8</v>
      </c>
      <c r="E199" s="11" t="n">
        <f aca="false">IF(A199="","",ROUND(A199*0.067,2))</f>
        <v>0.54</v>
      </c>
      <c r="F199" s="11" t="n">
        <f aca="false">IF(OR(D199="",C199=""),"",D199-C199)</f>
        <v>-0.933</v>
      </c>
      <c r="G199" s="14" t="n">
        <f aca="false">IF(G198="","",G198+1)</f>
        <v>198</v>
      </c>
      <c r="H199" s="13"/>
      <c r="I199" s="12"/>
    </row>
    <row r="200" customFormat="false" ht="15" hidden="false" customHeight="false" outlineLevel="0" collapsed="false">
      <c r="A200" s="11" t="n">
        <f aca="false">IF(D199="","",D199)</f>
        <v>8</v>
      </c>
      <c r="B200" s="11" t="n">
        <f aca="false">IF(A200="","",(A200-(A200*0.067))/8)</f>
        <v>0.933</v>
      </c>
      <c r="C200" s="11" t="n">
        <f aca="false">IF(OR(A200="",B200=""),"",A200+B200)</f>
        <v>8.933</v>
      </c>
      <c r="D200" s="11" t="n">
        <f aca="false">IF(A200="","",A200+SUMIFS(Registros!$AP$2:$AP$401,Registros!$C$2:$C$401,H200))</f>
        <v>8</v>
      </c>
      <c r="E200" s="11" t="n">
        <f aca="false">IF(A200="","",ROUND(A200*0.067,2))</f>
        <v>0.54</v>
      </c>
      <c r="F200" s="11" t="n">
        <f aca="false">IF(OR(D200="",C200=""),"",D200-C200)</f>
        <v>-0.933</v>
      </c>
      <c r="G200" s="14" t="n">
        <f aca="false">IF(G199="","",G199+1)</f>
        <v>199</v>
      </c>
      <c r="H200" s="13"/>
      <c r="I200" s="12"/>
    </row>
    <row r="201" customFormat="false" ht="15" hidden="false" customHeight="false" outlineLevel="0" collapsed="false">
      <c r="A201" s="11" t="n">
        <f aca="false">IF(D200="","",D200)</f>
        <v>8</v>
      </c>
      <c r="B201" s="11" t="n">
        <f aca="false">IF(A201="","",(A201-(A201*0.067))/8)</f>
        <v>0.933</v>
      </c>
      <c r="C201" s="11" t="n">
        <f aca="false">IF(OR(A201="",B201=""),"",A201+B201)</f>
        <v>8.933</v>
      </c>
      <c r="D201" s="11" t="n">
        <f aca="false">IF(A201="","",A201+SUMIFS(Registros!$AP$2:$AP$401,Registros!$C$2:$C$401,H201))</f>
        <v>8</v>
      </c>
      <c r="E201" s="11" t="n">
        <f aca="false">IF(A201="","",ROUND(A201*0.067,2))</f>
        <v>0.54</v>
      </c>
      <c r="F201" s="11" t="n">
        <f aca="false">IF(OR(D201="",C201=""),"",D201-C201)</f>
        <v>-0.933</v>
      </c>
      <c r="G201" s="14" t="n">
        <f aca="false">IF(G200="","",G200+1)</f>
        <v>200</v>
      </c>
      <c r="H201" s="13"/>
      <c r="I201" s="12"/>
    </row>
    <row r="202" customFormat="false" ht="15" hidden="false" customHeight="false" outlineLevel="0" collapsed="false">
      <c r="A202" s="11" t="n">
        <f aca="false">IF(D201="","",D201)</f>
        <v>8</v>
      </c>
      <c r="B202" s="11" t="n">
        <f aca="false">IF(A202="","",(A202-(A202*0.067))/8)</f>
        <v>0.933</v>
      </c>
      <c r="C202" s="11" t="n">
        <f aca="false">IF(OR(A202="",B202=""),"",A202+B202)</f>
        <v>8.933</v>
      </c>
      <c r="D202" s="11" t="n">
        <f aca="false">IF(A202="","",A202+SUMIFS(Registros!$AP$2:$AP$401,Registros!$C$2:$C$401,H202))</f>
        <v>8</v>
      </c>
      <c r="E202" s="11" t="n">
        <f aca="false">IF(A202="","",ROUND(A202*0.067,2))</f>
        <v>0.54</v>
      </c>
      <c r="F202" s="11" t="n">
        <f aca="false">IF(OR(D202="",C202=""),"",D202-C202)</f>
        <v>-0.933</v>
      </c>
      <c r="G202" s="14" t="n">
        <f aca="false">IF(G201="","",G201+1)</f>
        <v>201</v>
      </c>
      <c r="H202" s="13"/>
      <c r="I202" s="12"/>
    </row>
    <row r="203" customFormat="false" ht="15" hidden="false" customHeight="false" outlineLevel="0" collapsed="false">
      <c r="A203" s="11" t="n">
        <f aca="false">IF(D202="","",D202)</f>
        <v>8</v>
      </c>
      <c r="B203" s="11" t="n">
        <f aca="false">IF(A203="","",(A203-(A203*0.067))/8)</f>
        <v>0.933</v>
      </c>
      <c r="C203" s="11" t="n">
        <f aca="false">IF(OR(A203="",B203=""),"",A203+B203)</f>
        <v>8.933</v>
      </c>
      <c r="D203" s="11" t="n">
        <f aca="false">IF(A203="","",A203+SUMIFS(Registros!$AP$2:$AP$401,Registros!$C$2:$C$401,H203))</f>
        <v>8</v>
      </c>
      <c r="E203" s="11" t="n">
        <f aca="false">IF(A203="","",ROUND(A203*0.067,2))</f>
        <v>0.54</v>
      </c>
      <c r="F203" s="11" t="n">
        <f aca="false">IF(OR(D203="",C203=""),"",D203-C203)</f>
        <v>-0.933</v>
      </c>
      <c r="G203" s="14" t="n">
        <f aca="false">IF(G202="","",G202+1)</f>
        <v>202</v>
      </c>
      <c r="H203" s="13"/>
      <c r="I203" s="12"/>
    </row>
    <row r="204" customFormat="false" ht="15" hidden="false" customHeight="false" outlineLevel="0" collapsed="false">
      <c r="A204" s="11" t="n">
        <f aca="false">IF(D203="","",D203)</f>
        <v>8</v>
      </c>
      <c r="B204" s="11" t="n">
        <f aca="false">IF(A204="","",(A204-(A204*0.067))/8)</f>
        <v>0.933</v>
      </c>
      <c r="C204" s="11" t="n">
        <f aca="false">IF(OR(A204="",B204=""),"",A204+B204)</f>
        <v>8.933</v>
      </c>
      <c r="D204" s="11" t="n">
        <f aca="false">IF(A204="","",A204+SUMIFS(Registros!$AP$2:$AP$401,Registros!$C$2:$C$401,H204))</f>
        <v>8</v>
      </c>
      <c r="E204" s="11" t="n">
        <f aca="false">IF(A204="","",ROUND(A204*0.067,2))</f>
        <v>0.54</v>
      </c>
      <c r="F204" s="11" t="n">
        <f aca="false">IF(OR(D204="",C204=""),"",D204-C204)</f>
        <v>-0.933</v>
      </c>
      <c r="G204" s="14" t="n">
        <f aca="false">IF(G203="","",G203+1)</f>
        <v>203</v>
      </c>
      <c r="H204" s="13"/>
      <c r="I204" s="12"/>
    </row>
    <row r="205" customFormat="false" ht="15" hidden="false" customHeight="false" outlineLevel="0" collapsed="false">
      <c r="A205" s="11" t="n">
        <f aca="false">IF(D204="","",D204)</f>
        <v>8</v>
      </c>
      <c r="B205" s="11" t="n">
        <f aca="false">IF(A205="","",(A205-(A205*0.067))/8)</f>
        <v>0.933</v>
      </c>
      <c r="C205" s="11" t="n">
        <f aca="false">IF(OR(A205="",B205=""),"",A205+B205)</f>
        <v>8.933</v>
      </c>
      <c r="D205" s="11" t="n">
        <f aca="false">IF(A205="","",A205+SUMIFS(Registros!$AP$2:$AP$401,Registros!$C$2:$C$401,H205))</f>
        <v>8</v>
      </c>
      <c r="E205" s="11" t="n">
        <f aca="false">IF(A205="","",ROUND(A205*0.067,2))</f>
        <v>0.54</v>
      </c>
      <c r="F205" s="11" t="n">
        <f aca="false">IF(OR(D205="",C205=""),"",D205-C205)</f>
        <v>-0.933</v>
      </c>
      <c r="G205" s="14" t="n">
        <f aca="false">IF(G204="","",G204+1)</f>
        <v>204</v>
      </c>
      <c r="H205" s="13"/>
      <c r="I205" s="12"/>
    </row>
    <row r="206" customFormat="false" ht="15" hidden="false" customHeight="false" outlineLevel="0" collapsed="false">
      <c r="A206" s="11" t="n">
        <f aca="false">IF(D205="","",D205)</f>
        <v>8</v>
      </c>
      <c r="B206" s="11" t="n">
        <f aca="false">IF(A206="","",(A206-(A206*0.067))/8)</f>
        <v>0.933</v>
      </c>
      <c r="C206" s="11" t="n">
        <f aca="false">IF(OR(A206="",B206=""),"",A206+B206)</f>
        <v>8.933</v>
      </c>
      <c r="D206" s="11" t="n">
        <f aca="false">IF(A206="","",A206+SUMIFS(Registros!$AP$2:$AP$401,Registros!$C$2:$C$401,H206))</f>
        <v>8</v>
      </c>
      <c r="E206" s="11" t="n">
        <f aca="false">IF(A206="","",ROUND(A206*0.067,2))</f>
        <v>0.54</v>
      </c>
      <c r="F206" s="11" t="n">
        <f aca="false">IF(OR(D206="",C206=""),"",D206-C206)</f>
        <v>-0.933</v>
      </c>
      <c r="G206" s="14" t="n">
        <f aca="false">IF(G205="","",G205+1)</f>
        <v>205</v>
      </c>
      <c r="H206" s="13"/>
      <c r="I206" s="12"/>
    </row>
    <row r="207" customFormat="false" ht="15" hidden="false" customHeight="false" outlineLevel="0" collapsed="false">
      <c r="A207" s="11" t="n">
        <f aca="false">IF(D206="","",D206)</f>
        <v>8</v>
      </c>
      <c r="B207" s="11" t="n">
        <f aca="false">IF(A207="","",(A207-(A207*0.067))/8)</f>
        <v>0.933</v>
      </c>
      <c r="C207" s="11" t="n">
        <f aca="false">IF(OR(A207="",B207=""),"",A207+B207)</f>
        <v>8.933</v>
      </c>
      <c r="D207" s="11" t="n">
        <f aca="false">IF(A207="","",A207+SUMIFS(Registros!$AP$2:$AP$401,Registros!$C$2:$C$401,H207))</f>
        <v>8</v>
      </c>
      <c r="E207" s="11" t="n">
        <f aca="false">IF(A207="","",ROUND(A207*0.067,2))</f>
        <v>0.54</v>
      </c>
      <c r="F207" s="11" t="n">
        <f aca="false">IF(OR(D207="",C207=""),"",D207-C207)</f>
        <v>-0.933</v>
      </c>
      <c r="G207" s="14" t="n">
        <f aca="false">IF(G206="","",G206+1)</f>
        <v>206</v>
      </c>
      <c r="H207" s="13"/>
      <c r="I207" s="12"/>
    </row>
    <row r="208" customFormat="false" ht="15" hidden="false" customHeight="false" outlineLevel="0" collapsed="false">
      <c r="A208" s="11" t="n">
        <f aca="false">IF(D207="","",D207)</f>
        <v>8</v>
      </c>
      <c r="B208" s="11" t="n">
        <f aca="false">IF(A208="","",(A208-(A208*0.067))/8)</f>
        <v>0.933</v>
      </c>
      <c r="C208" s="11" t="n">
        <f aca="false">IF(OR(A208="",B208=""),"",A208+B208)</f>
        <v>8.933</v>
      </c>
      <c r="D208" s="11" t="n">
        <f aca="false">IF(A208="","",A208+SUMIFS(Registros!$AP$2:$AP$401,Registros!$C$2:$C$401,H208))</f>
        <v>8</v>
      </c>
      <c r="E208" s="11" t="n">
        <f aca="false">IF(A208="","",ROUND(A208*0.067,2))</f>
        <v>0.54</v>
      </c>
      <c r="F208" s="11" t="n">
        <f aca="false">IF(OR(D208="",C208=""),"",D208-C208)</f>
        <v>-0.933</v>
      </c>
      <c r="G208" s="14" t="n">
        <f aca="false">IF(G207="","",G207+1)</f>
        <v>207</v>
      </c>
      <c r="H208" s="13"/>
      <c r="I208" s="12"/>
    </row>
    <row r="209" customFormat="false" ht="15" hidden="false" customHeight="false" outlineLevel="0" collapsed="false">
      <c r="A209" s="11" t="n">
        <f aca="false">IF(D208="","",D208)</f>
        <v>8</v>
      </c>
      <c r="B209" s="11" t="n">
        <f aca="false">IF(A209="","",(A209-(A209*0.067))/8)</f>
        <v>0.933</v>
      </c>
      <c r="C209" s="11" t="n">
        <f aca="false">IF(OR(A209="",B209=""),"",A209+B209)</f>
        <v>8.933</v>
      </c>
      <c r="D209" s="11" t="n">
        <f aca="false">IF(A209="","",A209+SUMIFS(Registros!$AP$2:$AP$401,Registros!$C$2:$C$401,H209))</f>
        <v>8</v>
      </c>
      <c r="E209" s="11" t="n">
        <f aca="false">IF(A209="","",ROUND(A209*0.067,2))</f>
        <v>0.54</v>
      </c>
      <c r="F209" s="11" t="n">
        <f aca="false">IF(OR(D209="",C209=""),"",D209-C209)</f>
        <v>-0.933</v>
      </c>
      <c r="G209" s="14" t="n">
        <f aca="false">IF(G208="","",G208+1)</f>
        <v>208</v>
      </c>
      <c r="H209" s="13"/>
      <c r="I209" s="12"/>
    </row>
    <row r="210" customFormat="false" ht="15" hidden="false" customHeight="false" outlineLevel="0" collapsed="false">
      <c r="A210" s="11" t="n">
        <f aca="false">IF(D209="","",D209)</f>
        <v>8</v>
      </c>
      <c r="B210" s="11" t="n">
        <f aca="false">IF(A210="","",(A210-(A210*0.067))/8)</f>
        <v>0.933</v>
      </c>
      <c r="C210" s="11" t="n">
        <f aca="false">IF(OR(A210="",B210=""),"",A210+B210)</f>
        <v>8.933</v>
      </c>
      <c r="D210" s="11" t="n">
        <f aca="false">IF(A210="","",A210+SUMIFS(Registros!$AP$2:$AP$401,Registros!$C$2:$C$401,H210))</f>
        <v>8</v>
      </c>
      <c r="E210" s="11" t="n">
        <f aca="false">IF(A210="","",ROUND(A210*0.067,2))</f>
        <v>0.54</v>
      </c>
      <c r="F210" s="11" t="n">
        <f aca="false">IF(OR(D210="",C210=""),"",D210-C210)</f>
        <v>-0.933</v>
      </c>
      <c r="G210" s="14" t="n">
        <f aca="false">IF(G209="","",G209+1)</f>
        <v>209</v>
      </c>
      <c r="H210" s="13"/>
      <c r="I210" s="12"/>
    </row>
    <row r="211" customFormat="false" ht="15" hidden="false" customHeight="false" outlineLevel="0" collapsed="false">
      <c r="A211" s="11" t="n">
        <f aca="false">IF(D210="","",D210)</f>
        <v>8</v>
      </c>
      <c r="B211" s="11" t="n">
        <f aca="false">IF(A211="","",(A211-(A211*0.067))/8)</f>
        <v>0.933</v>
      </c>
      <c r="C211" s="11" t="n">
        <f aca="false">IF(OR(A211="",B211=""),"",A211+B211)</f>
        <v>8.933</v>
      </c>
      <c r="D211" s="11" t="n">
        <f aca="false">IF(A211="","",A211+SUMIFS(Registros!$AP$2:$AP$401,Registros!$C$2:$C$401,H211))</f>
        <v>8</v>
      </c>
      <c r="E211" s="11" t="n">
        <f aca="false">IF(A211="","",ROUND(A211*0.067,2))</f>
        <v>0.54</v>
      </c>
      <c r="F211" s="11" t="n">
        <f aca="false">IF(OR(D211="",C211=""),"",D211-C211)</f>
        <v>-0.933</v>
      </c>
      <c r="G211" s="14" t="n">
        <f aca="false">IF(G210="","",G210+1)</f>
        <v>210</v>
      </c>
      <c r="H211" s="13"/>
      <c r="I211" s="12"/>
    </row>
    <row r="212" customFormat="false" ht="15" hidden="false" customHeight="false" outlineLevel="0" collapsed="false">
      <c r="A212" s="11" t="n">
        <f aca="false">IF(D211="","",D211)</f>
        <v>8</v>
      </c>
      <c r="B212" s="11" t="n">
        <f aca="false">IF(A212="","",(A212-(A212*0.067))/8)</f>
        <v>0.933</v>
      </c>
      <c r="C212" s="11" t="n">
        <f aca="false">IF(OR(A212="",B212=""),"",A212+B212)</f>
        <v>8.933</v>
      </c>
      <c r="D212" s="11" t="n">
        <f aca="false">IF(A212="","",A212+SUMIFS(Registros!$AP$2:$AP$401,Registros!$C$2:$C$401,H212))</f>
        <v>8</v>
      </c>
      <c r="E212" s="11" t="n">
        <f aca="false">IF(A212="","",ROUND(A212*0.067,2))</f>
        <v>0.54</v>
      </c>
      <c r="F212" s="11" t="n">
        <f aca="false">IF(OR(D212="",C212=""),"",D212-C212)</f>
        <v>-0.933</v>
      </c>
      <c r="G212" s="14" t="n">
        <f aca="false">IF(G211="","",G211+1)</f>
        <v>211</v>
      </c>
      <c r="H212" s="13"/>
      <c r="I212" s="12"/>
    </row>
    <row r="213" customFormat="false" ht="15" hidden="false" customHeight="false" outlineLevel="0" collapsed="false">
      <c r="A213" s="11" t="n">
        <f aca="false">IF(D212="","",D212)</f>
        <v>8</v>
      </c>
      <c r="B213" s="11" t="n">
        <f aca="false">IF(A213="","",(A213-(A213*0.067))/8)</f>
        <v>0.933</v>
      </c>
      <c r="C213" s="11" t="n">
        <f aca="false">IF(OR(A213="",B213=""),"",A213+B213)</f>
        <v>8.933</v>
      </c>
      <c r="D213" s="11" t="n">
        <f aca="false">IF(A213="","",A213+SUMIFS(Registros!$AP$2:$AP$401,Registros!$C$2:$C$401,H213))</f>
        <v>8</v>
      </c>
      <c r="E213" s="11" t="n">
        <f aca="false">IF(A213="","",ROUND(A213*0.067,2))</f>
        <v>0.54</v>
      </c>
      <c r="F213" s="11" t="n">
        <f aca="false">IF(OR(D213="",C213=""),"",D213-C213)</f>
        <v>-0.933</v>
      </c>
      <c r="G213" s="14" t="n">
        <f aca="false">IF(G212="","",G212+1)</f>
        <v>212</v>
      </c>
      <c r="H213" s="13"/>
      <c r="I213" s="12"/>
    </row>
    <row r="214" customFormat="false" ht="15" hidden="false" customHeight="false" outlineLevel="0" collapsed="false">
      <c r="A214" s="11" t="n">
        <f aca="false">IF(D213="","",D213)</f>
        <v>8</v>
      </c>
      <c r="B214" s="11" t="n">
        <f aca="false">IF(A214="","",(A214-(A214*0.067))/8)</f>
        <v>0.933</v>
      </c>
      <c r="C214" s="11" t="n">
        <f aca="false">IF(OR(A214="",B214=""),"",A214+B214)</f>
        <v>8.933</v>
      </c>
      <c r="D214" s="11" t="n">
        <f aca="false">IF(A214="","",A214+SUMIFS(Registros!$AP$2:$AP$401,Registros!$C$2:$C$401,H214))</f>
        <v>8</v>
      </c>
      <c r="E214" s="11" t="n">
        <f aca="false">IF(A214="","",ROUND(A214*0.067,2))</f>
        <v>0.54</v>
      </c>
      <c r="F214" s="11" t="n">
        <f aca="false">IF(OR(D214="",C214=""),"",D214-C214)</f>
        <v>-0.933</v>
      </c>
      <c r="G214" s="14" t="n">
        <f aca="false">IF(G213="","",G213+1)</f>
        <v>213</v>
      </c>
      <c r="H214" s="13"/>
      <c r="I214" s="12"/>
    </row>
    <row r="215" customFormat="false" ht="15" hidden="false" customHeight="false" outlineLevel="0" collapsed="false">
      <c r="A215" s="11" t="n">
        <f aca="false">IF(D214="","",D214)</f>
        <v>8</v>
      </c>
      <c r="B215" s="11" t="n">
        <f aca="false">IF(A215="","",(A215-(A215*0.067))/8)</f>
        <v>0.933</v>
      </c>
      <c r="C215" s="11" t="n">
        <f aca="false">IF(OR(A215="",B215=""),"",A215+B215)</f>
        <v>8.933</v>
      </c>
      <c r="D215" s="11" t="n">
        <f aca="false">IF(A215="","",A215+SUMIFS(Registros!$AP$2:$AP$401,Registros!$C$2:$C$401,H215))</f>
        <v>8</v>
      </c>
      <c r="E215" s="11" t="n">
        <f aca="false">IF(A215="","",ROUND(A215*0.067,2))</f>
        <v>0.54</v>
      </c>
      <c r="F215" s="11" t="n">
        <f aca="false">IF(OR(D215="",C215=""),"",D215-C215)</f>
        <v>-0.933</v>
      </c>
      <c r="G215" s="14" t="n">
        <f aca="false">IF(G214="","",G214+1)</f>
        <v>214</v>
      </c>
      <c r="H215" s="13"/>
      <c r="I215" s="12"/>
    </row>
    <row r="216" customFormat="false" ht="15" hidden="false" customHeight="false" outlineLevel="0" collapsed="false">
      <c r="A216" s="11" t="n">
        <f aca="false">IF(D215="","",D215)</f>
        <v>8</v>
      </c>
      <c r="B216" s="11" t="n">
        <f aca="false">IF(A216="","",(A216-(A216*0.067))/8)</f>
        <v>0.933</v>
      </c>
      <c r="C216" s="11" t="n">
        <f aca="false">IF(OR(A216="",B216=""),"",A216+B216)</f>
        <v>8.933</v>
      </c>
      <c r="D216" s="11" t="n">
        <f aca="false">IF(A216="","",A216+SUMIFS(Registros!$AP$2:$AP$401,Registros!$C$2:$C$401,H216))</f>
        <v>8</v>
      </c>
      <c r="E216" s="11" t="n">
        <f aca="false">IF(A216="","",ROUND(A216*0.067,2))</f>
        <v>0.54</v>
      </c>
      <c r="F216" s="11" t="n">
        <f aca="false">IF(OR(D216="",C216=""),"",D216-C216)</f>
        <v>-0.933</v>
      </c>
      <c r="G216" s="14" t="n">
        <f aca="false">IF(G215="","",G215+1)</f>
        <v>215</v>
      </c>
      <c r="H216" s="13"/>
      <c r="I216" s="12"/>
    </row>
    <row r="217" customFormat="false" ht="15" hidden="false" customHeight="false" outlineLevel="0" collapsed="false">
      <c r="A217" s="11" t="n">
        <f aca="false">IF(D216="","",D216)</f>
        <v>8</v>
      </c>
      <c r="B217" s="11" t="n">
        <f aca="false">IF(A217="","",(A217-(A217*0.067))/8)</f>
        <v>0.933</v>
      </c>
      <c r="C217" s="11" t="n">
        <f aca="false">IF(OR(A217="",B217=""),"",A217+B217)</f>
        <v>8.933</v>
      </c>
      <c r="D217" s="11" t="n">
        <f aca="false">IF(A217="","",A217+SUMIFS(Registros!$AP$2:$AP$401,Registros!$C$2:$C$401,H217))</f>
        <v>8</v>
      </c>
      <c r="E217" s="11" t="n">
        <f aca="false">IF(A217="","",ROUND(A217*0.067,2))</f>
        <v>0.54</v>
      </c>
      <c r="F217" s="11" t="n">
        <f aca="false">IF(OR(D217="",C217=""),"",D217-C217)</f>
        <v>-0.933</v>
      </c>
      <c r="G217" s="14" t="n">
        <f aca="false">IF(G216="","",G216+1)</f>
        <v>216</v>
      </c>
      <c r="H217" s="13"/>
      <c r="I217" s="12"/>
    </row>
    <row r="218" customFormat="false" ht="15" hidden="false" customHeight="false" outlineLevel="0" collapsed="false">
      <c r="A218" s="11" t="n">
        <f aca="false">IF(D217="","",D217)</f>
        <v>8</v>
      </c>
      <c r="B218" s="11" t="n">
        <f aca="false">IF(A218="","",(A218-(A218*0.067))/8)</f>
        <v>0.933</v>
      </c>
      <c r="C218" s="11" t="n">
        <f aca="false">IF(OR(A218="",B218=""),"",A218+B218)</f>
        <v>8.933</v>
      </c>
      <c r="D218" s="11" t="n">
        <f aca="false">IF(A218="","",A218+SUMIFS(Registros!$AP$2:$AP$401,Registros!$C$2:$C$401,H218))</f>
        <v>8</v>
      </c>
      <c r="E218" s="11" t="n">
        <f aca="false">IF(A218="","",ROUND(A218*0.067,2))</f>
        <v>0.54</v>
      </c>
      <c r="F218" s="11" t="n">
        <f aca="false">IF(OR(D218="",C218=""),"",D218-C218)</f>
        <v>-0.933</v>
      </c>
      <c r="G218" s="14" t="n">
        <f aca="false">IF(G217="","",G217+1)</f>
        <v>217</v>
      </c>
      <c r="H218" s="13"/>
      <c r="I218" s="12"/>
    </row>
    <row r="219" customFormat="false" ht="15" hidden="false" customHeight="false" outlineLevel="0" collapsed="false">
      <c r="A219" s="11" t="n">
        <f aca="false">IF(D218="","",D218)</f>
        <v>8</v>
      </c>
      <c r="B219" s="11" t="n">
        <f aca="false">IF(A219="","",(A219-(A219*0.067))/8)</f>
        <v>0.933</v>
      </c>
      <c r="C219" s="11" t="n">
        <f aca="false">IF(OR(A219="",B219=""),"",A219+B219)</f>
        <v>8.933</v>
      </c>
      <c r="D219" s="11" t="n">
        <f aca="false">IF(A219="","",A219+SUMIFS(Registros!$AP$2:$AP$401,Registros!$C$2:$C$401,H219))</f>
        <v>8</v>
      </c>
      <c r="E219" s="11" t="n">
        <f aca="false">IF(A219="","",ROUND(A219*0.067,2))</f>
        <v>0.54</v>
      </c>
      <c r="F219" s="11" t="n">
        <f aca="false">IF(OR(D219="",C219=""),"",D219-C219)</f>
        <v>-0.933</v>
      </c>
      <c r="G219" s="14" t="n">
        <f aca="false">IF(G218="","",G218+1)</f>
        <v>218</v>
      </c>
      <c r="H219" s="13"/>
      <c r="I219" s="12"/>
    </row>
    <row r="220" customFormat="false" ht="15" hidden="false" customHeight="false" outlineLevel="0" collapsed="false">
      <c r="A220" s="11" t="n">
        <f aca="false">IF(D219="","",D219)</f>
        <v>8</v>
      </c>
      <c r="B220" s="11" t="n">
        <f aca="false">IF(A220="","",(A220-(A220*0.067))/8)</f>
        <v>0.933</v>
      </c>
      <c r="C220" s="11" t="n">
        <f aca="false">IF(OR(A220="",B220=""),"",A220+B220)</f>
        <v>8.933</v>
      </c>
      <c r="D220" s="11" t="n">
        <f aca="false">IF(A220="","",A220+SUMIFS(Registros!$AP$2:$AP$401,Registros!$C$2:$C$401,H220))</f>
        <v>8</v>
      </c>
      <c r="E220" s="11" t="n">
        <f aca="false">IF(A220="","",ROUND(A220*0.067,2))</f>
        <v>0.54</v>
      </c>
      <c r="F220" s="11" t="n">
        <f aca="false">IF(OR(D220="",C220=""),"",D220-C220)</f>
        <v>-0.933</v>
      </c>
      <c r="G220" s="14" t="n">
        <f aca="false">IF(G219="","",G219+1)</f>
        <v>219</v>
      </c>
      <c r="H220" s="13"/>
      <c r="I220" s="12"/>
    </row>
    <row r="221" customFormat="false" ht="15" hidden="false" customHeight="false" outlineLevel="0" collapsed="false">
      <c r="A221" s="11" t="n">
        <f aca="false">IF(D220="","",D220)</f>
        <v>8</v>
      </c>
      <c r="B221" s="11" t="n">
        <f aca="false">IF(A221="","",(A221-(A221*0.067))/8)</f>
        <v>0.933</v>
      </c>
      <c r="C221" s="11" t="n">
        <f aca="false">IF(OR(A221="",B221=""),"",A221+B221)</f>
        <v>8.933</v>
      </c>
      <c r="D221" s="11" t="n">
        <f aca="false">IF(A221="","",A221+SUMIFS(Registros!$AP$2:$AP$401,Registros!$C$2:$C$401,H221))</f>
        <v>8</v>
      </c>
      <c r="E221" s="11" t="n">
        <f aca="false">IF(A221="","",ROUND(A221*0.067,2))</f>
        <v>0.54</v>
      </c>
      <c r="F221" s="11" t="n">
        <f aca="false">IF(OR(D221="",C221=""),"",D221-C221)</f>
        <v>-0.933</v>
      </c>
      <c r="G221" s="14" t="n">
        <f aca="false">IF(G220="","",G220+1)</f>
        <v>220</v>
      </c>
      <c r="H221" s="13"/>
      <c r="I221" s="12"/>
    </row>
    <row r="222" customFormat="false" ht="15" hidden="false" customHeight="false" outlineLevel="0" collapsed="false">
      <c r="A222" s="11" t="n">
        <f aca="false">IF(D221="","",D221)</f>
        <v>8</v>
      </c>
      <c r="B222" s="11" t="n">
        <f aca="false">IF(A222="","",(A222-(A222*0.067))/8)</f>
        <v>0.933</v>
      </c>
      <c r="C222" s="11" t="n">
        <f aca="false">IF(OR(A222="",B222=""),"",A222+B222)</f>
        <v>8.933</v>
      </c>
      <c r="D222" s="11" t="n">
        <f aca="false">IF(A222="","",A222+SUMIFS(Registros!$AP$2:$AP$401,Registros!$C$2:$C$401,H222))</f>
        <v>8</v>
      </c>
      <c r="E222" s="11" t="n">
        <f aca="false">IF(A222="","",ROUND(A222*0.067,2))</f>
        <v>0.54</v>
      </c>
      <c r="F222" s="11" t="n">
        <f aca="false">IF(OR(D222="",C222=""),"",D222-C222)</f>
        <v>-0.933</v>
      </c>
      <c r="G222" s="14" t="n">
        <f aca="false">IF(G221="","",G221+1)</f>
        <v>221</v>
      </c>
      <c r="H222" s="13"/>
      <c r="I222" s="12"/>
    </row>
    <row r="223" customFormat="false" ht="15" hidden="false" customHeight="false" outlineLevel="0" collapsed="false">
      <c r="A223" s="11" t="n">
        <f aca="false">IF(D222="","",D222)</f>
        <v>8</v>
      </c>
      <c r="B223" s="11" t="n">
        <f aca="false">IF(A223="","",(A223-(A223*0.067))/8)</f>
        <v>0.933</v>
      </c>
      <c r="C223" s="11" t="n">
        <f aca="false">IF(OR(A223="",B223=""),"",A223+B223)</f>
        <v>8.933</v>
      </c>
      <c r="D223" s="11" t="n">
        <f aca="false">IF(A223="","",A223+SUMIFS(Registros!$AP$2:$AP$401,Registros!$C$2:$C$401,H223))</f>
        <v>8</v>
      </c>
      <c r="E223" s="11" t="n">
        <f aca="false">IF(A223="","",ROUND(A223*0.067,2))</f>
        <v>0.54</v>
      </c>
      <c r="F223" s="11" t="n">
        <f aca="false">IF(OR(D223="",C223=""),"",D223-C223)</f>
        <v>-0.933</v>
      </c>
      <c r="G223" s="14" t="n">
        <f aca="false">IF(G222="","",G222+1)</f>
        <v>222</v>
      </c>
      <c r="H223" s="13"/>
      <c r="I223" s="12"/>
    </row>
    <row r="224" customFormat="false" ht="15" hidden="false" customHeight="false" outlineLevel="0" collapsed="false">
      <c r="A224" s="11" t="n">
        <f aca="false">IF(D223="","",D223)</f>
        <v>8</v>
      </c>
      <c r="B224" s="11" t="n">
        <f aca="false">IF(A224="","",(A224-(A224*0.067))/8)</f>
        <v>0.933</v>
      </c>
      <c r="C224" s="11" t="n">
        <f aca="false">IF(OR(A224="",B224=""),"",A224+B224)</f>
        <v>8.933</v>
      </c>
      <c r="D224" s="11" t="n">
        <f aca="false">IF(A224="","",A224+SUMIFS(Registros!$AP$2:$AP$401,Registros!$C$2:$C$401,H224))</f>
        <v>8</v>
      </c>
      <c r="E224" s="11" t="n">
        <f aca="false">IF(A224="","",ROUND(A224*0.067,2))</f>
        <v>0.54</v>
      </c>
      <c r="F224" s="11" t="n">
        <f aca="false">IF(OR(D224="",C224=""),"",D224-C224)</f>
        <v>-0.933</v>
      </c>
      <c r="G224" s="14" t="n">
        <f aca="false">IF(G223="","",G223+1)</f>
        <v>223</v>
      </c>
      <c r="H224" s="13"/>
      <c r="I224" s="12"/>
    </row>
    <row r="225" customFormat="false" ht="15" hidden="false" customHeight="false" outlineLevel="0" collapsed="false">
      <c r="A225" s="11" t="n">
        <f aca="false">IF(D224="","",D224)</f>
        <v>8</v>
      </c>
      <c r="B225" s="11" t="n">
        <f aca="false">IF(A225="","",(A225-(A225*0.067))/8)</f>
        <v>0.933</v>
      </c>
      <c r="C225" s="11" t="n">
        <f aca="false">IF(OR(A225="",B225=""),"",A225+B225)</f>
        <v>8.933</v>
      </c>
      <c r="D225" s="11" t="n">
        <f aca="false">IF(A225="","",A225+SUMIFS(Registros!$AP$2:$AP$401,Registros!$C$2:$C$401,H225))</f>
        <v>8</v>
      </c>
      <c r="E225" s="11" t="n">
        <f aca="false">IF(A225="","",ROUND(A225*0.067,2))</f>
        <v>0.54</v>
      </c>
      <c r="F225" s="11" t="n">
        <f aca="false">IF(OR(D225="",C225=""),"",D225-C225)</f>
        <v>-0.933</v>
      </c>
      <c r="G225" s="14" t="n">
        <f aca="false">IF(G224="","",G224+1)</f>
        <v>224</v>
      </c>
      <c r="H225" s="13"/>
      <c r="I225" s="12"/>
    </row>
    <row r="226" customFormat="false" ht="15" hidden="false" customHeight="false" outlineLevel="0" collapsed="false">
      <c r="A226" s="11" t="n">
        <f aca="false">IF(D225="","",D225)</f>
        <v>8</v>
      </c>
      <c r="B226" s="11" t="n">
        <f aca="false">IF(A226="","",(A226-(A226*0.067))/8)</f>
        <v>0.933</v>
      </c>
      <c r="C226" s="11" t="n">
        <f aca="false">IF(OR(A226="",B226=""),"",A226+B226)</f>
        <v>8.933</v>
      </c>
      <c r="D226" s="11" t="n">
        <f aca="false">IF(A226="","",A226+SUMIFS(Registros!$AP$2:$AP$401,Registros!$C$2:$C$401,H226))</f>
        <v>8</v>
      </c>
      <c r="E226" s="11" t="n">
        <f aca="false">IF(A226="","",ROUND(A226*0.067,2))</f>
        <v>0.54</v>
      </c>
      <c r="F226" s="11" t="n">
        <f aca="false">IF(OR(D226="",C226=""),"",D226-C226)</f>
        <v>-0.933</v>
      </c>
      <c r="G226" s="14" t="n">
        <f aca="false">IF(G225="","",G225+1)</f>
        <v>225</v>
      </c>
      <c r="H226" s="13"/>
      <c r="I226" s="12"/>
    </row>
    <row r="227" customFormat="false" ht="15" hidden="false" customHeight="false" outlineLevel="0" collapsed="false">
      <c r="A227" s="11" t="n">
        <f aca="false">IF(D226="","",D226)</f>
        <v>8</v>
      </c>
      <c r="B227" s="11" t="n">
        <f aca="false">IF(A227="","",(A227-(A227*0.067))/8)</f>
        <v>0.933</v>
      </c>
      <c r="C227" s="11" t="n">
        <f aca="false">IF(OR(A227="",B227=""),"",A227+B227)</f>
        <v>8.933</v>
      </c>
      <c r="D227" s="11" t="n">
        <f aca="false">IF(A227="","",A227+SUMIFS(Registros!$AP$2:$AP$401,Registros!$C$2:$C$401,H227))</f>
        <v>8</v>
      </c>
      <c r="E227" s="11" t="n">
        <f aca="false">IF(A227="","",ROUND(A227*0.067,2))</f>
        <v>0.54</v>
      </c>
      <c r="F227" s="11" t="n">
        <f aca="false">IF(OR(D227="",C227=""),"",D227-C227)</f>
        <v>-0.933</v>
      </c>
      <c r="G227" s="14" t="n">
        <f aca="false">IF(G226="","",G226+1)</f>
        <v>226</v>
      </c>
      <c r="H227" s="13"/>
      <c r="I227" s="12"/>
    </row>
    <row r="228" customFormat="false" ht="15" hidden="false" customHeight="false" outlineLevel="0" collapsed="false">
      <c r="A228" s="11" t="n">
        <f aca="false">IF(D227="","",D227)</f>
        <v>8</v>
      </c>
      <c r="B228" s="11" t="n">
        <f aca="false">IF(A228="","",(A228-(A228*0.067))/8)</f>
        <v>0.933</v>
      </c>
      <c r="C228" s="11" t="n">
        <f aca="false">IF(OR(A228="",B228=""),"",A228+B228)</f>
        <v>8.933</v>
      </c>
      <c r="D228" s="11" t="n">
        <f aca="false">IF(A228="","",A228+SUMIFS(Registros!$AP$2:$AP$401,Registros!$C$2:$C$401,H228))</f>
        <v>8</v>
      </c>
      <c r="E228" s="11" t="n">
        <f aca="false">IF(A228="","",ROUND(A228*0.067,2))</f>
        <v>0.54</v>
      </c>
      <c r="F228" s="11" t="n">
        <f aca="false">IF(OR(D228="",C228=""),"",D228-C228)</f>
        <v>-0.933</v>
      </c>
      <c r="G228" s="14" t="n">
        <f aca="false">IF(G227="","",G227+1)</f>
        <v>227</v>
      </c>
      <c r="H228" s="13"/>
      <c r="I228" s="12"/>
    </row>
    <row r="229" customFormat="false" ht="15" hidden="false" customHeight="false" outlineLevel="0" collapsed="false">
      <c r="A229" s="11" t="n">
        <f aca="false">IF(D228="","",D228)</f>
        <v>8</v>
      </c>
      <c r="B229" s="11" t="n">
        <f aca="false">IF(A229="","",(A229-(A229*0.067))/8)</f>
        <v>0.933</v>
      </c>
      <c r="C229" s="11" t="n">
        <f aca="false">IF(OR(A229="",B229=""),"",A229+B229)</f>
        <v>8.933</v>
      </c>
      <c r="D229" s="11" t="n">
        <f aca="false">IF(A229="","",A229+SUMIFS(Registros!$AP$2:$AP$401,Registros!$C$2:$C$401,H229))</f>
        <v>8</v>
      </c>
      <c r="E229" s="11" t="n">
        <f aca="false">IF(A229="","",ROUND(A229*0.067,2))</f>
        <v>0.54</v>
      </c>
      <c r="F229" s="11" t="n">
        <f aca="false">IF(OR(D229="",C229=""),"",D229-C229)</f>
        <v>-0.933</v>
      </c>
      <c r="G229" s="14" t="n">
        <f aca="false">IF(G228="","",G228+1)</f>
        <v>228</v>
      </c>
      <c r="H229" s="13"/>
      <c r="I229" s="12"/>
    </row>
    <row r="230" customFormat="false" ht="15" hidden="false" customHeight="false" outlineLevel="0" collapsed="false">
      <c r="A230" s="11" t="n">
        <f aca="false">IF(D229="","",D229)</f>
        <v>8</v>
      </c>
      <c r="B230" s="11" t="n">
        <f aca="false">IF(A230="","",(A230-(A230*0.067))/8)</f>
        <v>0.933</v>
      </c>
      <c r="C230" s="11" t="n">
        <f aca="false">IF(OR(A230="",B230=""),"",A230+B230)</f>
        <v>8.933</v>
      </c>
      <c r="D230" s="11" t="n">
        <f aca="false">IF(A230="","",A230+SUMIFS(Registros!$AP$2:$AP$401,Registros!$C$2:$C$401,H230))</f>
        <v>8</v>
      </c>
      <c r="E230" s="11" t="n">
        <f aca="false">IF(A230="","",ROUND(A230*0.067,2))</f>
        <v>0.54</v>
      </c>
      <c r="F230" s="11" t="n">
        <f aca="false">IF(OR(D230="",C230=""),"",D230-C230)</f>
        <v>-0.933</v>
      </c>
      <c r="G230" s="14" t="n">
        <f aca="false">IF(G229="","",G229+1)</f>
        <v>229</v>
      </c>
      <c r="H230" s="13"/>
      <c r="I230" s="12"/>
    </row>
    <row r="231" customFormat="false" ht="15" hidden="false" customHeight="false" outlineLevel="0" collapsed="false">
      <c r="A231" s="11" t="n">
        <f aca="false">IF(D230="","",D230)</f>
        <v>8</v>
      </c>
      <c r="B231" s="11" t="n">
        <f aca="false">IF(A231="","",(A231-(A231*0.067))/8)</f>
        <v>0.933</v>
      </c>
      <c r="C231" s="11" t="n">
        <f aca="false">IF(OR(A231="",B231=""),"",A231+B231)</f>
        <v>8.933</v>
      </c>
      <c r="D231" s="11" t="n">
        <f aca="false">IF(A231="","",A231+SUMIFS(Registros!$AP$2:$AP$401,Registros!$C$2:$C$401,H231))</f>
        <v>8</v>
      </c>
      <c r="E231" s="11" t="n">
        <f aca="false">IF(A231="","",ROUND(A231*0.067,2))</f>
        <v>0.54</v>
      </c>
      <c r="F231" s="11" t="n">
        <f aca="false">IF(OR(D231="",C231=""),"",D231-C231)</f>
        <v>-0.933</v>
      </c>
      <c r="G231" s="14" t="n">
        <f aca="false">IF(G230="","",G230+1)</f>
        <v>230</v>
      </c>
      <c r="H231" s="13"/>
      <c r="I231" s="12"/>
    </row>
    <row r="232" customFormat="false" ht="15" hidden="false" customHeight="false" outlineLevel="0" collapsed="false">
      <c r="A232" s="11" t="n">
        <f aca="false">IF(D231="","",D231)</f>
        <v>8</v>
      </c>
      <c r="B232" s="11" t="n">
        <f aca="false">IF(A232="","",(A232-(A232*0.067))/8)</f>
        <v>0.933</v>
      </c>
      <c r="C232" s="11" t="n">
        <f aca="false">IF(OR(A232="",B232=""),"",A232+B232)</f>
        <v>8.933</v>
      </c>
      <c r="D232" s="11" t="n">
        <f aca="false">IF(A232="","",A232+SUMIFS(Registros!$AP$2:$AP$401,Registros!$C$2:$C$401,H232))</f>
        <v>8</v>
      </c>
      <c r="E232" s="11" t="n">
        <f aca="false">IF(A232="","",ROUND(A232*0.067,2))</f>
        <v>0.54</v>
      </c>
      <c r="F232" s="11" t="n">
        <f aca="false">IF(OR(D232="",C232=""),"",D232-C232)</f>
        <v>-0.933</v>
      </c>
      <c r="G232" s="14" t="n">
        <f aca="false">IF(G231="","",G231+1)</f>
        <v>231</v>
      </c>
      <c r="H232" s="13"/>
      <c r="I232" s="12"/>
    </row>
    <row r="233" customFormat="false" ht="15" hidden="false" customHeight="false" outlineLevel="0" collapsed="false">
      <c r="A233" s="11" t="n">
        <f aca="false">IF(D232="","",D232)</f>
        <v>8</v>
      </c>
      <c r="B233" s="11" t="n">
        <f aca="false">IF(A233="","",(A233-(A233*0.067))/8)</f>
        <v>0.933</v>
      </c>
      <c r="C233" s="11" t="n">
        <f aca="false">IF(OR(A233="",B233=""),"",A233+B233)</f>
        <v>8.933</v>
      </c>
      <c r="D233" s="11" t="n">
        <f aca="false">IF(A233="","",A233+SUMIFS(Registros!$AP$2:$AP$401,Registros!$C$2:$C$401,H233))</f>
        <v>8</v>
      </c>
      <c r="E233" s="11" t="n">
        <f aca="false">IF(A233="","",ROUND(A233*0.067,2))</f>
        <v>0.54</v>
      </c>
      <c r="F233" s="11" t="n">
        <f aca="false">IF(OR(D233="",C233=""),"",D233-C233)</f>
        <v>-0.933</v>
      </c>
      <c r="G233" s="14" t="n">
        <f aca="false">IF(G232="","",G232+1)</f>
        <v>232</v>
      </c>
      <c r="H233" s="13"/>
      <c r="I233" s="12"/>
    </row>
    <row r="234" customFormat="false" ht="15" hidden="false" customHeight="false" outlineLevel="0" collapsed="false">
      <c r="A234" s="11" t="n">
        <f aca="false">IF(D233="","",D233)</f>
        <v>8</v>
      </c>
      <c r="B234" s="11" t="n">
        <f aca="false">IF(A234="","",(A234-(A234*0.067))/8)</f>
        <v>0.933</v>
      </c>
      <c r="C234" s="11" t="n">
        <f aca="false">IF(OR(A234="",B234=""),"",A234+B234)</f>
        <v>8.933</v>
      </c>
      <c r="D234" s="11" t="n">
        <f aca="false">IF(A234="","",A234+SUMIFS(Registros!$AP$2:$AP$401,Registros!$C$2:$C$401,H234))</f>
        <v>8</v>
      </c>
      <c r="E234" s="11" t="n">
        <f aca="false">IF(A234="","",ROUND(A234*0.067,2))</f>
        <v>0.54</v>
      </c>
      <c r="F234" s="11" t="n">
        <f aca="false">IF(OR(D234="",C234=""),"",D234-C234)</f>
        <v>-0.933</v>
      </c>
      <c r="G234" s="14" t="n">
        <f aca="false">IF(G233="","",G233+1)</f>
        <v>233</v>
      </c>
      <c r="H234" s="13"/>
      <c r="I234" s="12"/>
    </row>
    <row r="235" customFormat="false" ht="15" hidden="false" customHeight="false" outlineLevel="0" collapsed="false">
      <c r="A235" s="11" t="n">
        <f aca="false">IF(D234="","",D234)</f>
        <v>8</v>
      </c>
      <c r="B235" s="11" t="n">
        <f aca="false">IF(A235="","",(A235-(A235*0.067))/8)</f>
        <v>0.933</v>
      </c>
      <c r="C235" s="11" t="n">
        <f aca="false">IF(OR(A235="",B235=""),"",A235+B235)</f>
        <v>8.933</v>
      </c>
      <c r="D235" s="11" t="n">
        <f aca="false">IF(A235="","",A235+SUMIFS(Registros!$AP$2:$AP$401,Registros!$C$2:$C$401,H235))</f>
        <v>8</v>
      </c>
      <c r="E235" s="11" t="n">
        <f aca="false">IF(A235="","",ROUND(A235*0.067,2))</f>
        <v>0.54</v>
      </c>
      <c r="F235" s="11" t="n">
        <f aca="false">IF(OR(D235="",C235=""),"",D235-C235)</f>
        <v>-0.933</v>
      </c>
      <c r="G235" s="14" t="n">
        <f aca="false">IF(G234="","",G234+1)</f>
        <v>234</v>
      </c>
      <c r="H235" s="13"/>
      <c r="I235" s="12"/>
    </row>
    <row r="236" customFormat="false" ht="15" hidden="false" customHeight="false" outlineLevel="0" collapsed="false">
      <c r="A236" s="11" t="n">
        <f aca="false">IF(D235="","",D235)</f>
        <v>8</v>
      </c>
      <c r="B236" s="11" t="n">
        <f aca="false">IF(A236="","",(A236-(A236*0.067))/8)</f>
        <v>0.933</v>
      </c>
      <c r="C236" s="11" t="n">
        <f aca="false">IF(OR(A236="",B236=""),"",A236+B236)</f>
        <v>8.933</v>
      </c>
      <c r="D236" s="11" t="n">
        <f aca="false">IF(A236="","",A236+SUMIFS(Registros!$AP$2:$AP$401,Registros!$C$2:$C$401,H236))</f>
        <v>8</v>
      </c>
      <c r="E236" s="11" t="n">
        <f aca="false">IF(A236="","",ROUND(A236*0.067,2))</f>
        <v>0.54</v>
      </c>
      <c r="F236" s="11" t="n">
        <f aca="false">IF(OR(D236="",C236=""),"",D236-C236)</f>
        <v>-0.933</v>
      </c>
      <c r="G236" s="14" t="n">
        <f aca="false">IF(G235="","",G235+1)</f>
        <v>235</v>
      </c>
      <c r="H236" s="13"/>
      <c r="I236" s="12"/>
    </row>
    <row r="237" customFormat="false" ht="15" hidden="false" customHeight="false" outlineLevel="0" collapsed="false">
      <c r="A237" s="11" t="n">
        <f aca="false">IF(D236="","",D236)</f>
        <v>8</v>
      </c>
      <c r="B237" s="11" t="n">
        <f aca="false">IF(A237="","",(A237-(A237*0.067))/8)</f>
        <v>0.933</v>
      </c>
      <c r="C237" s="11" t="n">
        <f aca="false">IF(OR(A237="",B237=""),"",A237+B237)</f>
        <v>8.933</v>
      </c>
      <c r="D237" s="11" t="n">
        <f aca="false">IF(A237="","",A237+SUMIFS(Registros!$AP$2:$AP$401,Registros!$C$2:$C$401,H237))</f>
        <v>8</v>
      </c>
      <c r="E237" s="11" t="n">
        <f aca="false">IF(A237="","",ROUND(A237*0.067,2))</f>
        <v>0.54</v>
      </c>
      <c r="F237" s="11" t="n">
        <f aca="false">IF(OR(D237="",C237=""),"",D237-C237)</f>
        <v>-0.933</v>
      </c>
      <c r="G237" s="14" t="n">
        <f aca="false">IF(G236="","",G236+1)</f>
        <v>236</v>
      </c>
      <c r="H237" s="13"/>
      <c r="I237" s="12"/>
    </row>
    <row r="238" customFormat="false" ht="15" hidden="false" customHeight="false" outlineLevel="0" collapsed="false">
      <c r="A238" s="11" t="n">
        <f aca="false">IF(D237="","",D237)</f>
        <v>8</v>
      </c>
      <c r="B238" s="11" t="n">
        <f aca="false">IF(A238="","",(A238-(A238*0.067))/8)</f>
        <v>0.933</v>
      </c>
      <c r="C238" s="11" t="n">
        <f aca="false">IF(OR(A238="",B238=""),"",A238+B238)</f>
        <v>8.933</v>
      </c>
      <c r="D238" s="11" t="n">
        <f aca="false">IF(A238="","",A238+SUMIFS(Registros!$AP$2:$AP$401,Registros!$C$2:$C$401,H238))</f>
        <v>8</v>
      </c>
      <c r="E238" s="11" t="n">
        <f aca="false">IF(A238="","",ROUND(A238*0.067,2))</f>
        <v>0.54</v>
      </c>
      <c r="F238" s="11" t="n">
        <f aca="false">IF(OR(D238="",C238=""),"",D238-C238)</f>
        <v>-0.933</v>
      </c>
      <c r="G238" s="14" t="n">
        <f aca="false">IF(G237="","",G237+1)</f>
        <v>237</v>
      </c>
      <c r="H238" s="13"/>
      <c r="I238" s="12"/>
    </row>
    <row r="239" customFormat="false" ht="15" hidden="false" customHeight="false" outlineLevel="0" collapsed="false">
      <c r="A239" s="11" t="n">
        <f aca="false">IF(D238="","",D238)</f>
        <v>8</v>
      </c>
      <c r="B239" s="11" t="n">
        <f aca="false">IF(A239="","",(A239-(A239*0.067))/8)</f>
        <v>0.933</v>
      </c>
      <c r="C239" s="11" t="n">
        <f aca="false">IF(OR(A239="",B239=""),"",A239+B239)</f>
        <v>8.933</v>
      </c>
      <c r="D239" s="11" t="n">
        <f aca="false">IF(A239="","",A239+SUMIFS(Registros!$AP$2:$AP$401,Registros!$C$2:$C$401,H239))</f>
        <v>8</v>
      </c>
      <c r="E239" s="11" t="n">
        <f aca="false">IF(A239="","",ROUND(A239*0.067,2))</f>
        <v>0.54</v>
      </c>
      <c r="F239" s="11" t="n">
        <f aca="false">IF(OR(D239="",C239=""),"",D239-C239)</f>
        <v>-0.933</v>
      </c>
      <c r="G239" s="14" t="n">
        <f aca="false">IF(G238="","",G238+1)</f>
        <v>238</v>
      </c>
      <c r="H239" s="13"/>
      <c r="I239" s="12"/>
    </row>
    <row r="240" customFormat="false" ht="15" hidden="false" customHeight="false" outlineLevel="0" collapsed="false">
      <c r="A240" s="11" t="n">
        <f aca="false">IF(D239="","",D239)</f>
        <v>8</v>
      </c>
      <c r="B240" s="11" t="n">
        <f aca="false">IF(A240="","",(A240-(A240*0.067))/8)</f>
        <v>0.933</v>
      </c>
      <c r="C240" s="11" t="n">
        <f aca="false">IF(OR(A240="",B240=""),"",A240+B240)</f>
        <v>8.933</v>
      </c>
      <c r="D240" s="11" t="n">
        <f aca="false">IF(A240="","",A240+SUMIFS(Registros!$AP$2:$AP$401,Registros!$C$2:$C$401,H240))</f>
        <v>8</v>
      </c>
      <c r="E240" s="11" t="n">
        <f aca="false">IF(A240="","",ROUND(A240*0.067,2))</f>
        <v>0.54</v>
      </c>
      <c r="F240" s="11" t="n">
        <f aca="false">IF(OR(D240="",C240=""),"",D240-C240)</f>
        <v>-0.933</v>
      </c>
      <c r="G240" s="14" t="n">
        <f aca="false">IF(G239="","",G239+1)</f>
        <v>239</v>
      </c>
      <c r="H240" s="13"/>
      <c r="I240" s="12"/>
    </row>
    <row r="241" customFormat="false" ht="15" hidden="false" customHeight="false" outlineLevel="0" collapsed="false">
      <c r="A241" s="11" t="n">
        <f aca="false">IF(D240="","",D240)</f>
        <v>8</v>
      </c>
      <c r="B241" s="11" t="n">
        <f aca="false">IF(A241="","",(A241-(A241*0.067))/8)</f>
        <v>0.933</v>
      </c>
      <c r="C241" s="11" t="n">
        <f aca="false">IF(OR(A241="",B241=""),"",A241+B241)</f>
        <v>8.933</v>
      </c>
      <c r="D241" s="11" t="n">
        <f aca="false">IF(A241="","",A241+SUMIFS(Registros!$AP$2:$AP$401,Registros!$C$2:$C$401,H241))</f>
        <v>8</v>
      </c>
      <c r="E241" s="11" t="n">
        <f aca="false">IF(A241="","",ROUND(A241*0.067,2))</f>
        <v>0.54</v>
      </c>
      <c r="F241" s="11" t="n">
        <f aca="false">IF(OR(D241="",C241=""),"",D241-C241)</f>
        <v>-0.933</v>
      </c>
      <c r="G241" s="14" t="n">
        <f aca="false">IF(G240="","",G240+1)</f>
        <v>240</v>
      </c>
      <c r="H241" s="13"/>
      <c r="I241" s="12"/>
    </row>
    <row r="242" customFormat="false" ht="15" hidden="false" customHeight="false" outlineLevel="0" collapsed="false">
      <c r="A242" s="11" t="n">
        <f aca="false">IF(D241="","",D241)</f>
        <v>8</v>
      </c>
      <c r="B242" s="11" t="n">
        <f aca="false">IF(A242="","",(A242-(A242*0.067))/8)</f>
        <v>0.933</v>
      </c>
      <c r="C242" s="11" t="n">
        <f aca="false">IF(OR(A242="",B242=""),"",A242+B242)</f>
        <v>8.933</v>
      </c>
      <c r="D242" s="11" t="n">
        <f aca="false">IF(A242="","",A242+SUMIFS(Registros!$AP$2:$AP$401,Registros!$C$2:$C$401,H242))</f>
        <v>8</v>
      </c>
      <c r="E242" s="11" t="n">
        <f aca="false">IF(A242="","",ROUND(A242*0.067,2))</f>
        <v>0.54</v>
      </c>
      <c r="F242" s="11" t="n">
        <f aca="false">IF(OR(D242="",C242=""),"",D242-C242)</f>
        <v>-0.933</v>
      </c>
      <c r="G242" s="14" t="n">
        <f aca="false">IF(G241="","",G241+1)</f>
        <v>241</v>
      </c>
      <c r="H242" s="13"/>
      <c r="I242" s="12"/>
    </row>
    <row r="243" customFormat="false" ht="15" hidden="false" customHeight="false" outlineLevel="0" collapsed="false">
      <c r="A243" s="11" t="n">
        <f aca="false">IF(D242="","",D242)</f>
        <v>8</v>
      </c>
      <c r="B243" s="11" t="n">
        <f aca="false">IF(A243="","",(A243-(A243*0.067))/8)</f>
        <v>0.933</v>
      </c>
      <c r="C243" s="11" t="n">
        <f aca="false">IF(OR(A243="",B243=""),"",A243+B243)</f>
        <v>8.933</v>
      </c>
      <c r="D243" s="11" t="n">
        <f aca="false">IF(A243="","",A243+SUMIFS(Registros!$AP$2:$AP$401,Registros!$C$2:$C$401,H243))</f>
        <v>8</v>
      </c>
      <c r="E243" s="11" t="n">
        <f aca="false">IF(A243="","",ROUND(A243*0.067,2))</f>
        <v>0.54</v>
      </c>
      <c r="F243" s="11" t="n">
        <f aca="false">IF(OR(D243="",C243=""),"",D243-C243)</f>
        <v>-0.933</v>
      </c>
      <c r="G243" s="14" t="n">
        <f aca="false">IF(G242="","",G242+1)</f>
        <v>242</v>
      </c>
      <c r="H243" s="13"/>
      <c r="I243" s="12"/>
    </row>
    <row r="244" customFormat="false" ht="15" hidden="false" customHeight="false" outlineLevel="0" collapsed="false">
      <c r="A244" s="11" t="n">
        <f aca="false">IF(D243="","",D243)</f>
        <v>8</v>
      </c>
      <c r="B244" s="11" t="n">
        <f aca="false">IF(A244="","",(A244-(A244*0.067))/8)</f>
        <v>0.933</v>
      </c>
      <c r="C244" s="11" t="n">
        <f aca="false">IF(OR(A244="",B244=""),"",A244+B244)</f>
        <v>8.933</v>
      </c>
      <c r="D244" s="11" t="n">
        <f aca="false">IF(A244="","",A244+SUMIFS(Registros!$AP$2:$AP$401,Registros!$C$2:$C$401,H244))</f>
        <v>8</v>
      </c>
      <c r="E244" s="11" t="n">
        <f aca="false">IF(A244="","",ROUND(A244*0.067,2))</f>
        <v>0.54</v>
      </c>
      <c r="F244" s="11" t="n">
        <f aca="false">IF(OR(D244="",C244=""),"",D244-C244)</f>
        <v>-0.933</v>
      </c>
      <c r="G244" s="14" t="n">
        <f aca="false">IF(G243="","",G243+1)</f>
        <v>243</v>
      </c>
      <c r="H244" s="13"/>
      <c r="I244" s="12"/>
    </row>
    <row r="245" customFormat="false" ht="15" hidden="false" customHeight="false" outlineLevel="0" collapsed="false">
      <c r="A245" s="11" t="n">
        <f aca="false">IF(D244="","",D244)</f>
        <v>8</v>
      </c>
      <c r="B245" s="11" t="n">
        <f aca="false">IF(A245="","",(A245-(A245*0.067))/8)</f>
        <v>0.933</v>
      </c>
      <c r="C245" s="11" t="n">
        <f aca="false">IF(OR(A245="",B245=""),"",A245+B245)</f>
        <v>8.933</v>
      </c>
      <c r="D245" s="11" t="n">
        <f aca="false">IF(A245="","",A245+SUMIFS(Registros!$AP$2:$AP$401,Registros!$C$2:$C$401,H245))</f>
        <v>8</v>
      </c>
      <c r="E245" s="11" t="n">
        <f aca="false">IF(A245="","",ROUND(A245*0.067,2))</f>
        <v>0.54</v>
      </c>
      <c r="F245" s="11" t="n">
        <f aca="false">IF(OR(D245="",C245=""),"",D245-C245)</f>
        <v>-0.933</v>
      </c>
      <c r="G245" s="14" t="n">
        <f aca="false">IF(G244="","",G244+1)</f>
        <v>244</v>
      </c>
      <c r="H245" s="13"/>
      <c r="I245" s="12"/>
    </row>
    <row r="246" customFormat="false" ht="15" hidden="false" customHeight="false" outlineLevel="0" collapsed="false">
      <c r="A246" s="11" t="n">
        <f aca="false">IF(D245="","",D245)</f>
        <v>8</v>
      </c>
      <c r="B246" s="11" t="n">
        <f aca="false">IF(A246="","",(A246-(A246*0.067))/8)</f>
        <v>0.933</v>
      </c>
      <c r="C246" s="11" t="n">
        <f aca="false">IF(OR(A246="",B246=""),"",A246+B246)</f>
        <v>8.933</v>
      </c>
      <c r="D246" s="11" t="n">
        <f aca="false">IF(A246="","",A246+SUMIFS(Registros!$AP$2:$AP$401,Registros!$C$2:$C$401,H246))</f>
        <v>8</v>
      </c>
      <c r="E246" s="11" t="n">
        <f aca="false">IF(A246="","",ROUND(A246*0.067,2))</f>
        <v>0.54</v>
      </c>
      <c r="F246" s="11" t="n">
        <f aca="false">IF(OR(D246="",C246=""),"",D246-C246)</f>
        <v>-0.933</v>
      </c>
      <c r="G246" s="14" t="n">
        <f aca="false">IF(G245="","",G245+1)</f>
        <v>245</v>
      </c>
      <c r="H246" s="13"/>
      <c r="I246" s="12"/>
    </row>
    <row r="247" customFormat="false" ht="15" hidden="false" customHeight="false" outlineLevel="0" collapsed="false">
      <c r="A247" s="11" t="n">
        <f aca="false">IF(D246="","",D246)</f>
        <v>8</v>
      </c>
      <c r="B247" s="11" t="n">
        <f aca="false">IF(A247="","",(A247-(A247*0.067))/8)</f>
        <v>0.933</v>
      </c>
      <c r="C247" s="11" t="n">
        <f aca="false">IF(OR(A247="",B247=""),"",A247+B247)</f>
        <v>8.933</v>
      </c>
      <c r="D247" s="11" t="n">
        <f aca="false">IF(A247="","",A247+SUMIFS(Registros!$AP$2:$AP$401,Registros!$C$2:$C$401,H247))</f>
        <v>8</v>
      </c>
      <c r="E247" s="11" t="n">
        <f aca="false">IF(A247="","",ROUND(A247*0.067,2))</f>
        <v>0.54</v>
      </c>
      <c r="F247" s="11" t="n">
        <f aca="false">IF(OR(D247="",C247=""),"",D247-C247)</f>
        <v>-0.933</v>
      </c>
      <c r="G247" s="14" t="n">
        <f aca="false">IF(G246="","",G246+1)</f>
        <v>246</v>
      </c>
      <c r="H247" s="13"/>
      <c r="I247" s="12"/>
    </row>
    <row r="248" customFormat="false" ht="15" hidden="false" customHeight="false" outlineLevel="0" collapsed="false">
      <c r="A248" s="11" t="n">
        <f aca="false">IF(D247="","",D247)</f>
        <v>8</v>
      </c>
      <c r="B248" s="11" t="n">
        <f aca="false">IF(A248="","",(A248-(A248*0.067))/8)</f>
        <v>0.933</v>
      </c>
      <c r="C248" s="11" t="n">
        <f aca="false">IF(OR(A248="",B248=""),"",A248+B248)</f>
        <v>8.933</v>
      </c>
      <c r="D248" s="11" t="n">
        <f aca="false">IF(A248="","",A248+SUMIFS(Registros!$AP$2:$AP$401,Registros!$C$2:$C$401,H248))</f>
        <v>8</v>
      </c>
      <c r="E248" s="11" t="n">
        <f aca="false">IF(A248="","",ROUND(A248*0.067,2))</f>
        <v>0.54</v>
      </c>
      <c r="F248" s="11" t="n">
        <f aca="false">IF(OR(D248="",C248=""),"",D248-C248)</f>
        <v>-0.933</v>
      </c>
      <c r="G248" s="14" t="n">
        <f aca="false">IF(G247="","",G247+1)</f>
        <v>247</v>
      </c>
      <c r="H248" s="13"/>
      <c r="I248" s="12"/>
    </row>
    <row r="249" customFormat="false" ht="15" hidden="false" customHeight="false" outlineLevel="0" collapsed="false">
      <c r="A249" s="11" t="n">
        <f aca="false">IF(D248="","",D248)</f>
        <v>8</v>
      </c>
      <c r="B249" s="11" t="n">
        <f aca="false">IF(A249="","",(A249-(A249*0.067))/8)</f>
        <v>0.933</v>
      </c>
      <c r="C249" s="11" t="n">
        <f aca="false">IF(OR(A249="",B249=""),"",A249+B249)</f>
        <v>8.933</v>
      </c>
      <c r="D249" s="11" t="n">
        <f aca="false">IF(A249="","",A249+SUMIFS(Registros!$AP$2:$AP$401,Registros!$C$2:$C$401,H249))</f>
        <v>8</v>
      </c>
      <c r="E249" s="11" t="n">
        <f aca="false">IF(A249="","",ROUND(A249*0.067,2))</f>
        <v>0.54</v>
      </c>
      <c r="F249" s="11" t="n">
        <f aca="false">IF(OR(D249="",C249=""),"",D249-C249)</f>
        <v>-0.933</v>
      </c>
      <c r="G249" s="14" t="n">
        <f aca="false">IF(G248="","",G248+1)</f>
        <v>248</v>
      </c>
      <c r="H249" s="13"/>
      <c r="I249" s="12"/>
    </row>
    <row r="250" customFormat="false" ht="15" hidden="false" customHeight="false" outlineLevel="0" collapsed="false">
      <c r="A250" s="11" t="n">
        <f aca="false">IF(D249="","",D249)</f>
        <v>8</v>
      </c>
      <c r="B250" s="11" t="n">
        <f aca="false">IF(A250="","",(A250-(A250*0.067))/8)</f>
        <v>0.933</v>
      </c>
      <c r="C250" s="11" t="n">
        <f aca="false">IF(OR(A250="",B250=""),"",A250+B250)</f>
        <v>8.933</v>
      </c>
      <c r="D250" s="11" t="n">
        <f aca="false">IF(A250="","",A250+SUMIFS(Registros!$AP$2:$AP$401,Registros!$C$2:$C$401,H250))</f>
        <v>8</v>
      </c>
      <c r="E250" s="11" t="n">
        <f aca="false">IF(A250="","",ROUND(A250*0.067,2))</f>
        <v>0.54</v>
      </c>
      <c r="F250" s="11" t="n">
        <f aca="false">IF(OR(D250="",C250=""),"",D250-C250)</f>
        <v>-0.933</v>
      </c>
      <c r="G250" s="14" t="n">
        <f aca="false">IF(G249="","",G249+1)</f>
        <v>249</v>
      </c>
      <c r="H250" s="13"/>
      <c r="I250" s="12"/>
    </row>
    <row r="251" customFormat="false" ht="15" hidden="false" customHeight="false" outlineLevel="0" collapsed="false">
      <c r="A251" s="11" t="n">
        <f aca="false">IF(D250="","",D250)</f>
        <v>8</v>
      </c>
      <c r="B251" s="11" t="n">
        <f aca="false">IF(A251="","",(A251-(A251*0.067))/8)</f>
        <v>0.933</v>
      </c>
      <c r="C251" s="11" t="n">
        <f aca="false">IF(OR(A251="",B251=""),"",A251+B251)</f>
        <v>8.933</v>
      </c>
      <c r="D251" s="11" t="n">
        <f aca="false">IF(A251="","",A251+SUMIFS(Registros!$AP$2:$AP$401,Registros!$C$2:$C$401,H251))</f>
        <v>8</v>
      </c>
      <c r="E251" s="11" t="n">
        <f aca="false">IF(A251="","",ROUND(A251*0.067,2))</f>
        <v>0.54</v>
      </c>
      <c r="F251" s="11" t="n">
        <f aca="false">IF(OR(D251="",C251=""),"",D251-C251)</f>
        <v>-0.933</v>
      </c>
      <c r="G251" s="14" t="n">
        <f aca="false">IF(G250="","",G250+1)</f>
        <v>250</v>
      </c>
      <c r="H251" s="13"/>
      <c r="I251" s="12"/>
    </row>
    <row r="252" customFormat="false" ht="15" hidden="false" customHeight="false" outlineLevel="0" collapsed="false">
      <c r="A252" s="11" t="n">
        <f aca="false">IF(D251="","",D251)</f>
        <v>8</v>
      </c>
      <c r="B252" s="11" t="n">
        <f aca="false">IF(A252="","",(A252-(A252*0.067))/8)</f>
        <v>0.933</v>
      </c>
      <c r="C252" s="11" t="n">
        <f aca="false">IF(OR(A252="",B252=""),"",A252+B252)</f>
        <v>8.933</v>
      </c>
      <c r="D252" s="11" t="n">
        <f aca="false">IF(A252="","",A252+SUMIFS(Registros!$AP$2:$AP$401,Registros!$C$2:$C$401,H252))</f>
        <v>8</v>
      </c>
      <c r="E252" s="11" t="n">
        <f aca="false">IF(A252="","",ROUND(A252*0.067,2))</f>
        <v>0.54</v>
      </c>
      <c r="F252" s="11" t="n">
        <f aca="false">IF(OR(D252="",C252=""),"",D252-C252)</f>
        <v>-0.933</v>
      </c>
      <c r="G252" s="14" t="n">
        <f aca="false">IF(G251="","",G251+1)</f>
        <v>251</v>
      </c>
      <c r="H252" s="13"/>
      <c r="I252" s="12"/>
    </row>
    <row r="253" customFormat="false" ht="15" hidden="false" customHeight="false" outlineLevel="0" collapsed="false">
      <c r="A253" s="11" t="n">
        <f aca="false">IF(D252="","",D252)</f>
        <v>8</v>
      </c>
      <c r="B253" s="11" t="n">
        <f aca="false">IF(A253="","",(A253-(A253*0.067))/8)</f>
        <v>0.933</v>
      </c>
      <c r="C253" s="11" t="n">
        <f aca="false">IF(OR(A253="",B253=""),"",A253+B253)</f>
        <v>8.933</v>
      </c>
      <c r="D253" s="11" t="n">
        <f aca="false">IF(A253="","",A253+SUMIFS(Registros!$AP$2:$AP$401,Registros!$C$2:$C$401,H253))</f>
        <v>8</v>
      </c>
      <c r="E253" s="11" t="n">
        <f aca="false">IF(A253="","",ROUND(A253*0.067,2))</f>
        <v>0.54</v>
      </c>
      <c r="F253" s="11" t="n">
        <f aca="false">IF(OR(D253="",C253=""),"",D253-C253)</f>
        <v>-0.933</v>
      </c>
      <c r="G253" s="14" t="n">
        <f aca="false">IF(G252="","",G252+1)</f>
        <v>252</v>
      </c>
      <c r="H253" s="13"/>
      <c r="I253" s="12"/>
    </row>
    <row r="254" customFormat="false" ht="15" hidden="false" customHeight="false" outlineLevel="0" collapsed="false">
      <c r="A254" s="11" t="n">
        <f aca="false">IF(D253="","",D253)</f>
        <v>8</v>
      </c>
      <c r="B254" s="11" t="n">
        <f aca="false">IF(A254="","",(A254-(A254*0.067))/8)</f>
        <v>0.933</v>
      </c>
      <c r="C254" s="11" t="n">
        <f aca="false">IF(OR(A254="",B254=""),"",A254+B254)</f>
        <v>8.933</v>
      </c>
      <c r="D254" s="11" t="n">
        <f aca="false">IF(A254="","",A254+SUMIFS(Registros!$AP$2:$AP$401,Registros!$C$2:$C$401,H254))</f>
        <v>8</v>
      </c>
      <c r="E254" s="11" t="n">
        <f aca="false">IF(A254="","",ROUND(A254*0.067,2))</f>
        <v>0.54</v>
      </c>
      <c r="F254" s="11" t="n">
        <f aca="false">IF(OR(D254="",C254=""),"",D254-C254)</f>
        <v>-0.933</v>
      </c>
      <c r="G254" s="14" t="n">
        <f aca="false">IF(G253="","",G253+1)</f>
        <v>253</v>
      </c>
      <c r="H254" s="13"/>
      <c r="I254" s="12"/>
    </row>
    <row r="255" customFormat="false" ht="15" hidden="false" customHeight="false" outlineLevel="0" collapsed="false">
      <c r="A255" s="11" t="n">
        <f aca="false">IF(D254="","",D254)</f>
        <v>8</v>
      </c>
      <c r="B255" s="11" t="n">
        <f aca="false">IF(A255="","",(A255-(A255*0.067))/8)</f>
        <v>0.933</v>
      </c>
      <c r="C255" s="11" t="n">
        <f aca="false">IF(OR(A255="",B255=""),"",A255+B255)</f>
        <v>8.933</v>
      </c>
      <c r="D255" s="11" t="n">
        <f aca="false">IF(A255="","",A255+SUMIFS(Registros!$AP$2:$AP$401,Registros!$C$2:$C$401,H255))</f>
        <v>8</v>
      </c>
      <c r="E255" s="11" t="n">
        <f aca="false">IF(A255="","",ROUND(A255*0.067,2))</f>
        <v>0.54</v>
      </c>
      <c r="F255" s="11" t="n">
        <f aca="false">IF(OR(D255="",C255=""),"",D255-C255)</f>
        <v>-0.933</v>
      </c>
      <c r="G255" s="14" t="n">
        <f aca="false">IF(G254="","",G254+1)</f>
        <v>254</v>
      </c>
      <c r="H255" s="13"/>
      <c r="I255" s="12"/>
    </row>
    <row r="256" customFormat="false" ht="15" hidden="false" customHeight="false" outlineLevel="0" collapsed="false">
      <c r="A256" s="11" t="n">
        <f aca="false">IF(D255="","",D255)</f>
        <v>8</v>
      </c>
      <c r="B256" s="11" t="n">
        <f aca="false">IF(A256="","",(A256-(A256*0.067))/8)</f>
        <v>0.933</v>
      </c>
      <c r="C256" s="11" t="n">
        <f aca="false">IF(OR(A256="",B256=""),"",A256+B256)</f>
        <v>8.933</v>
      </c>
      <c r="D256" s="11" t="n">
        <f aca="false">IF(A256="","",A256+SUMIFS(Registros!$AP$2:$AP$401,Registros!$C$2:$C$401,H256))</f>
        <v>8</v>
      </c>
      <c r="E256" s="11" t="n">
        <f aca="false">IF(A256="","",ROUND(A256*0.067,2))</f>
        <v>0.54</v>
      </c>
      <c r="F256" s="11" t="n">
        <f aca="false">IF(OR(D256="",C256=""),"",D256-C256)</f>
        <v>-0.933</v>
      </c>
      <c r="G256" s="14" t="n">
        <f aca="false">IF(G255="","",G255+1)</f>
        <v>255</v>
      </c>
      <c r="H256" s="13"/>
      <c r="I256" s="12"/>
    </row>
    <row r="257" customFormat="false" ht="15" hidden="false" customHeight="false" outlineLevel="0" collapsed="false">
      <c r="A257" s="11" t="n">
        <f aca="false">IF(D256="","",D256)</f>
        <v>8</v>
      </c>
      <c r="B257" s="11" t="n">
        <f aca="false">IF(A257="","",(A257-(A257*0.067))/8)</f>
        <v>0.933</v>
      </c>
      <c r="C257" s="11" t="n">
        <f aca="false">IF(OR(A257="",B257=""),"",A257+B257)</f>
        <v>8.933</v>
      </c>
      <c r="D257" s="11" t="n">
        <f aca="false">IF(A257="","",A257+SUMIFS(Registros!$AP$2:$AP$401,Registros!$C$2:$C$401,H257))</f>
        <v>8</v>
      </c>
      <c r="E257" s="11" t="n">
        <f aca="false">IF(A257="","",ROUND(A257*0.067,2))</f>
        <v>0.54</v>
      </c>
      <c r="F257" s="11" t="n">
        <f aca="false">IF(OR(D257="",C257=""),"",D257-C257)</f>
        <v>-0.933</v>
      </c>
      <c r="G257" s="14" t="n">
        <f aca="false">IF(G256="","",G256+1)</f>
        <v>256</v>
      </c>
      <c r="H257" s="13"/>
      <c r="I257" s="12"/>
    </row>
    <row r="258" customFormat="false" ht="15" hidden="false" customHeight="false" outlineLevel="0" collapsed="false">
      <c r="A258" s="11" t="n">
        <f aca="false">IF(D257="","",D257)</f>
        <v>8</v>
      </c>
      <c r="B258" s="11" t="n">
        <f aca="false">IF(A258="","",(A258-(A258*0.067))/8)</f>
        <v>0.933</v>
      </c>
      <c r="C258" s="11" t="n">
        <f aca="false">IF(OR(A258="",B258=""),"",A258+B258)</f>
        <v>8.933</v>
      </c>
      <c r="D258" s="11" t="n">
        <f aca="false">IF(A258="","",A258+SUMIFS(Registros!$AP$2:$AP$401,Registros!$C$2:$C$401,H258))</f>
        <v>8</v>
      </c>
      <c r="E258" s="11" t="n">
        <f aca="false">IF(A258="","",ROUND(A258*0.067,2))</f>
        <v>0.54</v>
      </c>
      <c r="F258" s="11" t="n">
        <f aca="false">IF(OR(D258="",C258=""),"",D258-C258)</f>
        <v>-0.933</v>
      </c>
      <c r="G258" s="14" t="n">
        <f aca="false">IF(G257="","",G257+1)</f>
        <v>257</v>
      </c>
      <c r="H258" s="13"/>
      <c r="I258" s="12"/>
    </row>
    <row r="259" customFormat="false" ht="15" hidden="false" customHeight="false" outlineLevel="0" collapsed="false">
      <c r="A259" s="11" t="n">
        <f aca="false">IF(D258="","",D258)</f>
        <v>8</v>
      </c>
      <c r="B259" s="11" t="n">
        <f aca="false">IF(A259="","",(A259-(A259*0.067))/8)</f>
        <v>0.933</v>
      </c>
      <c r="C259" s="11" t="n">
        <f aca="false">IF(OR(A259="",B259=""),"",A259+B259)</f>
        <v>8.933</v>
      </c>
      <c r="D259" s="11" t="n">
        <f aca="false">IF(A259="","",A259+SUMIFS(Registros!$AP$2:$AP$401,Registros!$C$2:$C$401,H259))</f>
        <v>8</v>
      </c>
      <c r="E259" s="11" t="n">
        <f aca="false">IF(A259="","",ROUND(A259*0.067,2))</f>
        <v>0.54</v>
      </c>
      <c r="F259" s="11" t="n">
        <f aca="false">IF(OR(D259="",C259=""),"",D259-C259)</f>
        <v>-0.933</v>
      </c>
      <c r="G259" s="14" t="n">
        <f aca="false">IF(G258="","",G258+1)</f>
        <v>258</v>
      </c>
      <c r="H259" s="13"/>
      <c r="I259" s="12"/>
    </row>
    <row r="260" customFormat="false" ht="15" hidden="false" customHeight="false" outlineLevel="0" collapsed="false">
      <c r="A260" s="11" t="n">
        <f aca="false">IF(D259="","",D259)</f>
        <v>8</v>
      </c>
      <c r="B260" s="11" t="n">
        <f aca="false">IF(A260="","",(A260-(A260*0.067))/8)</f>
        <v>0.933</v>
      </c>
      <c r="C260" s="11" t="n">
        <f aca="false">IF(OR(A260="",B260=""),"",A260+B260)</f>
        <v>8.933</v>
      </c>
      <c r="D260" s="11" t="n">
        <f aca="false">IF(A260="","",A260+SUMIFS(Registros!$AP$2:$AP$401,Registros!$C$2:$C$401,H260))</f>
        <v>8</v>
      </c>
      <c r="E260" s="11" t="n">
        <f aca="false">IF(A260="","",ROUND(A260*0.067,2))</f>
        <v>0.54</v>
      </c>
      <c r="F260" s="11" t="n">
        <f aca="false">IF(OR(D260="",C260=""),"",D260-C260)</f>
        <v>-0.933</v>
      </c>
      <c r="G260" s="14" t="n">
        <f aca="false">IF(G259="","",G259+1)</f>
        <v>259</v>
      </c>
      <c r="H260" s="13"/>
      <c r="I260" s="12"/>
    </row>
    <row r="261" customFormat="false" ht="15" hidden="false" customHeight="false" outlineLevel="0" collapsed="false">
      <c r="A261" s="11" t="n">
        <f aca="false">IF(D260="","",D260)</f>
        <v>8</v>
      </c>
      <c r="B261" s="11" t="n">
        <f aca="false">IF(A261="","",(A261-(A261*0.067))/8)</f>
        <v>0.933</v>
      </c>
      <c r="C261" s="11" t="n">
        <f aca="false">IF(OR(A261="",B261=""),"",A261+B261)</f>
        <v>8.933</v>
      </c>
      <c r="D261" s="11" t="n">
        <f aca="false">IF(A261="","",A261+SUMIFS(Registros!$AP$2:$AP$401,Registros!$C$2:$C$401,H261))</f>
        <v>8</v>
      </c>
      <c r="E261" s="11" t="n">
        <f aca="false">IF(A261="","",ROUND(A261*0.067,2))</f>
        <v>0.54</v>
      </c>
      <c r="F261" s="11" t="n">
        <f aca="false">IF(OR(D261="",C261=""),"",D261-C261)</f>
        <v>-0.933</v>
      </c>
      <c r="G261" s="14" t="n">
        <f aca="false">IF(G260="","",G260+1)</f>
        <v>260</v>
      </c>
      <c r="H261" s="13"/>
      <c r="I261" s="12"/>
    </row>
    <row r="262" customFormat="false" ht="15" hidden="false" customHeight="false" outlineLevel="0" collapsed="false">
      <c r="A262" s="11" t="n">
        <f aca="false">IF(D261="","",D261)</f>
        <v>8</v>
      </c>
      <c r="B262" s="11" t="n">
        <f aca="false">IF(A262="","",(A262-(A262*0.067))/8)</f>
        <v>0.933</v>
      </c>
      <c r="C262" s="11" t="n">
        <f aca="false">IF(OR(A262="",B262=""),"",A262+B262)</f>
        <v>8.933</v>
      </c>
      <c r="D262" s="11" t="n">
        <f aca="false">IF(A262="","",A262+SUMIFS(Registros!$AP$2:$AP$401,Registros!$C$2:$C$401,H262))</f>
        <v>8</v>
      </c>
      <c r="E262" s="11" t="n">
        <f aca="false">IF(A262="","",ROUND(A262*0.067,2))</f>
        <v>0.54</v>
      </c>
      <c r="F262" s="11" t="n">
        <f aca="false">IF(OR(D262="",C262=""),"",D262-C262)</f>
        <v>-0.933</v>
      </c>
      <c r="G262" s="14" t="n">
        <f aca="false">IF(G261="","",G261+1)</f>
        <v>261</v>
      </c>
      <c r="H262" s="13"/>
      <c r="I262" s="12"/>
    </row>
    <row r="263" customFormat="false" ht="15" hidden="false" customHeight="false" outlineLevel="0" collapsed="false">
      <c r="A263" s="11" t="n">
        <f aca="false">IF(D262="","",D262)</f>
        <v>8</v>
      </c>
      <c r="B263" s="11" t="n">
        <f aca="false">IF(A263="","",(A263-(A263*0.067))/8)</f>
        <v>0.933</v>
      </c>
      <c r="C263" s="11" t="n">
        <f aca="false">IF(OR(A263="",B263=""),"",A263+B263)</f>
        <v>8.933</v>
      </c>
      <c r="D263" s="11" t="n">
        <f aca="false">IF(A263="","",A263+SUMIFS(Registros!$AP$2:$AP$401,Registros!$C$2:$C$401,H263))</f>
        <v>8</v>
      </c>
      <c r="E263" s="11" t="n">
        <f aca="false">IF(A263="","",ROUND(A263*0.067,2))</f>
        <v>0.54</v>
      </c>
      <c r="F263" s="11" t="n">
        <f aca="false">IF(OR(D263="",C263=""),"",D263-C263)</f>
        <v>-0.933</v>
      </c>
      <c r="G263" s="14" t="n">
        <f aca="false">IF(G262="","",G262+1)</f>
        <v>262</v>
      </c>
      <c r="H263" s="13"/>
      <c r="I263" s="12"/>
    </row>
    <row r="264" customFormat="false" ht="15" hidden="false" customHeight="false" outlineLevel="0" collapsed="false">
      <c r="A264" s="11" t="n">
        <f aca="false">IF(D263="","",D263)</f>
        <v>8</v>
      </c>
      <c r="B264" s="11" t="n">
        <f aca="false">IF(A264="","",(A264-(A264*0.067))/8)</f>
        <v>0.933</v>
      </c>
      <c r="C264" s="11" t="n">
        <f aca="false">IF(OR(A264="",B264=""),"",A264+B264)</f>
        <v>8.933</v>
      </c>
      <c r="D264" s="11" t="n">
        <f aca="false">IF(A264="","",A264+SUMIFS(Registros!$AP$2:$AP$401,Registros!$C$2:$C$401,H264))</f>
        <v>8</v>
      </c>
      <c r="E264" s="11" t="n">
        <f aca="false">IF(A264="","",ROUND(A264*0.067,2))</f>
        <v>0.54</v>
      </c>
      <c r="F264" s="11" t="n">
        <f aca="false">IF(OR(D264="",C264=""),"",D264-C264)</f>
        <v>-0.933</v>
      </c>
      <c r="G264" s="14" t="n">
        <f aca="false">IF(G263="","",G263+1)</f>
        <v>263</v>
      </c>
      <c r="H264" s="13"/>
      <c r="I264" s="12"/>
    </row>
    <row r="265" customFormat="false" ht="15" hidden="false" customHeight="false" outlineLevel="0" collapsed="false">
      <c r="A265" s="11" t="n">
        <f aca="false">IF(D264="","",D264)</f>
        <v>8</v>
      </c>
      <c r="B265" s="11" t="n">
        <f aca="false">IF(A265="","",(A265-(A265*0.067))/8)</f>
        <v>0.933</v>
      </c>
      <c r="C265" s="11" t="n">
        <f aca="false">IF(OR(A265="",B265=""),"",A265+B265)</f>
        <v>8.933</v>
      </c>
      <c r="D265" s="11" t="n">
        <f aca="false">IF(A265="","",A265+SUMIFS(Registros!$AP$2:$AP$401,Registros!$C$2:$C$401,H265))</f>
        <v>8</v>
      </c>
      <c r="E265" s="11" t="n">
        <f aca="false">IF(A265="","",ROUND(A265*0.067,2))</f>
        <v>0.54</v>
      </c>
      <c r="F265" s="11" t="n">
        <f aca="false">IF(OR(D265="",C265=""),"",D265-C265)</f>
        <v>-0.933</v>
      </c>
      <c r="G265" s="14" t="n">
        <f aca="false">IF(G264="","",G264+1)</f>
        <v>264</v>
      </c>
      <c r="H265" s="13"/>
      <c r="I265" s="12"/>
    </row>
    <row r="266" customFormat="false" ht="15" hidden="false" customHeight="false" outlineLevel="0" collapsed="false">
      <c r="A266" s="11" t="n">
        <f aca="false">IF(D265="","",D265)</f>
        <v>8</v>
      </c>
      <c r="B266" s="11" t="n">
        <f aca="false">IF(A266="","",(A266-(A266*0.067))/8)</f>
        <v>0.933</v>
      </c>
      <c r="C266" s="11" t="n">
        <f aca="false">IF(OR(A266="",B266=""),"",A266+B266)</f>
        <v>8.933</v>
      </c>
      <c r="D266" s="11" t="n">
        <f aca="false">IF(A266="","",A266+SUMIFS(Registros!$AP$2:$AP$401,Registros!$C$2:$C$401,H266))</f>
        <v>8</v>
      </c>
      <c r="E266" s="11" t="n">
        <f aca="false">IF(A266="","",ROUND(A266*0.067,2))</f>
        <v>0.54</v>
      </c>
      <c r="F266" s="11" t="n">
        <f aca="false">IF(OR(D266="",C266=""),"",D266-C266)</f>
        <v>-0.933</v>
      </c>
      <c r="G266" s="14" t="n">
        <f aca="false">IF(G265="","",G265+1)</f>
        <v>265</v>
      </c>
      <c r="H266" s="13"/>
      <c r="I266" s="12"/>
    </row>
    <row r="267" customFormat="false" ht="15" hidden="false" customHeight="false" outlineLevel="0" collapsed="false">
      <c r="A267" s="11" t="n">
        <f aca="false">IF(D266="","",D266)</f>
        <v>8</v>
      </c>
      <c r="B267" s="11" t="n">
        <f aca="false">IF(A267="","",(A267-(A267*0.067))/8)</f>
        <v>0.933</v>
      </c>
      <c r="C267" s="11" t="n">
        <f aca="false">IF(OR(A267="",B267=""),"",A267+B267)</f>
        <v>8.933</v>
      </c>
      <c r="D267" s="11" t="n">
        <f aca="false">IF(A267="","",A267+SUMIFS(Registros!$AP$2:$AP$401,Registros!$C$2:$C$401,H267))</f>
        <v>8</v>
      </c>
      <c r="E267" s="11" t="n">
        <f aca="false">IF(A267="","",ROUND(A267*0.067,2))</f>
        <v>0.54</v>
      </c>
      <c r="F267" s="11" t="n">
        <f aca="false">IF(OR(D267="",C267=""),"",D267-C267)</f>
        <v>-0.933</v>
      </c>
      <c r="G267" s="14" t="n">
        <f aca="false">IF(G266="","",G266+1)</f>
        <v>266</v>
      </c>
      <c r="H267" s="13"/>
      <c r="I267" s="12"/>
    </row>
    <row r="268" customFormat="false" ht="15" hidden="false" customHeight="false" outlineLevel="0" collapsed="false">
      <c r="A268" s="11" t="n">
        <f aca="false">IF(D267="","",D267)</f>
        <v>8</v>
      </c>
      <c r="B268" s="11" t="n">
        <f aca="false">IF(A268="","",(A268-(A268*0.067))/8)</f>
        <v>0.933</v>
      </c>
      <c r="C268" s="11" t="n">
        <f aca="false">IF(OR(A268="",B268=""),"",A268+B268)</f>
        <v>8.933</v>
      </c>
      <c r="D268" s="11" t="n">
        <f aca="false">IF(A268="","",A268+SUMIFS(Registros!$AP$2:$AP$401,Registros!$C$2:$C$401,H268))</f>
        <v>8</v>
      </c>
      <c r="E268" s="11" t="n">
        <f aca="false">IF(A268="","",ROUND(A268*0.067,2))</f>
        <v>0.54</v>
      </c>
      <c r="F268" s="11" t="n">
        <f aca="false">IF(OR(D268="",C268=""),"",D268-C268)</f>
        <v>-0.933</v>
      </c>
      <c r="G268" s="14" t="n">
        <f aca="false">IF(G267="","",G267+1)</f>
        <v>267</v>
      </c>
      <c r="H268" s="13"/>
      <c r="I268" s="12"/>
    </row>
    <row r="269" customFormat="false" ht="15" hidden="false" customHeight="false" outlineLevel="0" collapsed="false">
      <c r="A269" s="11" t="n">
        <f aca="false">IF(D268="","",D268)</f>
        <v>8</v>
      </c>
      <c r="B269" s="11" t="n">
        <f aca="false">IF(A269="","",(A269-(A269*0.067))/8)</f>
        <v>0.933</v>
      </c>
      <c r="C269" s="11" t="n">
        <f aca="false">IF(OR(A269="",B269=""),"",A269+B269)</f>
        <v>8.933</v>
      </c>
      <c r="D269" s="11" t="n">
        <f aca="false">IF(A269="","",A269+SUMIFS(Registros!$AP$2:$AP$401,Registros!$C$2:$C$401,H269))</f>
        <v>8</v>
      </c>
      <c r="E269" s="11" t="n">
        <f aca="false">IF(A269="","",ROUND(A269*0.067,2))</f>
        <v>0.54</v>
      </c>
      <c r="F269" s="11" t="n">
        <f aca="false">IF(OR(D269="",C269=""),"",D269-C269)</f>
        <v>-0.933</v>
      </c>
      <c r="G269" s="14" t="n">
        <f aca="false">IF(G268="","",G268+1)</f>
        <v>268</v>
      </c>
      <c r="H269" s="13"/>
      <c r="I269" s="12"/>
    </row>
    <row r="270" customFormat="false" ht="15" hidden="false" customHeight="false" outlineLevel="0" collapsed="false">
      <c r="A270" s="11" t="n">
        <f aca="false">IF(D269="","",D269)</f>
        <v>8</v>
      </c>
      <c r="B270" s="11" t="n">
        <f aca="false">IF(A270="","",(A270-(A270*0.067))/8)</f>
        <v>0.933</v>
      </c>
      <c r="C270" s="11" t="n">
        <f aca="false">IF(OR(A270="",B270=""),"",A270+B270)</f>
        <v>8.933</v>
      </c>
      <c r="D270" s="11" t="n">
        <f aca="false">IF(A270="","",A270+SUMIFS(Registros!$AP$2:$AP$401,Registros!$C$2:$C$401,H270))</f>
        <v>8</v>
      </c>
      <c r="E270" s="11" t="n">
        <f aca="false">IF(A270="","",ROUND(A270*0.067,2))</f>
        <v>0.54</v>
      </c>
      <c r="F270" s="11" t="n">
        <f aca="false">IF(OR(D270="",C270=""),"",D270-C270)</f>
        <v>-0.933</v>
      </c>
      <c r="G270" s="14" t="n">
        <f aca="false">IF(G269="","",G269+1)</f>
        <v>269</v>
      </c>
      <c r="H270" s="13"/>
      <c r="I270" s="12"/>
    </row>
    <row r="271" customFormat="false" ht="15" hidden="false" customHeight="false" outlineLevel="0" collapsed="false">
      <c r="A271" s="11" t="n">
        <f aca="false">IF(D270="","",D270)</f>
        <v>8</v>
      </c>
      <c r="B271" s="11" t="n">
        <f aca="false">IF(A271="","",(A271-(A271*0.067))/8)</f>
        <v>0.933</v>
      </c>
      <c r="C271" s="11" t="n">
        <f aca="false">IF(OR(A271="",B271=""),"",A271+B271)</f>
        <v>8.933</v>
      </c>
      <c r="D271" s="11" t="n">
        <f aca="false">IF(A271="","",A271+SUMIFS(Registros!$AP$2:$AP$401,Registros!$C$2:$C$401,H271))</f>
        <v>8</v>
      </c>
      <c r="E271" s="11" t="n">
        <f aca="false">IF(A271="","",ROUND(A271*0.067,2))</f>
        <v>0.54</v>
      </c>
      <c r="F271" s="11" t="n">
        <f aca="false">IF(OR(D271="",C271=""),"",D271-C271)</f>
        <v>-0.933</v>
      </c>
      <c r="G271" s="14" t="n">
        <f aca="false">IF(G270="","",G270+1)</f>
        <v>270</v>
      </c>
      <c r="H271" s="13"/>
      <c r="I271" s="12"/>
    </row>
    <row r="272" customFormat="false" ht="15" hidden="false" customHeight="false" outlineLevel="0" collapsed="false">
      <c r="A272" s="11" t="n">
        <f aca="false">IF(D271="","",D271)</f>
        <v>8</v>
      </c>
      <c r="B272" s="11" t="n">
        <f aca="false">IF(A272="","",(A272-(A272*0.067))/8)</f>
        <v>0.933</v>
      </c>
      <c r="C272" s="11" t="n">
        <f aca="false">IF(OR(A272="",B272=""),"",A272+B272)</f>
        <v>8.933</v>
      </c>
      <c r="D272" s="11" t="n">
        <f aca="false">IF(A272="","",A272+SUMIFS(Registros!$AP$2:$AP$401,Registros!$C$2:$C$401,H272))</f>
        <v>8</v>
      </c>
      <c r="E272" s="11" t="n">
        <f aca="false">IF(A272="","",ROUND(A272*0.067,2))</f>
        <v>0.54</v>
      </c>
      <c r="F272" s="11" t="n">
        <f aca="false">IF(OR(D272="",C272=""),"",D272-C272)</f>
        <v>-0.933</v>
      </c>
      <c r="G272" s="14" t="n">
        <f aca="false">IF(G271="","",G271+1)</f>
        <v>271</v>
      </c>
      <c r="H272" s="13"/>
      <c r="I272" s="12"/>
    </row>
    <row r="273" customFormat="false" ht="15" hidden="false" customHeight="false" outlineLevel="0" collapsed="false">
      <c r="A273" s="11" t="n">
        <f aca="false">IF(D272="","",D272)</f>
        <v>8</v>
      </c>
      <c r="B273" s="11" t="n">
        <f aca="false">IF(A273="","",(A273-(A273*0.067))/8)</f>
        <v>0.933</v>
      </c>
      <c r="C273" s="11" t="n">
        <f aca="false">IF(OR(A273="",B273=""),"",A273+B273)</f>
        <v>8.933</v>
      </c>
      <c r="D273" s="11" t="n">
        <f aca="false">IF(A273="","",A273+SUMIFS(Registros!$AP$2:$AP$401,Registros!$C$2:$C$401,H273))</f>
        <v>8</v>
      </c>
      <c r="E273" s="11" t="n">
        <f aca="false">IF(A273="","",ROUND(A273*0.067,2))</f>
        <v>0.54</v>
      </c>
      <c r="F273" s="11" t="n">
        <f aca="false">IF(OR(D273="",C273=""),"",D273-C273)</f>
        <v>-0.933</v>
      </c>
      <c r="G273" s="14" t="n">
        <f aca="false">IF(G272="","",G272+1)</f>
        <v>272</v>
      </c>
      <c r="H273" s="13"/>
      <c r="I273" s="12"/>
    </row>
    <row r="274" customFormat="false" ht="15" hidden="false" customHeight="false" outlineLevel="0" collapsed="false">
      <c r="A274" s="11" t="n">
        <f aca="false">IF(D273="","",D273)</f>
        <v>8</v>
      </c>
      <c r="B274" s="11" t="n">
        <f aca="false">IF(A274="","",(A274-(A274*0.067))/8)</f>
        <v>0.933</v>
      </c>
      <c r="C274" s="11" t="n">
        <f aca="false">IF(OR(A274="",B274=""),"",A274+B274)</f>
        <v>8.933</v>
      </c>
      <c r="D274" s="11" t="n">
        <f aca="false">IF(A274="","",A274+SUMIFS(Registros!$AP$2:$AP$401,Registros!$C$2:$C$401,H274))</f>
        <v>8</v>
      </c>
      <c r="E274" s="11" t="n">
        <f aca="false">IF(A274="","",ROUND(A274*0.067,2))</f>
        <v>0.54</v>
      </c>
      <c r="F274" s="11" t="n">
        <f aca="false">IF(OR(D274="",C274=""),"",D274-C274)</f>
        <v>-0.933</v>
      </c>
      <c r="G274" s="14" t="n">
        <f aca="false">IF(G273="","",G273+1)</f>
        <v>273</v>
      </c>
      <c r="H274" s="13"/>
      <c r="I274" s="12"/>
    </row>
    <row r="275" customFormat="false" ht="15" hidden="false" customHeight="false" outlineLevel="0" collapsed="false">
      <c r="A275" s="11" t="n">
        <f aca="false">IF(D274="","",D274)</f>
        <v>8</v>
      </c>
      <c r="B275" s="11" t="n">
        <f aca="false">IF(A275="","",(A275-(A275*0.067))/8)</f>
        <v>0.933</v>
      </c>
      <c r="C275" s="11" t="n">
        <f aca="false">IF(OR(A275="",B275=""),"",A275+B275)</f>
        <v>8.933</v>
      </c>
      <c r="D275" s="11" t="n">
        <f aca="false">IF(A275="","",A275+SUMIFS(Registros!$AP$2:$AP$401,Registros!$C$2:$C$401,H275))</f>
        <v>8</v>
      </c>
      <c r="E275" s="11" t="n">
        <f aca="false">IF(A275="","",ROUND(A275*0.067,2))</f>
        <v>0.54</v>
      </c>
      <c r="F275" s="11" t="n">
        <f aca="false">IF(OR(D275="",C275=""),"",D275-C275)</f>
        <v>-0.933</v>
      </c>
      <c r="G275" s="14" t="n">
        <f aca="false">IF(G274="","",G274+1)</f>
        <v>274</v>
      </c>
      <c r="H275" s="13"/>
      <c r="I275" s="12"/>
    </row>
    <row r="276" customFormat="false" ht="15" hidden="false" customHeight="false" outlineLevel="0" collapsed="false">
      <c r="A276" s="11" t="n">
        <f aca="false">IF(D275="","",D275)</f>
        <v>8</v>
      </c>
      <c r="B276" s="11" t="n">
        <f aca="false">IF(A276="","",(A276-(A276*0.067))/8)</f>
        <v>0.933</v>
      </c>
      <c r="C276" s="11" t="n">
        <f aca="false">IF(OR(A276="",B276=""),"",A276+B276)</f>
        <v>8.933</v>
      </c>
      <c r="D276" s="11" t="n">
        <f aca="false">IF(A276="","",A276+SUMIFS(Registros!$AP$2:$AP$401,Registros!$C$2:$C$401,H276))</f>
        <v>8</v>
      </c>
      <c r="E276" s="11" t="n">
        <f aca="false">IF(A276="","",ROUND(A276*0.067,2))</f>
        <v>0.54</v>
      </c>
      <c r="F276" s="11" t="n">
        <f aca="false">IF(OR(D276="",C276=""),"",D276-C276)</f>
        <v>-0.933</v>
      </c>
      <c r="G276" s="14" t="n">
        <f aca="false">IF(G275="","",G275+1)</f>
        <v>275</v>
      </c>
      <c r="H276" s="13"/>
      <c r="I276" s="12"/>
    </row>
    <row r="277" customFormat="false" ht="15" hidden="false" customHeight="false" outlineLevel="0" collapsed="false">
      <c r="A277" s="11" t="n">
        <f aca="false">IF(D276="","",D276)</f>
        <v>8</v>
      </c>
      <c r="B277" s="11" t="n">
        <f aca="false">IF(A277="","",(A277-(A277*0.067))/8)</f>
        <v>0.933</v>
      </c>
      <c r="C277" s="11" t="n">
        <f aca="false">IF(OR(A277="",B277=""),"",A277+B277)</f>
        <v>8.933</v>
      </c>
      <c r="D277" s="11" t="n">
        <f aca="false">IF(A277="","",A277+SUMIFS(Registros!$AP$2:$AP$401,Registros!$C$2:$C$401,H277))</f>
        <v>8</v>
      </c>
      <c r="E277" s="11" t="n">
        <f aca="false">IF(A277="","",ROUND(A277*0.067,2))</f>
        <v>0.54</v>
      </c>
      <c r="F277" s="11" t="n">
        <f aca="false">IF(OR(D277="",C277=""),"",D277-C277)</f>
        <v>-0.933</v>
      </c>
      <c r="G277" s="14" t="n">
        <f aca="false">IF(G276="","",G276+1)</f>
        <v>276</v>
      </c>
      <c r="H277" s="13"/>
      <c r="I277" s="12"/>
    </row>
    <row r="278" customFormat="false" ht="15" hidden="false" customHeight="false" outlineLevel="0" collapsed="false">
      <c r="A278" s="11" t="n">
        <f aca="false">IF(D277="","",D277)</f>
        <v>8</v>
      </c>
      <c r="B278" s="11" t="n">
        <f aca="false">IF(A278="","",(A278-(A278*0.067))/8)</f>
        <v>0.933</v>
      </c>
      <c r="C278" s="11" t="n">
        <f aca="false">IF(OR(A278="",B278=""),"",A278+B278)</f>
        <v>8.933</v>
      </c>
      <c r="D278" s="11" t="n">
        <f aca="false">IF(A278="","",A278+SUMIFS(Registros!$AP$2:$AP$401,Registros!$C$2:$C$401,H278))</f>
        <v>8</v>
      </c>
      <c r="E278" s="11" t="n">
        <f aca="false">IF(A278="","",ROUND(A278*0.067,2))</f>
        <v>0.54</v>
      </c>
      <c r="F278" s="11" t="n">
        <f aca="false">IF(OR(D278="",C278=""),"",D278-C278)</f>
        <v>-0.933</v>
      </c>
      <c r="G278" s="14" t="n">
        <f aca="false">IF(G277="","",G277+1)</f>
        <v>277</v>
      </c>
      <c r="H278" s="13"/>
      <c r="I278" s="12"/>
    </row>
    <row r="279" customFormat="false" ht="15" hidden="false" customHeight="false" outlineLevel="0" collapsed="false">
      <c r="A279" s="11" t="n">
        <f aca="false">IF(D278="","",D278)</f>
        <v>8</v>
      </c>
      <c r="B279" s="11" t="n">
        <f aca="false">IF(A279="","",(A279-(A279*0.067))/8)</f>
        <v>0.933</v>
      </c>
      <c r="C279" s="11" t="n">
        <f aca="false">IF(OR(A279="",B279=""),"",A279+B279)</f>
        <v>8.933</v>
      </c>
      <c r="D279" s="11" t="n">
        <f aca="false">IF(A279="","",A279+SUMIFS(Registros!$AP$2:$AP$401,Registros!$C$2:$C$401,H279))</f>
        <v>8</v>
      </c>
      <c r="E279" s="11" t="n">
        <f aca="false">IF(A279="","",ROUND(A279*0.067,2))</f>
        <v>0.54</v>
      </c>
      <c r="F279" s="11" t="n">
        <f aca="false">IF(OR(D279="",C279=""),"",D279-C279)</f>
        <v>-0.933</v>
      </c>
      <c r="G279" s="14" t="n">
        <f aca="false">IF(G278="","",G278+1)</f>
        <v>278</v>
      </c>
      <c r="H279" s="13"/>
      <c r="I279" s="12"/>
    </row>
    <row r="280" customFormat="false" ht="15" hidden="false" customHeight="false" outlineLevel="0" collapsed="false">
      <c r="A280" s="11" t="n">
        <f aca="false">IF(D279="","",D279)</f>
        <v>8</v>
      </c>
      <c r="B280" s="11" t="n">
        <f aca="false">IF(A280="","",(A280-(A280*0.067))/8)</f>
        <v>0.933</v>
      </c>
      <c r="C280" s="11" t="n">
        <f aca="false">IF(OR(A280="",B280=""),"",A280+B280)</f>
        <v>8.933</v>
      </c>
      <c r="D280" s="11" t="n">
        <f aca="false">IF(A280="","",A280+SUMIFS(Registros!$AP$2:$AP$401,Registros!$C$2:$C$401,H280))</f>
        <v>8</v>
      </c>
      <c r="E280" s="11" t="n">
        <f aca="false">IF(A280="","",ROUND(A280*0.067,2))</f>
        <v>0.54</v>
      </c>
      <c r="F280" s="11" t="n">
        <f aca="false">IF(OR(D280="",C280=""),"",D280-C280)</f>
        <v>-0.933</v>
      </c>
      <c r="G280" s="14" t="n">
        <f aca="false">IF(G279="","",G279+1)</f>
        <v>279</v>
      </c>
      <c r="H280" s="13"/>
      <c r="I280" s="12"/>
    </row>
    <row r="281" customFormat="false" ht="15" hidden="false" customHeight="false" outlineLevel="0" collapsed="false">
      <c r="A281" s="11" t="n">
        <f aca="false">IF(D280="","",D280)</f>
        <v>8</v>
      </c>
      <c r="B281" s="11" t="n">
        <f aca="false">IF(A281="","",(A281-(A281*0.067))/8)</f>
        <v>0.933</v>
      </c>
      <c r="C281" s="11" t="n">
        <f aca="false">IF(OR(A281="",B281=""),"",A281+B281)</f>
        <v>8.933</v>
      </c>
      <c r="D281" s="11" t="n">
        <f aca="false">IF(A281="","",A281+SUMIFS(Registros!$AP$2:$AP$401,Registros!$C$2:$C$401,H281))</f>
        <v>8</v>
      </c>
      <c r="E281" s="11" t="n">
        <f aca="false">IF(A281="","",ROUND(A281*0.067,2))</f>
        <v>0.54</v>
      </c>
      <c r="F281" s="11" t="n">
        <f aca="false">IF(OR(D281="",C281=""),"",D281-C281)</f>
        <v>-0.933</v>
      </c>
      <c r="G281" s="14" t="n">
        <f aca="false">IF(G280="","",G280+1)</f>
        <v>280</v>
      </c>
      <c r="H281" s="13"/>
      <c r="I281" s="12"/>
    </row>
    <row r="282" customFormat="false" ht="15" hidden="false" customHeight="false" outlineLevel="0" collapsed="false">
      <c r="A282" s="11" t="n">
        <f aca="false">IF(D281="","",D281)</f>
        <v>8</v>
      </c>
      <c r="B282" s="11" t="n">
        <f aca="false">IF(A282="","",(A282-(A282*0.067))/8)</f>
        <v>0.933</v>
      </c>
      <c r="C282" s="11" t="n">
        <f aca="false">IF(OR(A282="",B282=""),"",A282+B282)</f>
        <v>8.933</v>
      </c>
      <c r="D282" s="11" t="n">
        <f aca="false">IF(A282="","",A282+SUMIFS(Registros!$AP$2:$AP$401,Registros!$C$2:$C$401,H282))</f>
        <v>8</v>
      </c>
      <c r="E282" s="11" t="n">
        <f aca="false">IF(A282="","",ROUND(A282*0.067,2))</f>
        <v>0.54</v>
      </c>
      <c r="F282" s="11" t="n">
        <f aca="false">IF(OR(D282="",C282=""),"",D282-C282)</f>
        <v>-0.933</v>
      </c>
      <c r="G282" s="14" t="n">
        <f aca="false">IF(G281="","",G281+1)</f>
        <v>281</v>
      </c>
      <c r="H282" s="13"/>
      <c r="I282" s="12"/>
    </row>
    <row r="283" customFormat="false" ht="15" hidden="false" customHeight="false" outlineLevel="0" collapsed="false">
      <c r="A283" s="11" t="n">
        <f aca="false">IF(D282="","",D282)</f>
        <v>8</v>
      </c>
      <c r="B283" s="11" t="n">
        <f aca="false">IF(A283="","",(A283-(A283*0.067))/8)</f>
        <v>0.933</v>
      </c>
      <c r="C283" s="11" t="n">
        <f aca="false">IF(OR(A283="",B283=""),"",A283+B283)</f>
        <v>8.933</v>
      </c>
      <c r="D283" s="11" t="n">
        <f aca="false">IF(A283="","",A283+SUMIFS(Registros!$AP$2:$AP$401,Registros!$C$2:$C$401,H283))</f>
        <v>8</v>
      </c>
      <c r="E283" s="11" t="n">
        <f aca="false">IF(A283="","",ROUND(A283*0.067,2))</f>
        <v>0.54</v>
      </c>
      <c r="F283" s="11" t="n">
        <f aca="false">IF(OR(D283="",C283=""),"",D283-C283)</f>
        <v>-0.933</v>
      </c>
      <c r="G283" s="14" t="n">
        <f aca="false">IF(G282="","",G282+1)</f>
        <v>282</v>
      </c>
      <c r="H283" s="13"/>
      <c r="I283" s="12"/>
    </row>
    <row r="284" customFormat="false" ht="15" hidden="false" customHeight="false" outlineLevel="0" collapsed="false">
      <c r="A284" s="11" t="n">
        <f aca="false">IF(D283="","",D283)</f>
        <v>8</v>
      </c>
      <c r="B284" s="11" t="n">
        <f aca="false">IF(A284="","",(A284-(A284*0.067))/8)</f>
        <v>0.933</v>
      </c>
      <c r="C284" s="11" t="n">
        <f aca="false">IF(OR(A284="",B284=""),"",A284+B284)</f>
        <v>8.933</v>
      </c>
      <c r="D284" s="11" t="n">
        <f aca="false">IF(A284="","",A284+SUMIFS(Registros!$AP$2:$AP$401,Registros!$C$2:$C$401,H284))</f>
        <v>8</v>
      </c>
      <c r="E284" s="11" t="n">
        <f aca="false">IF(A284="","",ROUND(A284*0.067,2))</f>
        <v>0.54</v>
      </c>
      <c r="F284" s="11" t="n">
        <f aca="false">IF(OR(D284="",C284=""),"",D284-C284)</f>
        <v>-0.933</v>
      </c>
      <c r="G284" s="14" t="n">
        <f aca="false">IF(G283="","",G283+1)</f>
        <v>283</v>
      </c>
      <c r="H284" s="13"/>
      <c r="I284" s="12"/>
    </row>
    <row r="285" customFormat="false" ht="15" hidden="false" customHeight="false" outlineLevel="0" collapsed="false">
      <c r="A285" s="11" t="n">
        <f aca="false">IF(D284="","",D284)</f>
        <v>8</v>
      </c>
      <c r="B285" s="11" t="n">
        <f aca="false">IF(A285="","",(A285-(A285*0.067))/8)</f>
        <v>0.933</v>
      </c>
      <c r="C285" s="11" t="n">
        <f aca="false">IF(OR(A285="",B285=""),"",A285+B285)</f>
        <v>8.933</v>
      </c>
      <c r="D285" s="11" t="n">
        <f aca="false">IF(A285="","",A285+SUMIFS(Registros!$AP$2:$AP$401,Registros!$C$2:$C$401,H285))</f>
        <v>8</v>
      </c>
      <c r="E285" s="11" t="n">
        <f aca="false">IF(A285="","",ROUND(A285*0.067,2))</f>
        <v>0.54</v>
      </c>
      <c r="F285" s="11" t="n">
        <f aca="false">IF(OR(D285="",C285=""),"",D285-C285)</f>
        <v>-0.933</v>
      </c>
      <c r="G285" s="14" t="n">
        <f aca="false">IF(G284="","",G284+1)</f>
        <v>284</v>
      </c>
      <c r="H285" s="13"/>
      <c r="I285" s="12"/>
    </row>
    <row r="286" customFormat="false" ht="15" hidden="false" customHeight="false" outlineLevel="0" collapsed="false">
      <c r="A286" s="11" t="n">
        <f aca="false">IF(D285="","",D285)</f>
        <v>8</v>
      </c>
      <c r="B286" s="11" t="n">
        <f aca="false">IF(A286="","",(A286-(A286*0.067))/8)</f>
        <v>0.933</v>
      </c>
      <c r="C286" s="11" t="n">
        <f aca="false">IF(OR(A286="",B286=""),"",A286+B286)</f>
        <v>8.933</v>
      </c>
      <c r="D286" s="11" t="n">
        <f aca="false">IF(A286="","",A286+SUMIFS(Registros!$AP$2:$AP$401,Registros!$C$2:$C$401,H286))</f>
        <v>8</v>
      </c>
      <c r="E286" s="11" t="n">
        <f aca="false">IF(A286="","",ROUND(A286*0.067,2))</f>
        <v>0.54</v>
      </c>
      <c r="F286" s="11" t="n">
        <f aca="false">IF(OR(D286="",C286=""),"",D286-C286)</f>
        <v>-0.933</v>
      </c>
      <c r="G286" s="14" t="n">
        <f aca="false">IF(G285="","",G285+1)</f>
        <v>285</v>
      </c>
      <c r="H286" s="13"/>
      <c r="I286" s="12"/>
    </row>
    <row r="287" customFormat="false" ht="15" hidden="false" customHeight="false" outlineLevel="0" collapsed="false">
      <c r="A287" s="11" t="n">
        <f aca="false">IF(D286="","",D286)</f>
        <v>8</v>
      </c>
      <c r="B287" s="11" t="n">
        <f aca="false">IF(A287="","",(A287-(A287*0.067))/8)</f>
        <v>0.933</v>
      </c>
      <c r="C287" s="11" t="n">
        <f aca="false">IF(OR(A287="",B287=""),"",A287+B287)</f>
        <v>8.933</v>
      </c>
      <c r="D287" s="11" t="n">
        <f aca="false">IF(A287="","",A287+SUMIFS(Registros!$AP$2:$AP$401,Registros!$C$2:$C$401,H287))</f>
        <v>8</v>
      </c>
      <c r="E287" s="11" t="n">
        <f aca="false">IF(A287="","",ROUND(A287*0.067,2))</f>
        <v>0.54</v>
      </c>
      <c r="F287" s="11" t="n">
        <f aca="false">IF(OR(D287="",C287=""),"",D287-C287)</f>
        <v>-0.933</v>
      </c>
      <c r="G287" s="14" t="n">
        <f aca="false">IF(G286="","",G286+1)</f>
        <v>286</v>
      </c>
      <c r="H287" s="13"/>
      <c r="I287" s="12"/>
    </row>
    <row r="288" customFormat="false" ht="15" hidden="false" customHeight="false" outlineLevel="0" collapsed="false">
      <c r="A288" s="11" t="n">
        <f aca="false">IF(D287="","",D287)</f>
        <v>8</v>
      </c>
      <c r="B288" s="11" t="n">
        <f aca="false">IF(A288="","",(A288-(A288*0.067))/8)</f>
        <v>0.933</v>
      </c>
      <c r="C288" s="11" t="n">
        <f aca="false">IF(OR(A288="",B288=""),"",A288+B288)</f>
        <v>8.933</v>
      </c>
      <c r="D288" s="11" t="n">
        <f aca="false">IF(A288="","",A288+SUMIFS(Registros!$AP$2:$AP$401,Registros!$C$2:$C$401,H288))</f>
        <v>8</v>
      </c>
      <c r="E288" s="11" t="n">
        <f aca="false">IF(A288="","",ROUND(A288*0.067,2))</f>
        <v>0.54</v>
      </c>
      <c r="F288" s="11" t="n">
        <f aca="false">IF(OR(D288="",C288=""),"",D288-C288)</f>
        <v>-0.933</v>
      </c>
      <c r="G288" s="14" t="n">
        <f aca="false">IF(G287="","",G287+1)</f>
        <v>287</v>
      </c>
      <c r="H288" s="13"/>
      <c r="I288" s="12"/>
    </row>
    <row r="289" customFormat="false" ht="15" hidden="false" customHeight="false" outlineLevel="0" collapsed="false">
      <c r="A289" s="11" t="n">
        <f aca="false">IF(D288="","",D288)</f>
        <v>8</v>
      </c>
      <c r="B289" s="11" t="n">
        <f aca="false">IF(A289="","",(A289-(A289*0.067))/8)</f>
        <v>0.933</v>
      </c>
      <c r="C289" s="11" t="n">
        <f aca="false">IF(OR(A289="",B289=""),"",A289+B289)</f>
        <v>8.933</v>
      </c>
      <c r="D289" s="11" t="n">
        <f aca="false">IF(A289="","",A289+SUMIFS(Registros!$AP$2:$AP$401,Registros!$C$2:$C$401,H289))</f>
        <v>8</v>
      </c>
      <c r="E289" s="11" t="n">
        <f aca="false">IF(A289="","",ROUND(A289*0.067,2))</f>
        <v>0.54</v>
      </c>
      <c r="F289" s="11" t="n">
        <f aca="false">IF(OR(D289="",C289=""),"",D289-C289)</f>
        <v>-0.933</v>
      </c>
      <c r="G289" s="14" t="n">
        <f aca="false">IF(G288="","",G288+1)</f>
        <v>288</v>
      </c>
      <c r="H289" s="13"/>
      <c r="I289" s="12"/>
    </row>
    <row r="290" customFormat="false" ht="15" hidden="false" customHeight="false" outlineLevel="0" collapsed="false">
      <c r="A290" s="11" t="n">
        <f aca="false">IF(D289="","",D289)</f>
        <v>8</v>
      </c>
      <c r="B290" s="11" t="n">
        <f aca="false">IF(A290="","",(A290-(A290*0.067))/8)</f>
        <v>0.933</v>
      </c>
      <c r="C290" s="11" t="n">
        <f aca="false">IF(OR(A290="",B290=""),"",A290+B290)</f>
        <v>8.933</v>
      </c>
      <c r="D290" s="11" t="n">
        <f aca="false">IF(A290="","",A290+SUMIFS(Registros!$AP$2:$AP$401,Registros!$C$2:$C$401,H290))</f>
        <v>8</v>
      </c>
      <c r="E290" s="11" t="n">
        <f aca="false">IF(A290="","",ROUND(A290*0.067,2))</f>
        <v>0.54</v>
      </c>
      <c r="F290" s="11" t="n">
        <f aca="false">IF(OR(D290="",C290=""),"",D290-C290)</f>
        <v>-0.933</v>
      </c>
      <c r="G290" s="14" t="n">
        <f aca="false">IF(G289="","",G289+1)</f>
        <v>289</v>
      </c>
      <c r="H290" s="13"/>
      <c r="I290" s="12"/>
    </row>
    <row r="291" customFormat="false" ht="15" hidden="false" customHeight="false" outlineLevel="0" collapsed="false">
      <c r="A291" s="11" t="n">
        <f aca="false">IF(D290="","",D290)</f>
        <v>8</v>
      </c>
      <c r="B291" s="11" t="n">
        <f aca="false">IF(A291="","",(A291-(A291*0.067))/8)</f>
        <v>0.933</v>
      </c>
      <c r="C291" s="11" t="n">
        <f aca="false">IF(OR(A291="",B291=""),"",A291+B291)</f>
        <v>8.933</v>
      </c>
      <c r="D291" s="11" t="n">
        <f aca="false">IF(A291="","",A291+SUMIFS(Registros!$AP$2:$AP$401,Registros!$C$2:$C$401,H291))</f>
        <v>8</v>
      </c>
      <c r="E291" s="11" t="n">
        <f aca="false">IF(A291="","",ROUND(A291*0.067,2))</f>
        <v>0.54</v>
      </c>
      <c r="F291" s="11" t="n">
        <f aca="false">IF(OR(D291="",C291=""),"",D291-C291)</f>
        <v>-0.933</v>
      </c>
      <c r="G291" s="14" t="n">
        <f aca="false">IF(G290="","",G290+1)</f>
        <v>290</v>
      </c>
      <c r="H291" s="13"/>
      <c r="I291" s="12"/>
    </row>
    <row r="292" customFormat="false" ht="15" hidden="false" customHeight="false" outlineLevel="0" collapsed="false">
      <c r="A292" s="11" t="n">
        <f aca="false">IF(D291="","",D291)</f>
        <v>8</v>
      </c>
      <c r="B292" s="11" t="n">
        <f aca="false">IF(A292="","",(A292-(A292*0.067))/8)</f>
        <v>0.933</v>
      </c>
      <c r="C292" s="11" t="n">
        <f aca="false">IF(OR(A292="",B292=""),"",A292+B292)</f>
        <v>8.933</v>
      </c>
      <c r="D292" s="11" t="n">
        <f aca="false">IF(A292="","",A292+SUMIFS(Registros!$AP$2:$AP$401,Registros!$C$2:$C$401,H292))</f>
        <v>8</v>
      </c>
      <c r="E292" s="11" t="n">
        <f aca="false">IF(A292="","",ROUND(A292*0.067,2))</f>
        <v>0.54</v>
      </c>
      <c r="F292" s="11" t="n">
        <f aca="false">IF(OR(D292="",C292=""),"",D292-C292)</f>
        <v>-0.933</v>
      </c>
      <c r="G292" s="14" t="n">
        <f aca="false">IF(G291="","",G291+1)</f>
        <v>291</v>
      </c>
      <c r="H292" s="13"/>
      <c r="I292" s="12"/>
    </row>
    <row r="293" customFormat="false" ht="15" hidden="false" customHeight="false" outlineLevel="0" collapsed="false">
      <c r="A293" s="11" t="n">
        <f aca="false">IF(D292="","",D292)</f>
        <v>8</v>
      </c>
      <c r="B293" s="11" t="n">
        <f aca="false">IF(A293="","",(A293-(A293*0.067))/8)</f>
        <v>0.933</v>
      </c>
      <c r="C293" s="11" t="n">
        <f aca="false">IF(OR(A293="",B293=""),"",A293+B293)</f>
        <v>8.933</v>
      </c>
      <c r="D293" s="11" t="n">
        <f aca="false">IF(A293="","",A293+SUMIFS(Registros!$AP$2:$AP$401,Registros!$C$2:$C$401,H293))</f>
        <v>8</v>
      </c>
      <c r="E293" s="11" t="n">
        <f aca="false">IF(A293="","",ROUND(A293*0.067,2))</f>
        <v>0.54</v>
      </c>
      <c r="F293" s="11" t="n">
        <f aca="false">IF(OR(D293="",C293=""),"",D293-C293)</f>
        <v>-0.933</v>
      </c>
      <c r="G293" s="14" t="n">
        <f aca="false">IF(G292="","",G292+1)</f>
        <v>292</v>
      </c>
      <c r="H293" s="13"/>
      <c r="I293" s="12"/>
    </row>
    <row r="294" customFormat="false" ht="15" hidden="false" customHeight="false" outlineLevel="0" collapsed="false">
      <c r="A294" s="11" t="n">
        <f aca="false">IF(D293="","",D293)</f>
        <v>8</v>
      </c>
      <c r="B294" s="11" t="n">
        <f aca="false">IF(A294="","",(A294-(A294*0.067))/8)</f>
        <v>0.933</v>
      </c>
      <c r="C294" s="11" t="n">
        <f aca="false">IF(OR(A294="",B294=""),"",A294+B294)</f>
        <v>8.933</v>
      </c>
      <c r="D294" s="11" t="n">
        <f aca="false">IF(A294="","",A294+SUMIFS(Registros!$AP$2:$AP$401,Registros!$C$2:$C$401,H294))</f>
        <v>8</v>
      </c>
      <c r="E294" s="11" t="n">
        <f aca="false">IF(A294="","",ROUND(A294*0.067,2))</f>
        <v>0.54</v>
      </c>
      <c r="F294" s="11" t="n">
        <f aca="false">IF(OR(D294="",C294=""),"",D294-C294)</f>
        <v>-0.933</v>
      </c>
      <c r="G294" s="14" t="n">
        <f aca="false">IF(G293="","",G293+1)</f>
        <v>293</v>
      </c>
      <c r="H294" s="13"/>
      <c r="I294" s="12"/>
    </row>
    <row r="295" customFormat="false" ht="15" hidden="false" customHeight="false" outlineLevel="0" collapsed="false">
      <c r="A295" s="11" t="n">
        <f aca="false">IF(D294="","",D294)</f>
        <v>8</v>
      </c>
      <c r="B295" s="11" t="n">
        <f aca="false">IF(A295="","",(A295-(A295*0.067))/8)</f>
        <v>0.933</v>
      </c>
      <c r="C295" s="11" t="n">
        <f aca="false">IF(OR(A295="",B295=""),"",A295+B295)</f>
        <v>8.933</v>
      </c>
      <c r="D295" s="11" t="n">
        <f aca="false">IF(A295="","",A295+SUMIFS(Registros!$AP$2:$AP$401,Registros!$C$2:$C$401,H295))</f>
        <v>8</v>
      </c>
      <c r="E295" s="11" t="n">
        <f aca="false">IF(A295="","",ROUND(A295*0.067,2))</f>
        <v>0.54</v>
      </c>
      <c r="F295" s="11" t="n">
        <f aca="false">IF(OR(D295="",C295=""),"",D295-C295)</f>
        <v>-0.933</v>
      </c>
      <c r="G295" s="14" t="n">
        <f aca="false">IF(G294="","",G294+1)</f>
        <v>294</v>
      </c>
      <c r="H295" s="13"/>
      <c r="I295" s="12"/>
    </row>
    <row r="296" customFormat="false" ht="15" hidden="false" customHeight="false" outlineLevel="0" collapsed="false">
      <c r="A296" s="11" t="n">
        <f aca="false">IF(D295="","",D295)</f>
        <v>8</v>
      </c>
      <c r="B296" s="11" t="n">
        <f aca="false">IF(A296="","",(A296-(A296*0.067))/8)</f>
        <v>0.933</v>
      </c>
      <c r="C296" s="11" t="n">
        <f aca="false">IF(OR(A296="",B296=""),"",A296+B296)</f>
        <v>8.933</v>
      </c>
      <c r="D296" s="11" t="n">
        <f aca="false">IF(A296="","",A296+SUMIFS(Registros!$AP$2:$AP$401,Registros!$C$2:$C$401,H296))</f>
        <v>8</v>
      </c>
      <c r="E296" s="11" t="n">
        <f aca="false">IF(A296="","",ROUND(A296*0.067,2))</f>
        <v>0.54</v>
      </c>
      <c r="F296" s="11" t="n">
        <f aca="false">IF(OR(D296="",C296=""),"",D296-C296)</f>
        <v>-0.933</v>
      </c>
      <c r="G296" s="14" t="n">
        <f aca="false">IF(G295="","",G295+1)</f>
        <v>295</v>
      </c>
      <c r="H296" s="13"/>
      <c r="I296" s="12"/>
    </row>
    <row r="297" customFormat="false" ht="15" hidden="false" customHeight="false" outlineLevel="0" collapsed="false">
      <c r="A297" s="11" t="n">
        <f aca="false">IF(D296="","",D296)</f>
        <v>8</v>
      </c>
      <c r="B297" s="11" t="n">
        <f aca="false">IF(A297="","",(A297-(A297*0.067))/8)</f>
        <v>0.933</v>
      </c>
      <c r="C297" s="11" t="n">
        <f aca="false">IF(OR(A297="",B297=""),"",A297+B297)</f>
        <v>8.933</v>
      </c>
      <c r="D297" s="11" t="n">
        <f aca="false">IF(A297="","",A297+SUMIFS(Registros!$AP$2:$AP$401,Registros!$C$2:$C$401,H297))</f>
        <v>8</v>
      </c>
      <c r="E297" s="11" t="n">
        <f aca="false">IF(A297="","",ROUND(A297*0.067,2))</f>
        <v>0.54</v>
      </c>
      <c r="F297" s="11" t="n">
        <f aca="false">IF(OR(D297="",C297=""),"",D297-C297)</f>
        <v>-0.933</v>
      </c>
      <c r="G297" s="14" t="n">
        <f aca="false">IF(G296="","",G296+1)</f>
        <v>296</v>
      </c>
      <c r="H297" s="13"/>
      <c r="I297" s="12"/>
    </row>
    <row r="298" customFormat="false" ht="15" hidden="false" customHeight="false" outlineLevel="0" collapsed="false">
      <c r="A298" s="11" t="n">
        <f aca="false">IF(D297="","",D297)</f>
        <v>8</v>
      </c>
      <c r="B298" s="11" t="n">
        <f aca="false">IF(A298="","",(A298-(A298*0.067))/8)</f>
        <v>0.933</v>
      </c>
      <c r="C298" s="11" t="n">
        <f aca="false">IF(OR(A298="",B298=""),"",A298+B298)</f>
        <v>8.933</v>
      </c>
      <c r="D298" s="11" t="n">
        <f aca="false">IF(A298="","",A298+SUMIFS(Registros!$AP$2:$AP$401,Registros!$C$2:$C$401,H298))</f>
        <v>8</v>
      </c>
      <c r="E298" s="11" t="n">
        <f aca="false">IF(A298="","",ROUND(A298*0.067,2))</f>
        <v>0.54</v>
      </c>
      <c r="F298" s="11" t="n">
        <f aca="false">IF(OR(D298="",C298=""),"",D298-C298)</f>
        <v>-0.933</v>
      </c>
      <c r="G298" s="14" t="n">
        <f aca="false">IF(G297="","",G297+1)</f>
        <v>297</v>
      </c>
      <c r="H298" s="13"/>
      <c r="I298" s="12"/>
    </row>
    <row r="299" customFormat="false" ht="15" hidden="false" customHeight="false" outlineLevel="0" collapsed="false">
      <c r="A299" s="11" t="n">
        <f aca="false">IF(D298="","",D298)</f>
        <v>8</v>
      </c>
      <c r="B299" s="11" t="n">
        <f aca="false">IF(A299="","",(A299-(A299*0.067))/8)</f>
        <v>0.933</v>
      </c>
      <c r="C299" s="11" t="n">
        <f aca="false">IF(OR(A299="",B299=""),"",A299+B299)</f>
        <v>8.933</v>
      </c>
      <c r="D299" s="11" t="n">
        <f aca="false">IF(A299="","",A299+SUMIFS(Registros!$AP$2:$AP$401,Registros!$C$2:$C$401,H299))</f>
        <v>8</v>
      </c>
      <c r="E299" s="11" t="n">
        <f aca="false">IF(A299="","",ROUND(A299*0.067,2))</f>
        <v>0.54</v>
      </c>
      <c r="F299" s="11" t="n">
        <f aca="false">IF(OR(D299="",C299=""),"",D299-C299)</f>
        <v>-0.933</v>
      </c>
      <c r="G299" s="14" t="n">
        <f aca="false">IF(G298="","",G298+1)</f>
        <v>298</v>
      </c>
      <c r="H299" s="13"/>
      <c r="I299" s="12"/>
    </row>
    <row r="300" customFormat="false" ht="15" hidden="false" customHeight="false" outlineLevel="0" collapsed="false">
      <c r="A300" s="11" t="n">
        <f aca="false">IF(D299="","",D299)</f>
        <v>8</v>
      </c>
      <c r="B300" s="11" t="n">
        <f aca="false">IF(A300="","",(A300-(A300*0.067))/8)</f>
        <v>0.933</v>
      </c>
      <c r="C300" s="11" t="n">
        <f aca="false">IF(OR(A300="",B300=""),"",A300+B300)</f>
        <v>8.933</v>
      </c>
      <c r="D300" s="11" t="n">
        <f aca="false">IF(A300="","",A300+SUMIFS(Registros!$AP$2:$AP$401,Registros!$C$2:$C$401,H300))</f>
        <v>8</v>
      </c>
      <c r="E300" s="11" t="n">
        <f aca="false">IF(A300="","",ROUND(A300*0.067,2))</f>
        <v>0.54</v>
      </c>
      <c r="F300" s="11" t="n">
        <f aca="false">IF(OR(D300="",C300=""),"",D300-C300)</f>
        <v>-0.933</v>
      </c>
      <c r="G300" s="14" t="n">
        <f aca="false">IF(G299="","",G299+1)</f>
        <v>299</v>
      </c>
      <c r="H300" s="13"/>
      <c r="I300" s="12"/>
    </row>
    <row r="301" customFormat="false" ht="15" hidden="false" customHeight="false" outlineLevel="0" collapsed="false">
      <c r="A301" s="11" t="n">
        <f aca="false">IF(D300="","",D300)</f>
        <v>8</v>
      </c>
      <c r="B301" s="11" t="n">
        <f aca="false">IF(A301="","",(A301-(A301*0.067))/8)</f>
        <v>0.933</v>
      </c>
      <c r="C301" s="11" t="n">
        <f aca="false">IF(OR(A301="",B301=""),"",A301+B301)</f>
        <v>8.933</v>
      </c>
      <c r="D301" s="11" t="n">
        <f aca="false">IF(A301="","",A301+SUMIFS(Registros!$AP$2:$AP$401,Registros!$C$2:$C$401,H301))</f>
        <v>8</v>
      </c>
      <c r="E301" s="11" t="n">
        <f aca="false">IF(A301="","",ROUND(A301*0.067,2))</f>
        <v>0.54</v>
      </c>
      <c r="F301" s="11" t="n">
        <f aca="false">IF(OR(D301="",C301=""),"",D301-C301)</f>
        <v>-0.933</v>
      </c>
      <c r="G301" s="14" t="n">
        <f aca="false">IF(G300="","",G300+1)</f>
        <v>300</v>
      </c>
      <c r="H301" s="13"/>
      <c r="I301" s="12"/>
    </row>
    <row r="302" customFormat="false" ht="15" hidden="false" customHeight="false" outlineLevel="0" collapsed="false">
      <c r="A302" s="11" t="n">
        <f aca="false">IF(D301="","",D301)</f>
        <v>8</v>
      </c>
      <c r="B302" s="11" t="n">
        <f aca="false">IF(A302="","",(A302-(A302*0.067))/8)</f>
        <v>0.933</v>
      </c>
      <c r="C302" s="11" t="n">
        <f aca="false">IF(OR(A302="",B302=""),"",A302+B302)</f>
        <v>8.933</v>
      </c>
      <c r="D302" s="11" t="n">
        <f aca="false">IF(A302="","",A302+SUMIFS(Registros!$AP$2:$AP$401,Registros!$C$2:$C$401,H302))</f>
        <v>8</v>
      </c>
      <c r="E302" s="11" t="n">
        <f aca="false">IF(A302="","",ROUND(A302*0.067,2))</f>
        <v>0.54</v>
      </c>
      <c r="F302" s="11" t="n">
        <f aca="false">IF(OR(D302="",C302=""),"",D302-C302)</f>
        <v>-0.933</v>
      </c>
      <c r="G302" s="14" t="n">
        <f aca="false">IF(G301="","",G301+1)</f>
        <v>301</v>
      </c>
      <c r="H302" s="13"/>
      <c r="I302" s="12"/>
    </row>
    <row r="303" customFormat="false" ht="15" hidden="false" customHeight="false" outlineLevel="0" collapsed="false">
      <c r="A303" s="11" t="n">
        <f aca="false">IF(D302="","",D302)</f>
        <v>8</v>
      </c>
      <c r="B303" s="11" t="n">
        <f aca="false">IF(A303="","",(A303-(A303*0.067))/8)</f>
        <v>0.933</v>
      </c>
      <c r="C303" s="11" t="n">
        <f aca="false">IF(OR(A303="",B303=""),"",A303+B303)</f>
        <v>8.933</v>
      </c>
      <c r="D303" s="11" t="n">
        <f aca="false">IF(A303="","",A303+SUMIFS(Registros!$AP$2:$AP$401,Registros!$C$2:$C$401,H303))</f>
        <v>8</v>
      </c>
      <c r="E303" s="11" t="n">
        <f aca="false">IF(A303="","",ROUND(A303*0.067,2))</f>
        <v>0.54</v>
      </c>
      <c r="F303" s="11" t="n">
        <f aca="false">IF(OR(D303="",C303=""),"",D303-C303)</f>
        <v>-0.933</v>
      </c>
      <c r="G303" s="14" t="n">
        <f aca="false">IF(G302="","",G302+1)</f>
        <v>302</v>
      </c>
      <c r="H303" s="13"/>
      <c r="I303" s="12"/>
    </row>
    <row r="304" customFormat="false" ht="15" hidden="false" customHeight="false" outlineLevel="0" collapsed="false">
      <c r="A304" s="11" t="n">
        <f aca="false">IF(D303="","",D303)</f>
        <v>8</v>
      </c>
      <c r="B304" s="11" t="n">
        <f aca="false">IF(A304="","",(A304-(A304*0.067))/8)</f>
        <v>0.933</v>
      </c>
      <c r="C304" s="11" t="n">
        <f aca="false">IF(OR(A304="",B304=""),"",A304+B304)</f>
        <v>8.933</v>
      </c>
      <c r="D304" s="11" t="n">
        <f aca="false">IF(A304="","",A304+SUMIFS(Registros!$AP$2:$AP$401,Registros!$C$2:$C$401,H304))</f>
        <v>8</v>
      </c>
      <c r="E304" s="11" t="n">
        <f aca="false">IF(A304="","",ROUND(A304*0.067,2))</f>
        <v>0.54</v>
      </c>
      <c r="F304" s="11" t="n">
        <f aca="false">IF(OR(D304="",C304=""),"",D304-C304)</f>
        <v>-0.933</v>
      </c>
      <c r="G304" s="14" t="n">
        <f aca="false">IF(G303="","",G303+1)</f>
        <v>303</v>
      </c>
      <c r="H304" s="13"/>
      <c r="I304" s="12"/>
    </row>
    <row r="305" customFormat="false" ht="15" hidden="false" customHeight="false" outlineLevel="0" collapsed="false">
      <c r="A305" s="11" t="n">
        <f aca="false">IF(D304="","",D304)</f>
        <v>8</v>
      </c>
      <c r="B305" s="11" t="n">
        <f aca="false">IF(A305="","",(A305-(A305*0.067))/8)</f>
        <v>0.933</v>
      </c>
      <c r="C305" s="11" t="n">
        <f aca="false">IF(OR(A305="",B305=""),"",A305+B305)</f>
        <v>8.933</v>
      </c>
      <c r="D305" s="11" t="n">
        <f aca="false">IF(A305="","",A305+SUMIFS(Registros!$AP$2:$AP$401,Registros!$C$2:$C$401,H305))</f>
        <v>8</v>
      </c>
      <c r="E305" s="11" t="n">
        <f aca="false">IF(A305="","",ROUND(A305*0.067,2))</f>
        <v>0.54</v>
      </c>
      <c r="F305" s="11" t="n">
        <f aca="false">IF(OR(D305="",C305=""),"",D305-C305)</f>
        <v>-0.933</v>
      </c>
      <c r="G305" s="14" t="n">
        <f aca="false">IF(G304="","",G304+1)</f>
        <v>304</v>
      </c>
      <c r="H305" s="13"/>
      <c r="I305" s="12"/>
    </row>
    <row r="306" customFormat="false" ht="15" hidden="false" customHeight="false" outlineLevel="0" collapsed="false">
      <c r="A306" s="11" t="n">
        <f aca="false">IF(D305="","",D305)</f>
        <v>8</v>
      </c>
      <c r="B306" s="11" t="n">
        <f aca="false">IF(A306="","",(A306-(A306*0.067))/8)</f>
        <v>0.933</v>
      </c>
      <c r="C306" s="11" t="n">
        <f aca="false">IF(OR(A306="",B306=""),"",A306+B306)</f>
        <v>8.933</v>
      </c>
      <c r="D306" s="11" t="n">
        <f aca="false">IF(A306="","",A306+SUMIFS(Registros!$AP$2:$AP$401,Registros!$C$2:$C$401,H306))</f>
        <v>8</v>
      </c>
      <c r="E306" s="11" t="n">
        <f aca="false">IF(A306="","",ROUND(A306*0.067,2))</f>
        <v>0.54</v>
      </c>
      <c r="F306" s="11" t="n">
        <f aca="false">IF(OR(D306="",C306=""),"",D306-C306)</f>
        <v>-0.933</v>
      </c>
      <c r="G306" s="14" t="n">
        <f aca="false">IF(G305="","",G305+1)</f>
        <v>305</v>
      </c>
      <c r="H306" s="13"/>
      <c r="I306" s="12"/>
    </row>
    <row r="307" customFormat="false" ht="15" hidden="false" customHeight="false" outlineLevel="0" collapsed="false">
      <c r="A307" s="11" t="n">
        <f aca="false">IF(D306="","",D306)</f>
        <v>8</v>
      </c>
      <c r="B307" s="11" t="n">
        <f aca="false">IF(A307="","",(A307-(A307*0.067))/8)</f>
        <v>0.933</v>
      </c>
      <c r="C307" s="11" t="n">
        <f aca="false">IF(OR(A307="",B307=""),"",A307+B307)</f>
        <v>8.933</v>
      </c>
      <c r="D307" s="11" t="n">
        <f aca="false">IF(A307="","",A307+SUMIFS(Registros!$AP$2:$AP$401,Registros!$C$2:$C$401,H307))</f>
        <v>8</v>
      </c>
      <c r="E307" s="11" t="n">
        <f aca="false">IF(A307="","",ROUND(A307*0.067,2))</f>
        <v>0.54</v>
      </c>
      <c r="F307" s="11" t="n">
        <f aca="false">IF(OR(D307="",C307=""),"",D307-C307)</f>
        <v>-0.933</v>
      </c>
      <c r="G307" s="14" t="n">
        <f aca="false">IF(G306="","",G306+1)</f>
        <v>306</v>
      </c>
      <c r="H307" s="13"/>
      <c r="I307" s="12"/>
    </row>
    <row r="308" customFormat="false" ht="15" hidden="false" customHeight="false" outlineLevel="0" collapsed="false">
      <c r="A308" s="11" t="n">
        <f aca="false">IF(D307="","",D307)</f>
        <v>8</v>
      </c>
      <c r="B308" s="11" t="n">
        <f aca="false">IF(A308="","",(A308-(A308*0.067))/8)</f>
        <v>0.933</v>
      </c>
      <c r="C308" s="11" t="n">
        <f aca="false">IF(OR(A308="",B308=""),"",A308+B308)</f>
        <v>8.933</v>
      </c>
      <c r="D308" s="11" t="n">
        <f aca="false">IF(A308="","",A308+SUMIFS(Registros!$AP$2:$AP$401,Registros!$C$2:$C$401,H308))</f>
        <v>8</v>
      </c>
      <c r="E308" s="11" t="n">
        <f aca="false">IF(A308="","",ROUND(A308*0.067,2))</f>
        <v>0.54</v>
      </c>
      <c r="F308" s="11" t="n">
        <f aca="false">IF(OR(D308="",C308=""),"",D308-C308)</f>
        <v>-0.933</v>
      </c>
      <c r="G308" s="14" t="n">
        <f aca="false">IF(G307="","",G307+1)</f>
        <v>307</v>
      </c>
      <c r="H308" s="13"/>
      <c r="I308" s="12"/>
    </row>
    <row r="309" customFormat="false" ht="15" hidden="false" customHeight="false" outlineLevel="0" collapsed="false">
      <c r="A309" s="11" t="n">
        <f aca="false">IF(D308="","",D308)</f>
        <v>8</v>
      </c>
      <c r="B309" s="11" t="n">
        <f aca="false">IF(A309="","",(A309-(A309*0.067))/8)</f>
        <v>0.933</v>
      </c>
      <c r="C309" s="11" t="n">
        <f aca="false">IF(OR(A309="",B309=""),"",A309+B309)</f>
        <v>8.933</v>
      </c>
      <c r="D309" s="11" t="n">
        <f aca="false">IF(A309="","",A309+SUMIFS(Registros!$AP$2:$AP$401,Registros!$C$2:$C$401,H309))</f>
        <v>8</v>
      </c>
      <c r="E309" s="11" t="n">
        <f aca="false">IF(A309="","",ROUND(A309*0.067,2))</f>
        <v>0.54</v>
      </c>
      <c r="F309" s="11" t="n">
        <f aca="false">IF(OR(D309="",C309=""),"",D309-C309)</f>
        <v>-0.933</v>
      </c>
      <c r="G309" s="14" t="n">
        <f aca="false">IF(G308="","",G308+1)</f>
        <v>308</v>
      </c>
      <c r="H309" s="13"/>
      <c r="I309" s="12"/>
    </row>
    <row r="310" customFormat="false" ht="15" hidden="false" customHeight="false" outlineLevel="0" collapsed="false">
      <c r="A310" s="11" t="n">
        <f aca="false">IF(D309="","",D309)</f>
        <v>8</v>
      </c>
      <c r="B310" s="11" t="n">
        <f aca="false">IF(A310="","",(A310-(A310*0.067))/8)</f>
        <v>0.933</v>
      </c>
      <c r="C310" s="11" t="n">
        <f aca="false">IF(OR(A310="",B310=""),"",A310+B310)</f>
        <v>8.933</v>
      </c>
      <c r="D310" s="11" t="n">
        <f aca="false">IF(A310="","",A310+SUMIFS(Registros!$AP$2:$AP$401,Registros!$C$2:$C$401,H310))</f>
        <v>8</v>
      </c>
      <c r="E310" s="11" t="n">
        <f aca="false">IF(A310="","",ROUND(A310*0.067,2))</f>
        <v>0.54</v>
      </c>
      <c r="F310" s="11" t="n">
        <f aca="false">IF(OR(D310="",C310=""),"",D310-C310)</f>
        <v>-0.933</v>
      </c>
      <c r="G310" s="14" t="n">
        <f aca="false">IF(G309="","",G309+1)</f>
        <v>309</v>
      </c>
      <c r="H310" s="13"/>
      <c r="I310" s="12"/>
    </row>
    <row r="311" customFormat="false" ht="15" hidden="false" customHeight="false" outlineLevel="0" collapsed="false">
      <c r="A311" s="11" t="n">
        <f aca="false">IF(D310="","",D310)</f>
        <v>8</v>
      </c>
      <c r="B311" s="11" t="n">
        <f aca="false">IF(A311="","",(A311-(A311*0.067))/8)</f>
        <v>0.933</v>
      </c>
      <c r="C311" s="11" t="n">
        <f aca="false">IF(OR(A311="",B311=""),"",A311+B311)</f>
        <v>8.933</v>
      </c>
      <c r="D311" s="11" t="n">
        <f aca="false">IF(A311="","",A311+SUMIFS(Registros!$AP$2:$AP$401,Registros!$C$2:$C$401,H311))</f>
        <v>8</v>
      </c>
      <c r="E311" s="11" t="n">
        <f aca="false">IF(A311="","",ROUND(A311*0.067,2))</f>
        <v>0.54</v>
      </c>
      <c r="F311" s="11" t="n">
        <f aca="false">IF(OR(D311="",C311=""),"",D311-C311)</f>
        <v>-0.933</v>
      </c>
      <c r="G311" s="14" t="n">
        <f aca="false">IF(G310="","",G310+1)</f>
        <v>310</v>
      </c>
      <c r="H311" s="13"/>
      <c r="I311" s="12"/>
    </row>
    <row r="312" customFormat="false" ht="15" hidden="false" customHeight="false" outlineLevel="0" collapsed="false">
      <c r="A312" s="11" t="n">
        <f aca="false">IF(D311="","",D311)</f>
        <v>8</v>
      </c>
      <c r="B312" s="11" t="n">
        <f aca="false">IF(A312="","",(A312-(A312*0.067))/8)</f>
        <v>0.933</v>
      </c>
      <c r="C312" s="11" t="n">
        <f aca="false">IF(OR(A312="",B312=""),"",A312+B312)</f>
        <v>8.933</v>
      </c>
      <c r="D312" s="11" t="n">
        <f aca="false">IF(A312="","",A312+SUMIFS(Registros!$AP$2:$AP$401,Registros!$C$2:$C$401,H312))</f>
        <v>8</v>
      </c>
      <c r="E312" s="11" t="n">
        <f aca="false">IF(A312="","",ROUND(A312*0.067,2))</f>
        <v>0.54</v>
      </c>
      <c r="F312" s="11" t="n">
        <f aca="false">IF(OR(D312="",C312=""),"",D312-C312)</f>
        <v>-0.933</v>
      </c>
      <c r="G312" s="14" t="n">
        <f aca="false">IF(G311="","",G311+1)</f>
        <v>311</v>
      </c>
      <c r="H312" s="13"/>
      <c r="I312" s="12"/>
    </row>
    <row r="313" customFormat="false" ht="15" hidden="false" customHeight="false" outlineLevel="0" collapsed="false">
      <c r="A313" s="11" t="n">
        <f aca="false">IF(D312="","",D312)</f>
        <v>8</v>
      </c>
      <c r="B313" s="11" t="n">
        <f aca="false">IF(A313="","",(A313-(A313*0.067))/8)</f>
        <v>0.933</v>
      </c>
      <c r="C313" s="11" t="n">
        <f aca="false">IF(OR(A313="",B313=""),"",A313+B313)</f>
        <v>8.933</v>
      </c>
      <c r="D313" s="11" t="n">
        <f aca="false">IF(A313="","",A313+SUMIFS(Registros!$AP$2:$AP$401,Registros!$C$2:$C$401,H313))</f>
        <v>8</v>
      </c>
      <c r="E313" s="11" t="n">
        <f aca="false">IF(A313="","",ROUND(A313*0.067,2))</f>
        <v>0.54</v>
      </c>
      <c r="F313" s="11" t="n">
        <f aca="false">IF(OR(D313="",C313=""),"",D313-C313)</f>
        <v>-0.933</v>
      </c>
      <c r="G313" s="14" t="n">
        <f aca="false">IF(G312="","",G312+1)</f>
        <v>312</v>
      </c>
      <c r="H313" s="13"/>
      <c r="I313" s="12"/>
    </row>
    <row r="314" customFormat="false" ht="15" hidden="false" customHeight="false" outlineLevel="0" collapsed="false">
      <c r="A314" s="11" t="n">
        <f aca="false">IF(D313="","",D313)</f>
        <v>8</v>
      </c>
      <c r="B314" s="11" t="n">
        <f aca="false">IF(A314="","",(A314-(A314*0.067))/8)</f>
        <v>0.933</v>
      </c>
      <c r="C314" s="11" t="n">
        <f aca="false">IF(OR(A314="",B314=""),"",A314+B314)</f>
        <v>8.933</v>
      </c>
      <c r="D314" s="11" t="n">
        <f aca="false">IF(A314="","",A314+SUMIFS(Registros!$AP$2:$AP$401,Registros!$C$2:$C$401,H314))</f>
        <v>8</v>
      </c>
      <c r="E314" s="11" t="n">
        <f aca="false">IF(A314="","",ROUND(A314*0.067,2))</f>
        <v>0.54</v>
      </c>
      <c r="F314" s="11" t="n">
        <f aca="false">IF(OR(D314="",C314=""),"",D314-C314)</f>
        <v>-0.933</v>
      </c>
      <c r="G314" s="14" t="n">
        <f aca="false">IF(G313="","",G313+1)</f>
        <v>313</v>
      </c>
      <c r="H314" s="13"/>
      <c r="I314" s="12"/>
    </row>
    <row r="315" customFormat="false" ht="15" hidden="false" customHeight="false" outlineLevel="0" collapsed="false">
      <c r="A315" s="11" t="n">
        <f aca="false">IF(D314="","",D314)</f>
        <v>8</v>
      </c>
      <c r="B315" s="11" t="n">
        <f aca="false">IF(A315="","",(A315-(A315*0.067))/8)</f>
        <v>0.933</v>
      </c>
      <c r="C315" s="11" t="n">
        <f aca="false">IF(OR(A315="",B315=""),"",A315+B315)</f>
        <v>8.933</v>
      </c>
      <c r="D315" s="11" t="n">
        <f aca="false">IF(A315="","",A315+SUMIFS(Registros!$AP$2:$AP$401,Registros!$C$2:$C$401,H315))</f>
        <v>8</v>
      </c>
      <c r="E315" s="11" t="n">
        <f aca="false">IF(A315="","",ROUND(A315*0.067,2))</f>
        <v>0.54</v>
      </c>
      <c r="F315" s="11" t="n">
        <f aca="false">IF(OR(D315="",C315=""),"",D315-C315)</f>
        <v>-0.933</v>
      </c>
      <c r="G315" s="14" t="n">
        <f aca="false">IF(G314="","",G314+1)</f>
        <v>314</v>
      </c>
      <c r="H315" s="13"/>
      <c r="I315" s="12"/>
    </row>
    <row r="316" customFormat="false" ht="15" hidden="false" customHeight="false" outlineLevel="0" collapsed="false">
      <c r="A316" s="11" t="n">
        <f aca="false">IF(D315="","",D315)</f>
        <v>8</v>
      </c>
      <c r="B316" s="11" t="n">
        <f aca="false">IF(A316="","",(A316-(A316*0.067))/8)</f>
        <v>0.933</v>
      </c>
      <c r="C316" s="11" t="n">
        <f aca="false">IF(OR(A316="",B316=""),"",A316+B316)</f>
        <v>8.933</v>
      </c>
      <c r="D316" s="11" t="n">
        <f aca="false">IF(A316="","",A316+SUMIFS(Registros!$AP$2:$AP$401,Registros!$C$2:$C$401,H316))</f>
        <v>8</v>
      </c>
      <c r="E316" s="11" t="n">
        <f aca="false">IF(A316="","",ROUND(A316*0.067,2))</f>
        <v>0.54</v>
      </c>
      <c r="F316" s="11" t="n">
        <f aca="false">IF(OR(D316="",C316=""),"",D316-C316)</f>
        <v>-0.933</v>
      </c>
      <c r="G316" s="14" t="n">
        <f aca="false">IF(G315="","",G315+1)</f>
        <v>315</v>
      </c>
      <c r="H316" s="13"/>
      <c r="I316" s="12"/>
    </row>
    <row r="317" customFormat="false" ht="15" hidden="false" customHeight="false" outlineLevel="0" collapsed="false">
      <c r="A317" s="11" t="n">
        <f aca="false">IF(D316="","",D316)</f>
        <v>8</v>
      </c>
      <c r="B317" s="11" t="n">
        <f aca="false">IF(A317="","",(A317-(A317*0.067))/8)</f>
        <v>0.933</v>
      </c>
      <c r="C317" s="11" t="n">
        <f aca="false">IF(OR(A317="",B317=""),"",A317+B317)</f>
        <v>8.933</v>
      </c>
      <c r="D317" s="11" t="n">
        <f aca="false">IF(A317="","",A317+SUMIFS(Registros!$AP$2:$AP$401,Registros!$C$2:$C$401,H317))</f>
        <v>8</v>
      </c>
      <c r="E317" s="11" t="n">
        <f aca="false">IF(A317="","",ROUND(A317*0.067,2))</f>
        <v>0.54</v>
      </c>
      <c r="F317" s="11" t="n">
        <f aca="false">IF(OR(D317="",C317=""),"",D317-C317)</f>
        <v>-0.933</v>
      </c>
      <c r="G317" s="14" t="n">
        <f aca="false">IF(G316="","",G316+1)</f>
        <v>316</v>
      </c>
      <c r="H317" s="13"/>
      <c r="I317" s="12"/>
    </row>
    <row r="318" customFormat="false" ht="15" hidden="false" customHeight="false" outlineLevel="0" collapsed="false">
      <c r="A318" s="11" t="n">
        <f aca="false">IF(D317="","",D317)</f>
        <v>8</v>
      </c>
      <c r="B318" s="11" t="n">
        <f aca="false">IF(A318="","",(A318-(A318*0.067))/8)</f>
        <v>0.933</v>
      </c>
      <c r="C318" s="11" t="n">
        <f aca="false">IF(OR(A318="",B318=""),"",A318+B318)</f>
        <v>8.933</v>
      </c>
      <c r="D318" s="11" t="n">
        <f aca="false">IF(A318="","",A318+SUMIFS(Registros!$AP$2:$AP$401,Registros!$C$2:$C$401,H318))</f>
        <v>8</v>
      </c>
      <c r="E318" s="11" t="n">
        <f aca="false">IF(A318="","",ROUND(A318*0.067,2))</f>
        <v>0.54</v>
      </c>
      <c r="F318" s="11" t="n">
        <f aca="false">IF(OR(D318="",C318=""),"",D318-C318)</f>
        <v>-0.933</v>
      </c>
      <c r="G318" s="14" t="n">
        <f aca="false">IF(G317="","",G317+1)</f>
        <v>317</v>
      </c>
      <c r="H318" s="13"/>
      <c r="I318" s="12"/>
    </row>
    <row r="319" customFormat="false" ht="15" hidden="false" customHeight="false" outlineLevel="0" collapsed="false">
      <c r="A319" s="11" t="n">
        <f aca="false">IF(D318="","",D318)</f>
        <v>8</v>
      </c>
      <c r="B319" s="11" t="n">
        <f aca="false">IF(A319="","",(A319-(A319*0.067))/8)</f>
        <v>0.933</v>
      </c>
      <c r="C319" s="11" t="n">
        <f aca="false">IF(OR(A319="",B319=""),"",A319+B319)</f>
        <v>8.933</v>
      </c>
      <c r="D319" s="11" t="n">
        <f aca="false">IF(A319="","",A319+SUMIFS(Registros!$AP$2:$AP$401,Registros!$C$2:$C$401,H319))</f>
        <v>8</v>
      </c>
      <c r="E319" s="11" t="n">
        <f aca="false">IF(A319="","",ROUND(A319*0.067,2))</f>
        <v>0.54</v>
      </c>
      <c r="F319" s="11" t="n">
        <f aca="false">IF(OR(D319="",C319=""),"",D319-C319)</f>
        <v>-0.933</v>
      </c>
      <c r="G319" s="14" t="n">
        <f aca="false">IF(G318="","",G318+1)</f>
        <v>318</v>
      </c>
      <c r="H319" s="13"/>
      <c r="I319" s="12"/>
    </row>
    <row r="320" customFormat="false" ht="15" hidden="false" customHeight="false" outlineLevel="0" collapsed="false">
      <c r="A320" s="11" t="n">
        <f aca="false">IF(D319="","",D319)</f>
        <v>8</v>
      </c>
      <c r="B320" s="11" t="n">
        <f aca="false">IF(A320="","",(A320-(A320*0.067))/8)</f>
        <v>0.933</v>
      </c>
      <c r="C320" s="11" t="n">
        <f aca="false">IF(OR(A320="",B320=""),"",A320+B320)</f>
        <v>8.933</v>
      </c>
      <c r="D320" s="11" t="n">
        <f aca="false">IF(A320="","",A320+SUMIFS(Registros!$AP$2:$AP$401,Registros!$C$2:$C$401,H320))</f>
        <v>8</v>
      </c>
      <c r="E320" s="11" t="n">
        <f aca="false">IF(A320="","",ROUND(A320*0.067,2))</f>
        <v>0.54</v>
      </c>
      <c r="F320" s="11" t="n">
        <f aca="false">IF(OR(D320="",C320=""),"",D320-C320)</f>
        <v>-0.933</v>
      </c>
      <c r="G320" s="14" t="n">
        <f aca="false">IF(G319="","",G319+1)</f>
        <v>319</v>
      </c>
      <c r="H320" s="13"/>
      <c r="I320" s="12"/>
    </row>
    <row r="321" customFormat="false" ht="15" hidden="false" customHeight="false" outlineLevel="0" collapsed="false">
      <c r="A321" s="11" t="n">
        <f aca="false">IF(D320="","",D320)</f>
        <v>8</v>
      </c>
      <c r="B321" s="11" t="n">
        <f aca="false">IF(A321="","",(A321-(A321*0.067))/8)</f>
        <v>0.933</v>
      </c>
      <c r="C321" s="11" t="n">
        <f aca="false">IF(OR(A321="",B321=""),"",A321+B321)</f>
        <v>8.933</v>
      </c>
      <c r="D321" s="11" t="n">
        <f aca="false">IF(A321="","",A321+SUMIFS(Registros!$AP$2:$AP$401,Registros!$C$2:$C$401,H321))</f>
        <v>8</v>
      </c>
      <c r="E321" s="11" t="n">
        <f aca="false">IF(A321="","",ROUND(A321*0.067,2))</f>
        <v>0.54</v>
      </c>
      <c r="F321" s="11" t="n">
        <f aca="false">IF(OR(D321="",C321=""),"",D321-C321)</f>
        <v>-0.933</v>
      </c>
      <c r="G321" s="14" t="n">
        <f aca="false">IF(G320="","",G320+1)</f>
        <v>320</v>
      </c>
      <c r="H321" s="13"/>
      <c r="I321" s="12"/>
    </row>
    <row r="322" customFormat="false" ht="15" hidden="false" customHeight="false" outlineLevel="0" collapsed="false">
      <c r="A322" s="11" t="n">
        <f aca="false">IF(D321="","",D321)</f>
        <v>8</v>
      </c>
      <c r="B322" s="11" t="n">
        <f aca="false">IF(A322="","",(A322-(A322*0.067))/8)</f>
        <v>0.933</v>
      </c>
      <c r="C322" s="11" t="n">
        <f aca="false">IF(OR(A322="",B322=""),"",A322+B322)</f>
        <v>8.933</v>
      </c>
      <c r="D322" s="11" t="n">
        <f aca="false">IF(A322="","",A322+SUMIFS(Registros!$AP$2:$AP$401,Registros!$C$2:$C$401,H322))</f>
        <v>8</v>
      </c>
      <c r="E322" s="11" t="n">
        <f aca="false">IF(A322="","",ROUND(A322*0.067,2))</f>
        <v>0.54</v>
      </c>
      <c r="F322" s="11" t="n">
        <f aca="false">IF(OR(D322="",C322=""),"",D322-C322)</f>
        <v>-0.933</v>
      </c>
      <c r="G322" s="14" t="n">
        <f aca="false">IF(G321="","",G321+1)</f>
        <v>321</v>
      </c>
      <c r="H322" s="13"/>
      <c r="I322" s="12"/>
    </row>
    <row r="323" customFormat="false" ht="15" hidden="false" customHeight="false" outlineLevel="0" collapsed="false">
      <c r="A323" s="11" t="n">
        <f aca="false">IF(D322="","",D322)</f>
        <v>8</v>
      </c>
      <c r="B323" s="11" t="n">
        <f aca="false">IF(A323="","",(A323-(A323*0.067))/8)</f>
        <v>0.933</v>
      </c>
      <c r="C323" s="11" t="n">
        <f aca="false">IF(OR(A323="",B323=""),"",A323+B323)</f>
        <v>8.933</v>
      </c>
      <c r="D323" s="11" t="n">
        <f aca="false">IF(A323="","",A323+SUMIFS(Registros!$AP$2:$AP$401,Registros!$C$2:$C$401,H323))</f>
        <v>8</v>
      </c>
      <c r="E323" s="11" t="n">
        <f aca="false">IF(A323="","",ROUND(A323*0.067,2))</f>
        <v>0.54</v>
      </c>
      <c r="F323" s="11" t="n">
        <f aca="false">IF(OR(D323="",C323=""),"",D323-C323)</f>
        <v>-0.933</v>
      </c>
      <c r="G323" s="14" t="n">
        <f aca="false">IF(G322="","",G322+1)</f>
        <v>322</v>
      </c>
      <c r="H323" s="13"/>
      <c r="I323" s="12"/>
    </row>
    <row r="324" customFormat="false" ht="15" hidden="false" customHeight="false" outlineLevel="0" collapsed="false">
      <c r="A324" s="11" t="n">
        <f aca="false">IF(D323="","",D323)</f>
        <v>8</v>
      </c>
      <c r="B324" s="11" t="n">
        <f aca="false">IF(A324="","",(A324-(A324*0.067))/8)</f>
        <v>0.933</v>
      </c>
      <c r="C324" s="11" t="n">
        <f aca="false">IF(OR(A324="",B324=""),"",A324+B324)</f>
        <v>8.933</v>
      </c>
      <c r="D324" s="11" t="n">
        <f aca="false">IF(A324="","",A324+SUMIFS(Registros!$AP$2:$AP$401,Registros!$C$2:$C$401,H324))</f>
        <v>8</v>
      </c>
      <c r="E324" s="11" t="n">
        <f aca="false">IF(A324="","",ROUND(A324*0.067,2))</f>
        <v>0.54</v>
      </c>
      <c r="F324" s="11" t="n">
        <f aca="false">IF(OR(D324="",C324=""),"",D324-C324)</f>
        <v>-0.933</v>
      </c>
      <c r="G324" s="14" t="n">
        <f aca="false">IF(G323="","",G323+1)</f>
        <v>323</v>
      </c>
      <c r="H324" s="13"/>
      <c r="I324" s="12"/>
    </row>
    <row r="325" customFormat="false" ht="15" hidden="false" customHeight="false" outlineLevel="0" collapsed="false">
      <c r="A325" s="11" t="n">
        <f aca="false">IF(D324="","",D324)</f>
        <v>8</v>
      </c>
      <c r="B325" s="11" t="n">
        <f aca="false">IF(A325="","",(A325-(A325*0.067))/8)</f>
        <v>0.933</v>
      </c>
      <c r="C325" s="11" t="n">
        <f aca="false">IF(OR(A325="",B325=""),"",A325+B325)</f>
        <v>8.933</v>
      </c>
      <c r="D325" s="11" t="n">
        <f aca="false">IF(A325="","",A325+SUMIFS(Registros!$AP$2:$AP$401,Registros!$C$2:$C$401,H325))</f>
        <v>8</v>
      </c>
      <c r="E325" s="11" t="n">
        <f aca="false">IF(A325="","",ROUND(A325*0.067,2))</f>
        <v>0.54</v>
      </c>
      <c r="F325" s="11" t="n">
        <f aca="false">IF(OR(D325="",C325=""),"",D325-C325)</f>
        <v>-0.933</v>
      </c>
      <c r="G325" s="14" t="n">
        <f aca="false">IF(G324="","",G324+1)</f>
        <v>324</v>
      </c>
      <c r="H325" s="13"/>
      <c r="I325" s="12"/>
    </row>
    <row r="326" customFormat="false" ht="15" hidden="false" customHeight="false" outlineLevel="0" collapsed="false">
      <c r="A326" s="11" t="n">
        <f aca="false">IF(D325="","",D325)</f>
        <v>8</v>
      </c>
      <c r="B326" s="11" t="n">
        <f aca="false">IF(A326="","",(A326-(A326*0.067))/8)</f>
        <v>0.933</v>
      </c>
      <c r="C326" s="11" t="n">
        <f aca="false">IF(OR(A326="",B326=""),"",A326+B326)</f>
        <v>8.933</v>
      </c>
      <c r="D326" s="11" t="n">
        <f aca="false">IF(A326="","",A326+SUMIFS(Registros!$AP$2:$AP$401,Registros!$C$2:$C$401,H326))</f>
        <v>8</v>
      </c>
      <c r="E326" s="11" t="n">
        <f aca="false">IF(A326="","",ROUND(A326*0.067,2))</f>
        <v>0.54</v>
      </c>
      <c r="F326" s="11" t="n">
        <f aca="false">IF(OR(D326="",C326=""),"",D326-C326)</f>
        <v>-0.933</v>
      </c>
      <c r="G326" s="14" t="n">
        <f aca="false">IF(G325="","",G325+1)</f>
        <v>325</v>
      </c>
      <c r="H326" s="13"/>
      <c r="I326" s="12"/>
    </row>
    <row r="327" customFormat="false" ht="15" hidden="false" customHeight="false" outlineLevel="0" collapsed="false">
      <c r="A327" s="11" t="n">
        <f aca="false">IF(D326="","",D326)</f>
        <v>8</v>
      </c>
      <c r="B327" s="11" t="n">
        <f aca="false">IF(A327="","",(A327-(A327*0.067))/8)</f>
        <v>0.933</v>
      </c>
      <c r="C327" s="11" t="n">
        <f aca="false">IF(OR(A327="",B327=""),"",A327+B327)</f>
        <v>8.933</v>
      </c>
      <c r="D327" s="11" t="n">
        <f aca="false">IF(A327="","",A327+SUMIFS(Registros!$AP$2:$AP$401,Registros!$C$2:$C$401,H327))</f>
        <v>8</v>
      </c>
      <c r="E327" s="11" t="n">
        <f aca="false">IF(A327="","",ROUND(A327*0.067,2))</f>
        <v>0.54</v>
      </c>
      <c r="F327" s="11" t="n">
        <f aca="false">IF(OR(D327="",C327=""),"",D327-C327)</f>
        <v>-0.933</v>
      </c>
      <c r="G327" s="14" t="n">
        <f aca="false">IF(G326="","",G326+1)</f>
        <v>326</v>
      </c>
      <c r="H327" s="13"/>
      <c r="I327" s="12"/>
    </row>
    <row r="328" customFormat="false" ht="15" hidden="false" customHeight="false" outlineLevel="0" collapsed="false">
      <c r="A328" s="11" t="n">
        <f aca="false">IF(D327="","",D327)</f>
        <v>8</v>
      </c>
      <c r="B328" s="11" t="n">
        <f aca="false">IF(A328="","",(A328-(A328*0.067))/8)</f>
        <v>0.933</v>
      </c>
      <c r="C328" s="11" t="n">
        <f aca="false">IF(OR(A328="",B328=""),"",A328+B328)</f>
        <v>8.933</v>
      </c>
      <c r="D328" s="11" t="n">
        <f aca="false">IF(A328="","",A328+SUMIFS(Registros!$AP$2:$AP$401,Registros!$C$2:$C$401,H328))</f>
        <v>8</v>
      </c>
      <c r="E328" s="11" t="n">
        <f aca="false">IF(A328="","",ROUND(A328*0.067,2))</f>
        <v>0.54</v>
      </c>
      <c r="F328" s="11" t="n">
        <f aca="false">IF(OR(D328="",C328=""),"",D328-C328)</f>
        <v>-0.933</v>
      </c>
      <c r="G328" s="14" t="n">
        <f aca="false">IF(G327="","",G327+1)</f>
        <v>327</v>
      </c>
      <c r="H328" s="13"/>
      <c r="I328" s="12"/>
    </row>
    <row r="329" customFormat="false" ht="15" hidden="false" customHeight="false" outlineLevel="0" collapsed="false">
      <c r="A329" s="11" t="n">
        <f aca="false">IF(D328="","",D328)</f>
        <v>8</v>
      </c>
      <c r="B329" s="11" t="n">
        <f aca="false">IF(A329="","",(A329-(A329*0.067))/8)</f>
        <v>0.933</v>
      </c>
      <c r="C329" s="11" t="n">
        <f aca="false">IF(OR(A329="",B329=""),"",A329+B329)</f>
        <v>8.933</v>
      </c>
      <c r="D329" s="11" t="n">
        <f aca="false">IF(A329="","",A329+SUMIFS(Registros!$AP$2:$AP$401,Registros!$C$2:$C$401,H329))</f>
        <v>8</v>
      </c>
      <c r="E329" s="11" t="n">
        <f aca="false">IF(A329="","",ROUND(A329*0.067,2))</f>
        <v>0.54</v>
      </c>
      <c r="F329" s="11" t="n">
        <f aca="false">IF(OR(D329="",C329=""),"",D329-C329)</f>
        <v>-0.933</v>
      </c>
      <c r="G329" s="14" t="n">
        <f aca="false">IF(G328="","",G328+1)</f>
        <v>328</v>
      </c>
      <c r="H329" s="13"/>
      <c r="I329" s="12"/>
    </row>
    <row r="330" customFormat="false" ht="15" hidden="false" customHeight="false" outlineLevel="0" collapsed="false">
      <c r="A330" s="11" t="n">
        <f aca="false">IF(D329="","",D329)</f>
        <v>8</v>
      </c>
      <c r="B330" s="11" t="n">
        <f aca="false">IF(A330="","",(A330-(A330*0.067))/8)</f>
        <v>0.933</v>
      </c>
      <c r="C330" s="11" t="n">
        <f aca="false">IF(OR(A330="",B330=""),"",A330+B330)</f>
        <v>8.933</v>
      </c>
      <c r="D330" s="11" t="n">
        <f aca="false">IF(A330="","",A330+SUMIFS(Registros!$AP$2:$AP$401,Registros!$C$2:$C$401,H330))</f>
        <v>8</v>
      </c>
      <c r="E330" s="11" t="n">
        <f aca="false">IF(A330="","",ROUND(A330*0.067,2))</f>
        <v>0.54</v>
      </c>
      <c r="F330" s="11" t="n">
        <f aca="false">IF(OR(D330="",C330=""),"",D330-C330)</f>
        <v>-0.933</v>
      </c>
      <c r="G330" s="14" t="n">
        <f aca="false">IF(G329="","",G329+1)</f>
        <v>329</v>
      </c>
      <c r="H330" s="13"/>
      <c r="I330" s="12"/>
    </row>
    <row r="331" customFormat="false" ht="15" hidden="false" customHeight="false" outlineLevel="0" collapsed="false">
      <c r="A331" s="11" t="n">
        <f aca="false">IF(D330="","",D330)</f>
        <v>8</v>
      </c>
      <c r="B331" s="11" t="n">
        <f aca="false">IF(A331="","",(A331-(A331*0.067))/8)</f>
        <v>0.933</v>
      </c>
      <c r="C331" s="11" t="n">
        <f aca="false">IF(OR(A331="",B331=""),"",A331+B331)</f>
        <v>8.933</v>
      </c>
      <c r="D331" s="11" t="n">
        <f aca="false">IF(A331="","",A331+SUMIFS(Registros!$AP$2:$AP$401,Registros!$C$2:$C$401,H331))</f>
        <v>8</v>
      </c>
      <c r="E331" s="11" t="n">
        <f aca="false">IF(A331="","",ROUND(A331*0.067,2))</f>
        <v>0.54</v>
      </c>
      <c r="F331" s="11" t="n">
        <f aca="false">IF(OR(D331="",C331=""),"",D331-C331)</f>
        <v>-0.933</v>
      </c>
      <c r="G331" s="14" t="n">
        <f aca="false">IF(G330="","",G330+1)</f>
        <v>330</v>
      </c>
      <c r="H331" s="13"/>
      <c r="I331" s="12"/>
    </row>
    <row r="332" customFormat="false" ht="15" hidden="false" customHeight="false" outlineLevel="0" collapsed="false">
      <c r="A332" s="11" t="n">
        <f aca="false">IF(D331="","",D331)</f>
        <v>8</v>
      </c>
      <c r="B332" s="11" t="n">
        <f aca="false">IF(A332="","",(A332-(A332*0.067))/8)</f>
        <v>0.933</v>
      </c>
      <c r="C332" s="11" t="n">
        <f aca="false">IF(OR(A332="",B332=""),"",A332+B332)</f>
        <v>8.933</v>
      </c>
      <c r="D332" s="11" t="n">
        <f aca="false">IF(A332="","",A332+SUMIFS(Registros!$AP$2:$AP$401,Registros!$C$2:$C$401,H332))</f>
        <v>8</v>
      </c>
      <c r="E332" s="11" t="n">
        <f aca="false">IF(A332="","",ROUND(A332*0.067,2))</f>
        <v>0.54</v>
      </c>
      <c r="F332" s="11" t="n">
        <f aca="false">IF(OR(D332="",C332=""),"",D332-C332)</f>
        <v>-0.933</v>
      </c>
      <c r="G332" s="14" t="n">
        <f aca="false">IF(G331="","",G331+1)</f>
        <v>331</v>
      </c>
      <c r="H332" s="13"/>
      <c r="I332" s="12"/>
    </row>
    <row r="333" customFormat="false" ht="15" hidden="false" customHeight="false" outlineLevel="0" collapsed="false">
      <c r="A333" s="11" t="n">
        <f aca="false">IF(D332="","",D332)</f>
        <v>8</v>
      </c>
      <c r="B333" s="11" t="n">
        <f aca="false">IF(A333="","",(A333-(A333*0.067))/8)</f>
        <v>0.933</v>
      </c>
      <c r="C333" s="11" t="n">
        <f aca="false">IF(OR(A333="",B333=""),"",A333+B333)</f>
        <v>8.933</v>
      </c>
      <c r="D333" s="11" t="n">
        <f aca="false">IF(A333="","",A333+SUMIFS(Registros!$AP$2:$AP$401,Registros!$C$2:$C$401,H333))</f>
        <v>8</v>
      </c>
      <c r="E333" s="11" t="n">
        <f aca="false">IF(A333="","",ROUND(A333*0.067,2))</f>
        <v>0.54</v>
      </c>
      <c r="F333" s="11" t="n">
        <f aca="false">IF(OR(D333="",C333=""),"",D333-C333)</f>
        <v>-0.933</v>
      </c>
      <c r="G333" s="14" t="n">
        <f aca="false">IF(G332="","",G332+1)</f>
        <v>332</v>
      </c>
      <c r="H333" s="13"/>
      <c r="I333" s="12"/>
    </row>
    <row r="334" customFormat="false" ht="15" hidden="false" customHeight="false" outlineLevel="0" collapsed="false">
      <c r="A334" s="11" t="n">
        <f aca="false">IF(D333="","",D333)</f>
        <v>8</v>
      </c>
      <c r="B334" s="11" t="n">
        <f aca="false">IF(A334="","",(A334-(A334*0.067))/8)</f>
        <v>0.933</v>
      </c>
      <c r="C334" s="11" t="n">
        <f aca="false">IF(OR(A334="",B334=""),"",A334+B334)</f>
        <v>8.933</v>
      </c>
      <c r="D334" s="11" t="n">
        <f aca="false">IF(A334="","",A334+SUMIFS(Registros!$AP$2:$AP$401,Registros!$C$2:$C$401,H334))</f>
        <v>8</v>
      </c>
      <c r="E334" s="11" t="n">
        <f aca="false">IF(A334="","",ROUND(A334*0.067,2))</f>
        <v>0.54</v>
      </c>
      <c r="F334" s="11" t="n">
        <f aca="false">IF(OR(D334="",C334=""),"",D334-C334)</f>
        <v>-0.933</v>
      </c>
      <c r="G334" s="14" t="n">
        <f aca="false">IF(G333="","",G333+1)</f>
        <v>333</v>
      </c>
      <c r="H334" s="13"/>
      <c r="I334" s="12"/>
    </row>
    <row r="335" customFormat="false" ht="15" hidden="false" customHeight="false" outlineLevel="0" collapsed="false">
      <c r="A335" s="11" t="n">
        <f aca="false">IF(D334="","",D334)</f>
        <v>8</v>
      </c>
      <c r="B335" s="11" t="n">
        <f aca="false">IF(A335="","",(A335-(A335*0.067))/8)</f>
        <v>0.933</v>
      </c>
      <c r="C335" s="11" t="n">
        <f aca="false">IF(OR(A335="",B335=""),"",A335+B335)</f>
        <v>8.933</v>
      </c>
      <c r="D335" s="11" t="n">
        <f aca="false">IF(A335="","",A335+SUMIFS(Registros!$AP$2:$AP$401,Registros!$C$2:$C$401,H335))</f>
        <v>8</v>
      </c>
      <c r="E335" s="11" t="n">
        <f aca="false">IF(A335="","",ROUND(A335*0.067,2))</f>
        <v>0.54</v>
      </c>
      <c r="F335" s="11" t="n">
        <f aca="false">IF(OR(D335="",C335=""),"",D335-C335)</f>
        <v>-0.933</v>
      </c>
      <c r="G335" s="14" t="n">
        <f aca="false">IF(G334="","",G334+1)</f>
        <v>334</v>
      </c>
      <c r="H335" s="13"/>
      <c r="I335" s="12"/>
    </row>
    <row r="336" customFormat="false" ht="15" hidden="false" customHeight="false" outlineLevel="0" collapsed="false">
      <c r="A336" s="11" t="n">
        <f aca="false">IF(D335="","",D335)</f>
        <v>8</v>
      </c>
      <c r="B336" s="11" t="n">
        <f aca="false">IF(A336="","",(A336-(A336*0.067))/8)</f>
        <v>0.933</v>
      </c>
      <c r="C336" s="11" t="n">
        <f aca="false">IF(OR(A336="",B336=""),"",A336+B336)</f>
        <v>8.933</v>
      </c>
      <c r="D336" s="11" t="n">
        <f aca="false">IF(A336="","",A336+SUMIFS(Registros!$AP$2:$AP$401,Registros!$C$2:$C$401,H336))</f>
        <v>8</v>
      </c>
      <c r="E336" s="11" t="n">
        <f aca="false">IF(A336="","",ROUND(A336*0.067,2))</f>
        <v>0.54</v>
      </c>
      <c r="F336" s="11" t="n">
        <f aca="false">IF(OR(D336="",C336=""),"",D336-C336)</f>
        <v>-0.933</v>
      </c>
      <c r="G336" s="14" t="n">
        <f aca="false">IF(G335="","",G335+1)</f>
        <v>335</v>
      </c>
      <c r="H336" s="13"/>
      <c r="I336" s="12"/>
    </row>
    <row r="337" customFormat="false" ht="15" hidden="false" customHeight="false" outlineLevel="0" collapsed="false">
      <c r="A337" s="11" t="n">
        <f aca="false">IF(D336="","",D336)</f>
        <v>8</v>
      </c>
      <c r="B337" s="11" t="n">
        <f aca="false">IF(A337="","",(A337-(A337*0.067))/8)</f>
        <v>0.933</v>
      </c>
      <c r="C337" s="11" t="n">
        <f aca="false">IF(OR(A337="",B337=""),"",A337+B337)</f>
        <v>8.933</v>
      </c>
      <c r="D337" s="11" t="n">
        <f aca="false">IF(A337="","",A337+SUMIFS(Registros!$AP$2:$AP$401,Registros!$C$2:$C$401,H337))</f>
        <v>8</v>
      </c>
      <c r="E337" s="11" t="n">
        <f aca="false">IF(A337="","",ROUND(A337*0.067,2))</f>
        <v>0.54</v>
      </c>
      <c r="F337" s="11" t="n">
        <f aca="false">IF(OR(D337="",C337=""),"",D337-C337)</f>
        <v>-0.933</v>
      </c>
      <c r="G337" s="14" t="n">
        <f aca="false">IF(G336="","",G336+1)</f>
        <v>336</v>
      </c>
      <c r="H337" s="13"/>
      <c r="I337" s="12"/>
    </row>
    <row r="338" customFormat="false" ht="15" hidden="false" customHeight="false" outlineLevel="0" collapsed="false">
      <c r="A338" s="11" t="n">
        <f aca="false">IF(D337="","",D337)</f>
        <v>8</v>
      </c>
      <c r="B338" s="11" t="n">
        <f aca="false">IF(A338="","",(A338-(A338*0.067))/8)</f>
        <v>0.933</v>
      </c>
      <c r="C338" s="11" t="n">
        <f aca="false">IF(OR(A338="",B338=""),"",A338+B338)</f>
        <v>8.933</v>
      </c>
      <c r="D338" s="11" t="n">
        <f aca="false">IF(A338="","",A338+SUMIFS(Registros!$AP$2:$AP$401,Registros!$C$2:$C$401,H338))</f>
        <v>8</v>
      </c>
      <c r="E338" s="11" t="n">
        <f aca="false">IF(A338="","",ROUND(A338*0.067,2))</f>
        <v>0.54</v>
      </c>
      <c r="F338" s="11" t="n">
        <f aca="false">IF(OR(D338="",C338=""),"",D338-C338)</f>
        <v>-0.933</v>
      </c>
      <c r="G338" s="14" t="n">
        <f aca="false">IF(G337="","",G337+1)</f>
        <v>337</v>
      </c>
      <c r="H338" s="13"/>
      <c r="I338" s="12"/>
    </row>
    <row r="339" customFormat="false" ht="15" hidden="false" customHeight="false" outlineLevel="0" collapsed="false">
      <c r="A339" s="11" t="n">
        <f aca="false">IF(D338="","",D338)</f>
        <v>8</v>
      </c>
      <c r="B339" s="11" t="n">
        <f aca="false">IF(A339="","",(A339-(A339*0.067))/8)</f>
        <v>0.933</v>
      </c>
      <c r="C339" s="11" t="n">
        <f aca="false">IF(OR(A339="",B339=""),"",A339+B339)</f>
        <v>8.933</v>
      </c>
      <c r="D339" s="11" t="n">
        <f aca="false">IF(A339="","",A339+SUMIFS(Registros!$AP$2:$AP$401,Registros!$C$2:$C$401,H339))</f>
        <v>8</v>
      </c>
      <c r="E339" s="11" t="n">
        <f aca="false">IF(A339="","",ROUND(A339*0.067,2))</f>
        <v>0.54</v>
      </c>
      <c r="F339" s="11" t="n">
        <f aca="false">IF(OR(D339="",C339=""),"",D339-C339)</f>
        <v>-0.933</v>
      </c>
      <c r="G339" s="14" t="n">
        <f aca="false">IF(G338="","",G338+1)</f>
        <v>338</v>
      </c>
      <c r="H339" s="13"/>
      <c r="I339" s="12"/>
    </row>
    <row r="340" customFormat="false" ht="15" hidden="false" customHeight="false" outlineLevel="0" collapsed="false">
      <c r="A340" s="11" t="n">
        <f aca="false">IF(D339="","",D339)</f>
        <v>8</v>
      </c>
      <c r="B340" s="11" t="n">
        <f aca="false">IF(A340="","",(A340-(A340*0.067))/8)</f>
        <v>0.933</v>
      </c>
      <c r="C340" s="11" t="n">
        <f aca="false">IF(OR(A340="",B340=""),"",A340+B340)</f>
        <v>8.933</v>
      </c>
      <c r="D340" s="11" t="n">
        <f aca="false">IF(A340="","",A340+SUMIFS(Registros!$AP$2:$AP$401,Registros!$C$2:$C$401,H340))</f>
        <v>8</v>
      </c>
      <c r="E340" s="11" t="n">
        <f aca="false">IF(A340="","",ROUND(A340*0.067,2))</f>
        <v>0.54</v>
      </c>
      <c r="F340" s="11" t="n">
        <f aca="false">IF(OR(D340="",C340=""),"",D340-C340)</f>
        <v>-0.933</v>
      </c>
      <c r="G340" s="14" t="n">
        <f aca="false">IF(G339="","",G339+1)</f>
        <v>339</v>
      </c>
      <c r="H340" s="13"/>
      <c r="I340" s="12"/>
    </row>
    <row r="341" customFormat="false" ht="15" hidden="false" customHeight="false" outlineLevel="0" collapsed="false">
      <c r="A341" s="11" t="n">
        <f aca="false">IF(D340="","",D340)</f>
        <v>8</v>
      </c>
      <c r="B341" s="11" t="n">
        <f aca="false">IF(A341="","",(A341-(A341*0.067))/8)</f>
        <v>0.933</v>
      </c>
      <c r="C341" s="11" t="n">
        <f aca="false">IF(OR(A341="",B341=""),"",A341+B341)</f>
        <v>8.933</v>
      </c>
      <c r="D341" s="11" t="n">
        <f aca="false">IF(A341="","",A341+SUMIFS(Registros!$AP$2:$AP$401,Registros!$C$2:$C$401,H341))</f>
        <v>8</v>
      </c>
      <c r="E341" s="11" t="n">
        <f aca="false">IF(A341="","",ROUND(A341*0.067,2))</f>
        <v>0.54</v>
      </c>
      <c r="F341" s="11" t="n">
        <f aca="false">IF(OR(D341="",C341=""),"",D341-C341)</f>
        <v>-0.933</v>
      </c>
      <c r="G341" s="14" t="n">
        <f aca="false">IF(G340="","",G340+1)</f>
        <v>340</v>
      </c>
      <c r="H341" s="13"/>
      <c r="I341" s="12"/>
    </row>
    <row r="342" customFormat="false" ht="15" hidden="false" customHeight="false" outlineLevel="0" collapsed="false">
      <c r="A342" s="11" t="n">
        <f aca="false">IF(D341="","",D341)</f>
        <v>8</v>
      </c>
      <c r="B342" s="11" t="n">
        <f aca="false">IF(A342="","",(A342-(A342*0.067))/8)</f>
        <v>0.933</v>
      </c>
      <c r="C342" s="11" t="n">
        <f aca="false">IF(OR(A342="",B342=""),"",A342+B342)</f>
        <v>8.933</v>
      </c>
      <c r="D342" s="11" t="n">
        <f aca="false">IF(A342="","",A342+SUMIFS(Registros!$AP$2:$AP$401,Registros!$C$2:$C$401,H342))</f>
        <v>8</v>
      </c>
      <c r="E342" s="11" t="n">
        <f aca="false">IF(A342="","",ROUND(A342*0.067,2))</f>
        <v>0.54</v>
      </c>
      <c r="F342" s="11" t="n">
        <f aca="false">IF(OR(D342="",C342=""),"",D342-C342)</f>
        <v>-0.933</v>
      </c>
      <c r="G342" s="14" t="n">
        <f aca="false">IF(G341="","",G341+1)</f>
        <v>341</v>
      </c>
      <c r="H342" s="13"/>
      <c r="I342" s="12"/>
    </row>
    <row r="343" customFormat="false" ht="15" hidden="false" customHeight="false" outlineLevel="0" collapsed="false">
      <c r="A343" s="11" t="n">
        <f aca="false">IF(D342="","",D342)</f>
        <v>8</v>
      </c>
      <c r="B343" s="11" t="n">
        <f aca="false">IF(A343="","",(A343-(A343*0.067))/8)</f>
        <v>0.933</v>
      </c>
      <c r="C343" s="11" t="n">
        <f aca="false">IF(OR(A343="",B343=""),"",A343+B343)</f>
        <v>8.933</v>
      </c>
      <c r="D343" s="11" t="n">
        <f aca="false">IF(A343="","",A343+SUMIFS(Registros!$AP$2:$AP$401,Registros!$C$2:$C$401,H343))</f>
        <v>8</v>
      </c>
      <c r="E343" s="11" t="n">
        <f aca="false">IF(A343="","",ROUND(A343*0.067,2))</f>
        <v>0.54</v>
      </c>
      <c r="F343" s="11" t="n">
        <f aca="false">IF(OR(D343="",C343=""),"",D343-C343)</f>
        <v>-0.933</v>
      </c>
      <c r="G343" s="14" t="n">
        <f aca="false">IF(G342="","",G342+1)</f>
        <v>342</v>
      </c>
      <c r="H343" s="13"/>
      <c r="I343" s="12"/>
    </row>
    <row r="344" customFormat="false" ht="15" hidden="false" customHeight="false" outlineLevel="0" collapsed="false">
      <c r="A344" s="11" t="n">
        <f aca="false">IF(D343="","",D343)</f>
        <v>8</v>
      </c>
      <c r="B344" s="11" t="n">
        <f aca="false">IF(A344="","",(A344-(A344*0.067))/8)</f>
        <v>0.933</v>
      </c>
      <c r="C344" s="11" t="n">
        <f aca="false">IF(OR(A344="",B344=""),"",A344+B344)</f>
        <v>8.933</v>
      </c>
      <c r="D344" s="11" t="n">
        <f aca="false">IF(A344="","",A344+SUMIFS(Registros!$AP$2:$AP$401,Registros!$C$2:$C$401,H344))</f>
        <v>8</v>
      </c>
      <c r="E344" s="11" t="n">
        <f aca="false">IF(A344="","",ROUND(A344*0.067,2))</f>
        <v>0.54</v>
      </c>
      <c r="F344" s="11" t="n">
        <f aca="false">IF(OR(D344="",C344=""),"",D344-C344)</f>
        <v>-0.933</v>
      </c>
      <c r="G344" s="14" t="n">
        <f aca="false">IF(G343="","",G343+1)</f>
        <v>343</v>
      </c>
      <c r="H344" s="13"/>
      <c r="I344" s="12"/>
    </row>
    <row r="345" customFormat="false" ht="15" hidden="false" customHeight="false" outlineLevel="0" collapsed="false">
      <c r="A345" s="11" t="n">
        <f aca="false">IF(D344="","",D344)</f>
        <v>8</v>
      </c>
      <c r="B345" s="11" t="n">
        <f aca="false">IF(A345="","",(A345-(A345*0.067))/8)</f>
        <v>0.933</v>
      </c>
      <c r="C345" s="11" t="n">
        <f aca="false">IF(OR(A345="",B345=""),"",A345+B345)</f>
        <v>8.933</v>
      </c>
      <c r="D345" s="11" t="n">
        <f aca="false">IF(A345="","",A345+SUMIFS(Registros!$AP$2:$AP$401,Registros!$C$2:$C$401,H345))</f>
        <v>8</v>
      </c>
      <c r="E345" s="11" t="n">
        <f aca="false">IF(A345="","",ROUND(A345*0.067,2))</f>
        <v>0.54</v>
      </c>
      <c r="F345" s="11" t="n">
        <f aca="false">IF(OR(D345="",C345=""),"",D345-C345)</f>
        <v>-0.933</v>
      </c>
      <c r="G345" s="14" t="n">
        <f aca="false">IF(G344="","",G344+1)</f>
        <v>344</v>
      </c>
      <c r="H345" s="13"/>
      <c r="I345" s="12"/>
    </row>
    <row r="346" customFormat="false" ht="15" hidden="false" customHeight="false" outlineLevel="0" collapsed="false">
      <c r="A346" s="11" t="n">
        <f aca="false">IF(D345="","",D345)</f>
        <v>8</v>
      </c>
      <c r="B346" s="11" t="n">
        <f aca="false">IF(A346="","",(A346-(A346*0.067))/8)</f>
        <v>0.933</v>
      </c>
      <c r="C346" s="11" t="n">
        <f aca="false">IF(OR(A346="",B346=""),"",A346+B346)</f>
        <v>8.933</v>
      </c>
      <c r="D346" s="11" t="n">
        <f aca="false">IF(A346="","",A346+SUMIFS(Registros!$AP$2:$AP$401,Registros!$C$2:$C$401,H346))</f>
        <v>8</v>
      </c>
      <c r="E346" s="11" t="n">
        <f aca="false">IF(A346="","",ROUND(A346*0.067,2))</f>
        <v>0.54</v>
      </c>
      <c r="F346" s="11" t="n">
        <f aca="false">IF(OR(D346="",C346=""),"",D346-C346)</f>
        <v>-0.933</v>
      </c>
      <c r="G346" s="14" t="n">
        <f aca="false">IF(G345="","",G345+1)</f>
        <v>345</v>
      </c>
      <c r="H346" s="13"/>
      <c r="I346" s="12"/>
    </row>
    <row r="347" customFormat="false" ht="15" hidden="false" customHeight="false" outlineLevel="0" collapsed="false">
      <c r="A347" s="11" t="n">
        <f aca="false">IF(D346="","",D346)</f>
        <v>8</v>
      </c>
      <c r="B347" s="11" t="n">
        <f aca="false">IF(A347="","",(A347-(A347*0.067))/8)</f>
        <v>0.933</v>
      </c>
      <c r="C347" s="11" t="n">
        <f aca="false">IF(OR(A347="",B347=""),"",A347+B347)</f>
        <v>8.933</v>
      </c>
      <c r="D347" s="11" t="n">
        <f aca="false">IF(A347="","",A347+SUMIFS(Registros!$AP$2:$AP$401,Registros!$C$2:$C$401,H347))</f>
        <v>8</v>
      </c>
      <c r="E347" s="11" t="n">
        <f aca="false">IF(A347="","",ROUND(A347*0.067,2))</f>
        <v>0.54</v>
      </c>
      <c r="F347" s="11" t="n">
        <f aca="false">IF(OR(D347="",C347=""),"",D347-C347)</f>
        <v>-0.933</v>
      </c>
      <c r="G347" s="14" t="n">
        <f aca="false">IF(G346="","",G346+1)</f>
        <v>346</v>
      </c>
      <c r="H347" s="13"/>
      <c r="I347" s="12"/>
    </row>
    <row r="348" customFormat="false" ht="15" hidden="false" customHeight="false" outlineLevel="0" collapsed="false">
      <c r="A348" s="11" t="n">
        <f aca="false">IF(D347="","",D347)</f>
        <v>8</v>
      </c>
      <c r="B348" s="11" t="n">
        <f aca="false">IF(A348="","",(A348-(A348*0.067))/8)</f>
        <v>0.933</v>
      </c>
      <c r="C348" s="11" t="n">
        <f aca="false">IF(OR(A348="",B348=""),"",A348+B348)</f>
        <v>8.933</v>
      </c>
      <c r="D348" s="11" t="n">
        <f aca="false">IF(A348="","",A348+SUMIFS(Registros!$AP$2:$AP$401,Registros!$C$2:$C$401,H348))</f>
        <v>8</v>
      </c>
      <c r="E348" s="11" t="n">
        <f aca="false">IF(A348="","",ROUND(A348*0.067,2))</f>
        <v>0.54</v>
      </c>
      <c r="F348" s="11" t="n">
        <f aca="false">IF(OR(D348="",C348=""),"",D348-C348)</f>
        <v>-0.933</v>
      </c>
      <c r="G348" s="14" t="n">
        <f aca="false">IF(G347="","",G347+1)</f>
        <v>347</v>
      </c>
      <c r="H348" s="13"/>
      <c r="I348" s="12"/>
    </row>
    <row r="349" customFormat="false" ht="15" hidden="false" customHeight="false" outlineLevel="0" collapsed="false">
      <c r="A349" s="11" t="n">
        <f aca="false">IF(D348="","",D348)</f>
        <v>8</v>
      </c>
      <c r="B349" s="11" t="n">
        <f aca="false">IF(A349="","",(A349-(A349*0.067))/8)</f>
        <v>0.933</v>
      </c>
      <c r="C349" s="11" t="n">
        <f aca="false">IF(OR(A349="",B349=""),"",A349+B349)</f>
        <v>8.933</v>
      </c>
      <c r="D349" s="11" t="n">
        <f aca="false">IF(A349="","",A349+SUMIFS(Registros!$AP$2:$AP$401,Registros!$C$2:$C$401,H349))</f>
        <v>8</v>
      </c>
      <c r="E349" s="11" t="n">
        <f aca="false">IF(A349="","",ROUND(A349*0.067,2))</f>
        <v>0.54</v>
      </c>
      <c r="F349" s="11" t="n">
        <f aca="false">IF(OR(D349="",C349=""),"",D349-C349)</f>
        <v>-0.933</v>
      </c>
      <c r="G349" s="14" t="n">
        <f aca="false">IF(G348="","",G348+1)</f>
        <v>348</v>
      </c>
      <c r="H349" s="13"/>
      <c r="I349" s="12"/>
    </row>
    <row r="350" customFormat="false" ht="15" hidden="false" customHeight="false" outlineLevel="0" collapsed="false">
      <c r="A350" s="11" t="n">
        <f aca="false">IF(D349="","",D349)</f>
        <v>8</v>
      </c>
      <c r="B350" s="11" t="n">
        <f aca="false">IF(A350="","",(A350-(A350*0.067))/8)</f>
        <v>0.933</v>
      </c>
      <c r="C350" s="11" t="n">
        <f aca="false">IF(OR(A350="",B350=""),"",A350+B350)</f>
        <v>8.933</v>
      </c>
      <c r="D350" s="11" t="n">
        <f aca="false">IF(A350="","",A350+SUMIFS(Registros!$AP$2:$AP$401,Registros!$C$2:$C$401,H350))</f>
        <v>8</v>
      </c>
      <c r="E350" s="11" t="n">
        <f aca="false">IF(A350="","",ROUND(A350*0.067,2))</f>
        <v>0.54</v>
      </c>
      <c r="F350" s="11" t="n">
        <f aca="false">IF(OR(D350="",C350=""),"",D350-C350)</f>
        <v>-0.933</v>
      </c>
      <c r="G350" s="14" t="n">
        <f aca="false">IF(G349="","",G349+1)</f>
        <v>349</v>
      </c>
      <c r="H350" s="13"/>
      <c r="I350" s="12"/>
    </row>
    <row r="351" customFormat="false" ht="15" hidden="false" customHeight="false" outlineLevel="0" collapsed="false">
      <c r="A351" s="11" t="n">
        <f aca="false">IF(D350="","",D350)</f>
        <v>8</v>
      </c>
      <c r="B351" s="11" t="n">
        <f aca="false">IF(A351="","",(A351-(A351*0.067))/8)</f>
        <v>0.933</v>
      </c>
      <c r="C351" s="11" t="n">
        <f aca="false">IF(OR(A351="",B351=""),"",A351+B351)</f>
        <v>8.933</v>
      </c>
      <c r="D351" s="11" t="n">
        <f aca="false">IF(A351="","",A351+SUMIFS(Registros!$AP$2:$AP$401,Registros!$C$2:$C$401,H351))</f>
        <v>8</v>
      </c>
      <c r="E351" s="11" t="n">
        <f aca="false">IF(A351="","",ROUND(A351*0.067,2))</f>
        <v>0.54</v>
      </c>
      <c r="F351" s="11" t="n">
        <f aca="false">IF(OR(D351="",C351=""),"",D351-C351)</f>
        <v>-0.933</v>
      </c>
      <c r="G351" s="14" t="n">
        <f aca="false">IF(G350="","",G350+1)</f>
        <v>350</v>
      </c>
      <c r="H351" s="13"/>
      <c r="I351" s="12"/>
    </row>
    <row r="352" customFormat="false" ht="15" hidden="false" customHeight="false" outlineLevel="0" collapsed="false">
      <c r="A352" s="11" t="n">
        <f aca="false">IF(D351="","",D351)</f>
        <v>8</v>
      </c>
      <c r="B352" s="11" t="n">
        <f aca="false">IF(A352="","",(A352-(A352*0.067))/8)</f>
        <v>0.933</v>
      </c>
      <c r="C352" s="11" t="n">
        <f aca="false">IF(OR(A352="",B352=""),"",A352+B352)</f>
        <v>8.933</v>
      </c>
      <c r="D352" s="11" t="n">
        <f aca="false">IF(A352="","",A352+SUMIFS(Registros!$AP$2:$AP$401,Registros!$C$2:$C$401,H352))</f>
        <v>8</v>
      </c>
      <c r="E352" s="11" t="n">
        <f aca="false">IF(A352="","",ROUND(A352*0.067,2))</f>
        <v>0.54</v>
      </c>
      <c r="F352" s="11" t="n">
        <f aca="false">IF(OR(D352="",C352=""),"",D352-C352)</f>
        <v>-0.933</v>
      </c>
      <c r="G352" s="14" t="n">
        <f aca="false">IF(G351="","",G351+1)</f>
        <v>351</v>
      </c>
      <c r="H352" s="13"/>
      <c r="I352" s="12"/>
    </row>
    <row r="353" customFormat="false" ht="15" hidden="false" customHeight="false" outlineLevel="0" collapsed="false">
      <c r="A353" s="11" t="n">
        <f aca="false">IF(D352="","",D352)</f>
        <v>8</v>
      </c>
      <c r="B353" s="11" t="n">
        <f aca="false">IF(A353="","",(A353-(A353*0.067))/8)</f>
        <v>0.933</v>
      </c>
      <c r="C353" s="11" t="n">
        <f aca="false">IF(OR(A353="",B353=""),"",A353+B353)</f>
        <v>8.933</v>
      </c>
      <c r="D353" s="11" t="n">
        <f aca="false">IF(A353="","",A353+SUMIFS(Registros!$AP$2:$AP$401,Registros!$C$2:$C$401,H353))</f>
        <v>8</v>
      </c>
      <c r="E353" s="11" t="n">
        <f aca="false">IF(A353="","",ROUND(A353*0.067,2))</f>
        <v>0.54</v>
      </c>
      <c r="F353" s="11" t="n">
        <f aca="false">IF(OR(D353="",C353=""),"",D353-C353)</f>
        <v>-0.933</v>
      </c>
      <c r="G353" s="14" t="n">
        <f aca="false">IF(G352="","",G352+1)</f>
        <v>352</v>
      </c>
      <c r="H353" s="13"/>
      <c r="I353" s="12"/>
    </row>
    <row r="354" customFormat="false" ht="15" hidden="false" customHeight="false" outlineLevel="0" collapsed="false">
      <c r="A354" s="11" t="n">
        <f aca="false">IF(D353="","",D353)</f>
        <v>8</v>
      </c>
      <c r="B354" s="11" t="n">
        <f aca="false">IF(A354="","",(A354-(A354*0.067))/8)</f>
        <v>0.933</v>
      </c>
      <c r="C354" s="11" t="n">
        <f aca="false">IF(OR(A354="",B354=""),"",A354+B354)</f>
        <v>8.933</v>
      </c>
      <c r="D354" s="11" t="n">
        <f aca="false">IF(A354="","",A354+SUMIFS(Registros!$AP$2:$AP$401,Registros!$C$2:$C$401,H354))</f>
        <v>8</v>
      </c>
      <c r="E354" s="11" t="n">
        <f aca="false">IF(A354="","",ROUND(A354*0.067,2))</f>
        <v>0.54</v>
      </c>
      <c r="F354" s="11" t="n">
        <f aca="false">IF(OR(D354="",C354=""),"",D354-C354)</f>
        <v>-0.933</v>
      </c>
      <c r="G354" s="14" t="n">
        <f aca="false">IF(G353="","",G353+1)</f>
        <v>353</v>
      </c>
      <c r="H354" s="13"/>
      <c r="I354" s="12"/>
    </row>
    <row r="355" customFormat="false" ht="15" hidden="false" customHeight="false" outlineLevel="0" collapsed="false">
      <c r="A355" s="11" t="n">
        <f aca="false">IF(D354="","",D354)</f>
        <v>8</v>
      </c>
      <c r="B355" s="11" t="n">
        <f aca="false">IF(A355="","",(A355-(A355*0.067))/8)</f>
        <v>0.933</v>
      </c>
      <c r="C355" s="11" t="n">
        <f aca="false">IF(OR(A355="",B355=""),"",A355+B355)</f>
        <v>8.933</v>
      </c>
      <c r="D355" s="11" t="n">
        <f aca="false">IF(A355="","",A355+SUMIFS(Registros!$AP$2:$AP$401,Registros!$C$2:$C$401,H355))</f>
        <v>8</v>
      </c>
      <c r="E355" s="11" t="n">
        <f aca="false">IF(A355="","",ROUND(A355*0.067,2))</f>
        <v>0.54</v>
      </c>
      <c r="F355" s="11" t="n">
        <f aca="false">IF(OR(D355="",C355=""),"",D355-C355)</f>
        <v>-0.933</v>
      </c>
      <c r="G355" s="14" t="n">
        <f aca="false">IF(G354="","",G354+1)</f>
        <v>354</v>
      </c>
      <c r="H355" s="13"/>
      <c r="I355" s="12"/>
    </row>
    <row r="356" customFormat="false" ht="15" hidden="false" customHeight="false" outlineLevel="0" collapsed="false">
      <c r="A356" s="11" t="n">
        <f aca="false">IF(D355="","",D355)</f>
        <v>8</v>
      </c>
      <c r="B356" s="11" t="n">
        <f aca="false">IF(A356="","",(A356-(A356*0.067))/8)</f>
        <v>0.933</v>
      </c>
      <c r="C356" s="11" t="n">
        <f aca="false">IF(OR(A356="",B356=""),"",A356+B356)</f>
        <v>8.933</v>
      </c>
      <c r="D356" s="11" t="n">
        <f aca="false">IF(A356="","",A356+SUMIFS(Registros!$AP$2:$AP$401,Registros!$C$2:$C$401,H356))</f>
        <v>8</v>
      </c>
      <c r="E356" s="11" t="n">
        <f aca="false">IF(A356="","",ROUND(A356*0.067,2))</f>
        <v>0.54</v>
      </c>
      <c r="F356" s="11" t="n">
        <f aca="false">IF(OR(D356="",C356=""),"",D356-C356)</f>
        <v>-0.933</v>
      </c>
      <c r="G356" s="14" t="n">
        <f aca="false">IF(G355="","",G355+1)</f>
        <v>355</v>
      </c>
      <c r="H356" s="13"/>
      <c r="I356" s="12"/>
    </row>
    <row r="357" customFormat="false" ht="15" hidden="false" customHeight="false" outlineLevel="0" collapsed="false">
      <c r="A357" s="11" t="n">
        <f aca="false">IF(D356="","",D356)</f>
        <v>8</v>
      </c>
      <c r="B357" s="11" t="n">
        <f aca="false">IF(A357="","",(A357-(A357*0.067))/8)</f>
        <v>0.933</v>
      </c>
      <c r="C357" s="11" t="n">
        <f aca="false">IF(OR(A357="",B357=""),"",A357+B357)</f>
        <v>8.933</v>
      </c>
      <c r="D357" s="11" t="n">
        <f aca="false">IF(A357="","",A357+SUMIFS(Registros!$AP$2:$AP$401,Registros!$C$2:$C$401,H357))</f>
        <v>8</v>
      </c>
      <c r="E357" s="11" t="n">
        <f aca="false">IF(A357="","",ROUND(A357*0.067,2))</f>
        <v>0.54</v>
      </c>
      <c r="F357" s="11" t="n">
        <f aca="false">IF(OR(D357="",C357=""),"",D357-C357)</f>
        <v>-0.933</v>
      </c>
      <c r="G357" s="14" t="n">
        <f aca="false">IF(G356="","",G356+1)</f>
        <v>356</v>
      </c>
      <c r="H357" s="13"/>
      <c r="I357" s="12"/>
    </row>
    <row r="358" customFormat="false" ht="15" hidden="false" customHeight="false" outlineLevel="0" collapsed="false">
      <c r="A358" s="11" t="n">
        <f aca="false">IF(D357="","",D357)</f>
        <v>8</v>
      </c>
      <c r="B358" s="11" t="n">
        <f aca="false">IF(A358="","",(A358-(A358*0.067))/8)</f>
        <v>0.933</v>
      </c>
      <c r="C358" s="11" t="n">
        <f aca="false">IF(OR(A358="",B358=""),"",A358+B358)</f>
        <v>8.933</v>
      </c>
      <c r="D358" s="11" t="n">
        <f aca="false">IF(A358="","",A358+SUMIFS(Registros!$AP$2:$AP$401,Registros!$C$2:$C$401,H358))</f>
        <v>8</v>
      </c>
      <c r="E358" s="11" t="n">
        <f aca="false">IF(A358="","",ROUND(A358*0.067,2))</f>
        <v>0.54</v>
      </c>
      <c r="F358" s="11" t="n">
        <f aca="false">IF(OR(D358="",C358=""),"",D358-C358)</f>
        <v>-0.933</v>
      </c>
      <c r="G358" s="14" t="n">
        <f aca="false">IF(G357="","",G357+1)</f>
        <v>357</v>
      </c>
      <c r="H358" s="13"/>
      <c r="I358" s="12"/>
    </row>
    <row r="359" customFormat="false" ht="15" hidden="false" customHeight="false" outlineLevel="0" collapsed="false">
      <c r="A359" s="11" t="n">
        <f aca="false">IF(D358="","",D358)</f>
        <v>8</v>
      </c>
      <c r="B359" s="11" t="n">
        <f aca="false">IF(A359="","",(A359-(A359*0.067))/8)</f>
        <v>0.933</v>
      </c>
      <c r="C359" s="11" t="n">
        <f aca="false">IF(OR(A359="",B359=""),"",A359+B359)</f>
        <v>8.933</v>
      </c>
      <c r="D359" s="11" t="n">
        <f aca="false">IF(A359="","",A359+SUMIFS(Registros!$AP$2:$AP$401,Registros!$C$2:$C$401,H359))</f>
        <v>8</v>
      </c>
      <c r="E359" s="11" t="n">
        <f aca="false">IF(A359="","",ROUND(A359*0.067,2))</f>
        <v>0.54</v>
      </c>
      <c r="F359" s="11" t="n">
        <f aca="false">IF(OR(D359="",C359=""),"",D359-C359)</f>
        <v>-0.933</v>
      </c>
      <c r="G359" s="14" t="n">
        <f aca="false">IF(G358="","",G358+1)</f>
        <v>358</v>
      </c>
      <c r="H359" s="13"/>
      <c r="I359" s="12"/>
    </row>
    <row r="360" customFormat="false" ht="15" hidden="false" customHeight="false" outlineLevel="0" collapsed="false">
      <c r="A360" s="11" t="n">
        <f aca="false">IF(D359="","",D359)</f>
        <v>8</v>
      </c>
      <c r="B360" s="11" t="n">
        <f aca="false">IF(A360="","",(A360-(A360*0.067))/8)</f>
        <v>0.933</v>
      </c>
      <c r="C360" s="11" t="n">
        <f aca="false">IF(OR(A360="",B360=""),"",A360+B360)</f>
        <v>8.933</v>
      </c>
      <c r="D360" s="11" t="n">
        <f aca="false">IF(A360="","",A360+SUMIFS(Registros!$AP$2:$AP$401,Registros!$C$2:$C$401,H360))</f>
        <v>8</v>
      </c>
      <c r="E360" s="11" t="n">
        <f aca="false">IF(A360="","",ROUND(A360*0.067,2))</f>
        <v>0.54</v>
      </c>
      <c r="F360" s="11" t="n">
        <f aca="false">IF(OR(D360="",C360=""),"",D360-C360)</f>
        <v>-0.933</v>
      </c>
      <c r="G360" s="14" t="n">
        <f aca="false">IF(G359="","",G359+1)</f>
        <v>359</v>
      </c>
      <c r="H360" s="13"/>
      <c r="I360" s="12"/>
    </row>
    <row r="361" customFormat="false" ht="15" hidden="false" customHeight="false" outlineLevel="0" collapsed="false">
      <c r="A361" s="11" t="n">
        <f aca="false">IF(D360="","",D360)</f>
        <v>8</v>
      </c>
      <c r="B361" s="11" t="n">
        <f aca="false">IF(A361="","",(A361-(A361*0.067))/8)</f>
        <v>0.933</v>
      </c>
      <c r="C361" s="11" t="n">
        <f aca="false">IF(OR(A361="",B361=""),"",A361+B361)</f>
        <v>8.933</v>
      </c>
      <c r="D361" s="11" t="n">
        <f aca="false">IF(A361="","",A361+SUMIFS(Registros!$AP$2:$AP$401,Registros!$C$2:$C$401,H361))</f>
        <v>8</v>
      </c>
      <c r="E361" s="11" t="n">
        <f aca="false">IF(A361="","",ROUND(A361*0.067,2))</f>
        <v>0.54</v>
      </c>
      <c r="F361" s="11" t="n">
        <f aca="false">IF(OR(D361="",C361=""),"",D361-C361)</f>
        <v>-0.933</v>
      </c>
      <c r="G361" s="14" t="n">
        <f aca="false">IF(G360="","",G360+1)</f>
        <v>360</v>
      </c>
      <c r="H361" s="13"/>
      <c r="I361" s="12"/>
    </row>
    <row r="362" customFormat="false" ht="15" hidden="false" customHeight="false" outlineLevel="0" collapsed="false">
      <c r="A362" s="11" t="n">
        <f aca="false">IF(D361="","",D361)</f>
        <v>8</v>
      </c>
      <c r="B362" s="11" t="n">
        <f aca="false">IF(A362="","",(A362-(A362*0.067))/8)</f>
        <v>0.933</v>
      </c>
      <c r="C362" s="11" t="n">
        <f aca="false">IF(OR(A362="",B362=""),"",A362+B362)</f>
        <v>8.933</v>
      </c>
      <c r="D362" s="11" t="n">
        <f aca="false">IF(A362="","",A362+SUMIFS(Registros!$AP$2:$AP$401,Registros!$C$2:$C$401,H362))</f>
        <v>8</v>
      </c>
      <c r="E362" s="11" t="n">
        <f aca="false">IF(A362="","",ROUND(A362*0.067,2))</f>
        <v>0.54</v>
      </c>
      <c r="F362" s="11" t="n">
        <f aca="false">IF(OR(D362="",C362=""),"",D362-C362)</f>
        <v>-0.933</v>
      </c>
      <c r="G362" s="14" t="n">
        <f aca="false">IF(G361="","",G361+1)</f>
        <v>361</v>
      </c>
      <c r="H362" s="13"/>
      <c r="I362" s="12"/>
    </row>
    <row r="363" customFormat="false" ht="15" hidden="false" customHeight="false" outlineLevel="0" collapsed="false">
      <c r="A363" s="11" t="n">
        <f aca="false">IF(D362="","",D362)</f>
        <v>8</v>
      </c>
      <c r="B363" s="11" t="n">
        <f aca="false">IF(A363="","",(A363-(A363*0.067))/8)</f>
        <v>0.933</v>
      </c>
      <c r="C363" s="11" t="n">
        <f aca="false">IF(OR(A363="",B363=""),"",A363+B363)</f>
        <v>8.933</v>
      </c>
      <c r="D363" s="11" t="n">
        <f aca="false">IF(A363="","",A363+SUMIFS(Registros!$AP$2:$AP$401,Registros!$C$2:$C$401,H363))</f>
        <v>8</v>
      </c>
      <c r="E363" s="11" t="n">
        <f aca="false">IF(A363="","",ROUND(A363*0.067,2))</f>
        <v>0.54</v>
      </c>
      <c r="F363" s="11" t="n">
        <f aca="false">IF(OR(D363="",C363=""),"",D363-C363)</f>
        <v>-0.933</v>
      </c>
      <c r="G363" s="14" t="n">
        <f aca="false">IF(G362="","",G362+1)</f>
        <v>362</v>
      </c>
      <c r="H363" s="13"/>
      <c r="I363" s="12"/>
    </row>
    <row r="364" customFormat="false" ht="15" hidden="false" customHeight="false" outlineLevel="0" collapsed="false">
      <c r="A364" s="11" t="n">
        <f aca="false">IF(D363="","",D363)</f>
        <v>8</v>
      </c>
      <c r="B364" s="11" t="n">
        <f aca="false">IF(A364="","",(A364-(A364*0.067))/8)</f>
        <v>0.933</v>
      </c>
      <c r="C364" s="11" t="n">
        <f aca="false">IF(OR(A364="",B364=""),"",A364+B364)</f>
        <v>8.933</v>
      </c>
      <c r="D364" s="11" t="n">
        <f aca="false">IF(A364="","",A364+SUMIFS(Registros!$AP$2:$AP$401,Registros!$C$2:$C$401,H364))</f>
        <v>8</v>
      </c>
      <c r="E364" s="11" t="n">
        <f aca="false">IF(A364="","",ROUND(A364*0.067,2))</f>
        <v>0.54</v>
      </c>
      <c r="F364" s="11" t="n">
        <f aca="false">IF(OR(D364="",C364=""),"",D364-C364)</f>
        <v>-0.933</v>
      </c>
      <c r="G364" s="14" t="n">
        <f aca="false">IF(G363="","",G363+1)</f>
        <v>363</v>
      </c>
      <c r="H364" s="13"/>
      <c r="I364" s="12"/>
    </row>
    <row r="365" customFormat="false" ht="15" hidden="false" customHeight="false" outlineLevel="0" collapsed="false">
      <c r="A365" s="11" t="n">
        <f aca="false">IF(D364="","",D364)</f>
        <v>8</v>
      </c>
      <c r="B365" s="11" t="n">
        <f aca="false">IF(A365="","",(A365-(A365*0.067))/8)</f>
        <v>0.933</v>
      </c>
      <c r="C365" s="11" t="n">
        <f aca="false">IF(OR(A365="",B365=""),"",A365+B365)</f>
        <v>8.933</v>
      </c>
      <c r="D365" s="11" t="n">
        <f aca="false">IF(A365="","",A365+SUMIFS(Registros!$AP$2:$AP$401,Registros!$C$2:$C$401,H365))</f>
        <v>8</v>
      </c>
      <c r="E365" s="11" t="n">
        <f aca="false">IF(A365="","",ROUND(A365*0.067,2))</f>
        <v>0.54</v>
      </c>
      <c r="F365" s="11" t="n">
        <f aca="false">IF(OR(D365="",C365=""),"",D365-C365)</f>
        <v>-0.933</v>
      </c>
      <c r="G365" s="14" t="n">
        <f aca="false">IF(G364="","",G364+1)</f>
        <v>364</v>
      </c>
      <c r="H365" s="13"/>
      <c r="I365" s="12"/>
    </row>
    <row r="366" customFormat="false" ht="15" hidden="false" customHeight="false" outlineLevel="0" collapsed="false">
      <c r="A366" s="11" t="n">
        <f aca="false">IF(D365="","",D365)</f>
        <v>8</v>
      </c>
      <c r="B366" s="11" t="n">
        <f aca="false">IF(A366="","",(A366-(A366*0.067))/8)</f>
        <v>0.933</v>
      </c>
      <c r="C366" s="11" t="n">
        <f aca="false">IF(OR(A366="",B366=""),"",A366+B366)</f>
        <v>8.933</v>
      </c>
      <c r="D366" s="11" t="n">
        <f aca="false">IF(A366="","",A366+SUMIFS(Registros!$AP$2:$AP$401,Registros!$C$2:$C$401,H366))</f>
        <v>8</v>
      </c>
      <c r="E366" s="11" t="n">
        <f aca="false">IF(A366="","",ROUND(A366*0.067,2))</f>
        <v>0.54</v>
      </c>
      <c r="F366" s="11" t="n">
        <f aca="false">IF(OR(D366="",C366=""),"",D366-C366)</f>
        <v>-0.933</v>
      </c>
      <c r="G366" s="14" t="n">
        <f aca="false">IF(G365="","",G365+1)</f>
        <v>365</v>
      </c>
      <c r="H366" s="13"/>
      <c r="I366" s="12"/>
    </row>
    <row r="367" customFormat="false" ht="15" hidden="false" customHeight="false" outlineLevel="0" collapsed="false">
      <c r="A367" s="11" t="n">
        <f aca="false">IF(D366="","",D366)</f>
        <v>8</v>
      </c>
      <c r="B367" s="11" t="n">
        <f aca="false">IF(A367="","",(A367-(A367*0.067))/8)</f>
        <v>0.933</v>
      </c>
      <c r="C367" s="11" t="n">
        <f aca="false">IF(OR(A367="",B367=""),"",A367+B367)</f>
        <v>8.933</v>
      </c>
      <c r="D367" s="11" t="n">
        <f aca="false">IF(A367="","",A367+SUMIFS(Registros!$AP$2:$AP$401,Registros!$C$2:$C$401,H367))</f>
        <v>8</v>
      </c>
      <c r="E367" s="11" t="n">
        <f aca="false">IF(A367="","",ROUND(A367*0.067,2))</f>
        <v>0.54</v>
      </c>
      <c r="F367" s="11" t="n">
        <f aca="false">IF(OR(D367="",C367=""),"",D367-C367)</f>
        <v>-0.933</v>
      </c>
      <c r="G367" s="14" t="n">
        <f aca="false">IF(G366="","",G366+1)</f>
        <v>366</v>
      </c>
      <c r="H367" s="13"/>
      <c r="I367" s="12"/>
    </row>
  </sheetData>
  <conditionalFormatting sqref="F2:F367">
    <cfRule type="expression" priority="2" aboveAverage="0" equalAverage="0" bottom="0" percent="0" rank="0" text="" dxfId="0">
      <formula>$D2&gt;=$C2</formula>
    </cfRule>
    <cfRule type="expression" priority="3" aboveAverage="0" equalAverage="0" bottom="0" percent="0" rank="0" text="" dxfId="1">
      <formula>AND($D2&gt;=$A2,$D2&lt;$C2)</formula>
    </cfRule>
    <cfRule type="expression" priority="4" aboveAverage="0" equalAverage="0" bottom="0" percent="0" rank="0" text="" dxfId="2">
      <formula>$D2&lt;$A2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2026-08-15T02:32:20Z</dcterms:created>
  <dc:creator>openpyxl</dc:creator>
  <dc:description/>
  <dc:language>en-US</dc:language>
  <cp:lastModifiedBy/>
  <dcterms:modified xsi:type="dcterms:W3CDTF">2026-08-15T02:32:21Z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